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oliviaarkema/Documents/Strategic Planning/CD_StrategicPlanning/data/"/>
    </mc:Choice>
  </mc:AlternateContent>
  <xr:revisionPtr revIDLastSave="0" documentId="13_ncr:1_{56039BB3-74DD-F845-86AA-13C12446082A}" xr6:coauthVersionLast="47" xr6:coauthVersionMax="47" xr10:uidLastSave="{00000000-0000-0000-0000-000000000000}"/>
  <bookViews>
    <workbookView xWindow="0" yWindow="760" windowWidth="30240" windowHeight="177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D11" i="1"/>
  <c r="G7" i="1"/>
  <c r="F7" i="1"/>
  <c r="G2" i="1"/>
  <c r="F2" i="1"/>
</calcChain>
</file>

<file path=xl/sharedStrings.xml><?xml version="1.0" encoding="utf-8"?>
<sst xmlns="http://schemas.openxmlformats.org/spreadsheetml/2006/main" count="33" uniqueCount="27">
  <si>
    <t>Area</t>
  </si>
  <si>
    <t>Metric</t>
  </si>
  <si>
    <t>TTM Jul 2026</t>
  </si>
  <si>
    <t>TTM Jul 2025</t>
  </si>
  <si>
    <t>Change</t>
  </si>
  <si>
    <t>TTM Jul 2026 (gal)</t>
  </si>
  <si>
    <t>TTM Jul 2025 (gal)</t>
  </si>
  <si>
    <t>Milk Production</t>
  </si>
  <si>
    <t>Annual cwt</t>
  </si>
  <si>
    <t>+4.5%</t>
  </si>
  <si>
    <t>Lbs/Cow/Day</t>
  </si>
  <si>
    <t>+3.2%</t>
  </si>
  <si>
    <t>Milk Quality</t>
  </si>
  <si>
    <t>Butterfat %</t>
  </si>
  <si>
    <t>flat</t>
  </si>
  <si>
    <t>SCC (cells/mL)</t>
  </si>
  <si>
    <t>+25%</t>
  </si>
  <si>
    <t>Plant</t>
  </si>
  <si>
    <t>Utilization Rate</t>
  </si>
  <si>
    <t>Labor Hrs/cwt</t>
  </si>
  <si>
    <t>Crops</t>
  </si>
  <si>
    <t>Corn Silage (t/a)</t>
  </si>
  <si>
    <t>Alfalfa (t/a)</t>
  </si>
  <si>
    <t>Financials</t>
  </si>
  <si>
    <t>Operating Margin</t>
  </si>
  <si>
    <t>Total Revenue (Ordinary Income)</t>
  </si>
  <si>
    <t>Total Costs (COGS + OPEx)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</si>
</sst>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5" x14ac:dyDescent="0.2"/>
  <cols>
    <col min="1" max="1" width="17" customWidth="1"/>
    <col min="2" max="2" width="19" customWidth="1"/>
    <col min="3" max="4" width="14" customWidth="1"/>
    <col min="5" max="5" width="10" customWidth="1"/>
    <col min="6" max="7" width="20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8</v>
      </c>
      <c r="C2">
        <v>361247</v>
      </c>
      <c r="D2">
        <v>345778</v>
      </c>
      <c r="E2" t="s">
        <v>9</v>
      </c>
      <c r="F2">
        <f>C2*11.63</f>
        <v>4201302.6100000003</v>
      </c>
      <c r="G2">
        <f>D2*11.63</f>
        <v>4021398.14</v>
      </c>
    </row>
    <row r="3" spans="1:7" x14ac:dyDescent="0.2">
      <c r="A3" t="s">
        <v>7</v>
      </c>
      <c r="B3" t="s">
        <v>10</v>
      </c>
      <c r="C3">
        <v>96</v>
      </c>
      <c r="D3">
        <v>93</v>
      </c>
      <c r="E3" t="s">
        <v>11</v>
      </c>
    </row>
    <row r="4" spans="1:7" x14ac:dyDescent="0.2">
      <c r="A4" t="s">
        <v>12</v>
      </c>
      <c r="B4" t="s">
        <v>13</v>
      </c>
      <c r="C4">
        <v>3.9E-2</v>
      </c>
      <c r="D4">
        <v>3.9E-2</v>
      </c>
      <c r="E4" t="s">
        <v>14</v>
      </c>
    </row>
    <row r="5" spans="1:7" x14ac:dyDescent="0.2">
      <c r="A5" t="s">
        <v>12</v>
      </c>
      <c r="B5" t="s">
        <v>15</v>
      </c>
      <c r="C5">
        <v>250000</v>
      </c>
      <c r="D5">
        <v>200000</v>
      </c>
      <c r="E5" t="s">
        <v>16</v>
      </c>
    </row>
    <row r="6" spans="1:7" x14ac:dyDescent="0.2">
      <c r="A6" t="s">
        <v>17</v>
      </c>
      <c r="B6" t="s">
        <v>18</v>
      </c>
    </row>
    <row r="7" spans="1:7" x14ac:dyDescent="0.2">
      <c r="A7" t="s">
        <v>17</v>
      </c>
      <c r="B7" t="s">
        <v>19</v>
      </c>
      <c r="C7">
        <v>0.191</v>
      </c>
      <c r="F7">
        <f>C7/11.63</f>
        <v>1.642304385210662E-2</v>
      </c>
      <c r="G7">
        <f>D7/11.63</f>
        <v>0</v>
      </c>
    </row>
    <row r="8" spans="1:7" x14ac:dyDescent="0.2">
      <c r="A8" t="s">
        <v>20</v>
      </c>
      <c r="B8" t="s">
        <v>21</v>
      </c>
    </row>
    <row r="9" spans="1:7" x14ac:dyDescent="0.2">
      <c r="A9" t="s">
        <v>20</v>
      </c>
      <c r="B9" t="s">
        <v>22</v>
      </c>
    </row>
    <row r="10" spans="1:7" x14ac:dyDescent="0.2">
      <c r="A10" t="s">
        <v>23</v>
      </c>
      <c r="B10" t="s">
        <v>25</v>
      </c>
      <c r="C10">
        <v>25483840</v>
      </c>
      <c r="D10">
        <v>26079541</v>
      </c>
      <c r="E10">
        <v>87792</v>
      </c>
    </row>
    <row r="11" spans="1:7" x14ac:dyDescent="0.2">
      <c r="A11" t="s">
        <v>23</v>
      </c>
      <c r="B11" t="s">
        <v>26</v>
      </c>
      <c r="C11">
        <f>4341828+20387243</f>
        <v>24729071</v>
      </c>
      <c r="D11">
        <f>7826513+17830008</f>
        <v>25656521</v>
      </c>
      <c r="E11">
        <v>153407</v>
      </c>
    </row>
    <row r="12" spans="1:7" x14ac:dyDescent="0.2">
      <c r="A12" t="s">
        <v>23</v>
      </c>
      <c r="B12" t="s">
        <v>24</v>
      </c>
      <c r="C12">
        <v>2.4</v>
      </c>
      <c r="D12">
        <v>2.7</v>
      </c>
      <c r="E12">
        <v>-0.3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Liv Arkema</cp:lastModifiedBy>
  <dcterms:created xsi:type="dcterms:W3CDTF">2026-07-31T20:43:20Z</dcterms:created>
  <dcterms:modified xsi:type="dcterms:W3CDTF">2026-08-11T14:16:53Z</dcterms:modified>
</cp:coreProperties>
</file>