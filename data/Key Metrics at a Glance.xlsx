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740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5"/>
  <cols>
    <col width="17" customWidth="1" min="1" max="1"/>
    <col width="19" customWidth="1" min="2" max="2"/>
    <col width="14" customWidth="1" min="3" max="4"/>
    <col width="10" customWidth="1" min="5" max="5"/>
    <col width="20" customWidth="1" min="6" max="7"/>
  </cols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TTM Jul 2026</t>
        </is>
      </c>
      <c r="D1" s="1" t="inlineStr">
        <is>
          <t>TTM Jul 2025</t>
        </is>
      </c>
      <c r="E1" s="1" t="inlineStr">
        <is>
          <t>Change</t>
        </is>
      </c>
      <c r="F1" s="1" t="inlineStr">
        <is>
          <t>TTM Jul 2026 (gal)</t>
        </is>
      </c>
      <c r="G1" s="1" t="inlineStr">
        <is>
          <t>TTM Jul 2025 (gal)</t>
        </is>
      </c>
    </row>
    <row r="2">
      <c r="A2" t="inlineStr">
        <is>
          <t>Milk Production</t>
        </is>
      </c>
      <c r="B2" t="inlineStr">
        <is>
          <t>Annual cwt</t>
        </is>
      </c>
      <c r="C2" t="n">
        <v>361247</v>
      </c>
      <c r="D2" t="n">
        <v>345778</v>
      </c>
      <c r="E2" t="inlineStr">
        <is>
          <t>+4.5%</t>
        </is>
      </c>
      <c r="F2">
        <f>C2*11.63</f>
        <v/>
      </c>
      <c r="G2">
        <f>D2*11.63</f>
        <v/>
      </c>
    </row>
    <row r="3">
      <c r="A3" t="inlineStr">
        <is>
          <t>Milk Production</t>
        </is>
      </c>
      <c r="B3" t="inlineStr">
        <is>
          <t>Lbs/Cow/Day</t>
        </is>
      </c>
      <c r="C3" t="n">
        <v>96</v>
      </c>
      <c r="D3" t="n">
        <v>93</v>
      </c>
      <c r="E3" t="inlineStr">
        <is>
          <t>+3.2%</t>
        </is>
      </c>
    </row>
    <row r="4">
      <c r="A4" t="inlineStr">
        <is>
          <t>Milk Quality</t>
        </is>
      </c>
      <c r="B4" t="inlineStr">
        <is>
          <t>Butterfat %</t>
        </is>
      </c>
      <c r="C4" t="n">
        <v>0.039</v>
      </c>
      <c r="D4" t="n">
        <v>0.039</v>
      </c>
      <c r="E4" t="inlineStr">
        <is>
          <t>flat</t>
        </is>
      </c>
    </row>
    <row r="5">
      <c r="A5" t="inlineStr">
        <is>
          <t>Milk Quality</t>
        </is>
      </c>
      <c r="B5" t="inlineStr">
        <is>
          <t>SCC (cells/mL)</t>
        </is>
      </c>
      <c r="C5" t="n">
        <v>250000</v>
      </c>
      <c r="D5" t="n">
        <v>200000</v>
      </c>
      <c r="E5" t="inlineStr">
        <is>
          <t>+25%</t>
        </is>
      </c>
    </row>
    <row r="6">
      <c r="A6" t="inlineStr">
        <is>
          <t>Plant</t>
        </is>
      </c>
      <c r="B6" t="inlineStr">
        <is>
          <t>Utilization Rate</t>
        </is>
      </c>
    </row>
    <row r="7">
      <c r="A7" t="inlineStr">
        <is>
          <t>Plant</t>
        </is>
      </c>
      <c r="B7" t="inlineStr">
        <is>
          <t>Labor Hrs/cwt</t>
        </is>
      </c>
      <c r="C7" t="n">
        <v>0.191</v>
      </c>
      <c r="F7">
        <f>C7/11.63</f>
        <v/>
      </c>
      <c r="G7">
        <f>D7/11.63</f>
        <v/>
      </c>
    </row>
    <row r="8">
      <c r="A8" t="inlineStr">
        <is>
          <t>Crops</t>
        </is>
      </c>
      <c r="B8" t="inlineStr">
        <is>
          <t>Corn Silage (t/a)</t>
        </is>
      </c>
    </row>
    <row r="9">
      <c r="A9" t="inlineStr">
        <is>
          <t>Crops</t>
        </is>
      </c>
      <c r="B9" t="inlineStr">
        <is>
          <t>Alfalfa (t/a)</t>
        </is>
      </c>
    </row>
    <row r="10">
      <c r="A10" t="inlineStr">
        <is>
          <t>Financials</t>
        </is>
      </c>
      <c r="B10" t="inlineStr">
        <is>
          <t>Total Revenue (Ordinary Income)</t>
        </is>
      </c>
      <c r="C10" t="n">
        <v>25483840</v>
      </c>
      <c r="D10" t="n">
        <v>26079541</v>
      </c>
      <c r="E10" t="inlineStr">
        <is>
          <t>-2.3%</t>
        </is>
      </c>
    </row>
    <row r="11">
      <c r="A11" t="inlineStr">
        <is>
          <t>Financials</t>
        </is>
      </c>
      <c r="B11" t="inlineStr">
        <is>
          <t>Total Costs (COGS + OPEx)</t>
        </is>
      </c>
      <c r="C11">
        <f>4341828+20284250</f>
        <v/>
      </c>
      <c r="D11">
        <f>7826513+17830008</f>
        <v/>
      </c>
      <c r="E11" t="inlineStr">
        <is>
          <t>-4.0%</t>
        </is>
      </c>
    </row>
    <row r="12">
      <c r="A12" t="inlineStr">
        <is>
          <t>Financials</t>
        </is>
      </c>
      <c r="B12" t="inlineStr">
        <is>
          <t>Operating Margin</t>
        </is>
      </c>
      <c r="C12" t="n">
        <v>3.4</v>
      </c>
      <c r="D12" t="n">
        <v>1.6</v>
      </c>
      <c r="E1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2026-08-27T19:59:23Z</dcterms:modified>
  <cp:lastModifiedBy>Liv Arkema</cp:lastModifiedBy>
</cp:coreProperties>
</file>