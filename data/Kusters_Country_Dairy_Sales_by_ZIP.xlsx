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oliviaarkema/Downloads/"/>
    </mc:Choice>
  </mc:AlternateContent>
  <xr:revisionPtr revIDLastSave="0" documentId="13_ncr:1_{CDED3FB9-4C09-094D-96D7-8121D354BA06}" xr6:coauthVersionLast="47" xr6:coauthVersionMax="47" xr10:uidLastSave="{00000000-0000-0000-0000-000000000000}"/>
  <bookViews>
    <workbookView xWindow="0" yWindow="740" windowWidth="30240" windowHeight="18900" tabRatio="500" firstSheet="1" activeTab="1" xr2:uid="{00000000-000D-0000-FFFF-FFFF00000000}"/>
  </bookViews>
  <sheets>
    <sheet name="Assumptions" sheetId="7" r:id="rId1"/>
    <sheet name="Product Summary" sheetId="8" r:id="rId2"/>
    <sheet name="ZIP Summary" sheetId="1" r:id="rId3"/>
    <sheet name="Customer Summary" sheetId="2" r:id="rId4"/>
    <sheet name="Distance Band Summary" sheetId="3" r:id="rId5"/>
    <sheet name="Consolidated by ZIP" sheetId="4" r:id="rId6"/>
    <sheet name="Raw Data" sheetId="5" r:id="rId7"/>
    <sheet name="ZIP Coordinates" sheetId="6" r:id="rId8"/>
  </sheets>
  <definedNames>
    <definedName name="_xlnm._FilterDatabase" localSheetId="5" hidden="1">'Consolidated by ZIP'!$A$1:$F$646</definedName>
    <definedName name="_xlnm._FilterDatabase" localSheetId="3" hidden="1">'Customer Summary'!$A$1:$E$136</definedName>
    <definedName name="_xlnm._FilterDatabase" localSheetId="4" hidden="1">'Distance Band Summary'!$A$1:$D$7</definedName>
    <definedName name="_xlnm._FilterDatabase" localSheetId="1" hidden="1">'Product Summary'!$A$1:$J$23</definedName>
    <definedName name="_xlnm._FilterDatabase" localSheetId="6" hidden="1">'Raw Data'!$A$1:$G$878</definedName>
    <definedName name="_xlnm._FilterDatabase" localSheetId="7" hidden="1">'ZIP Coordinates'!$A$1:$E$81</definedName>
    <definedName name="_xlnm._FilterDatabase" localSheetId="2" hidden="1">'ZIP Summary'!$A$1:$E$81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8" l="1"/>
  <c r="D2" i="8" s="1"/>
  <c r="E2" i="8"/>
  <c r="G2" i="8"/>
  <c r="J2" i="8"/>
  <c r="C3" i="8"/>
  <c r="D3" i="8" s="1"/>
  <c r="E3" i="8"/>
  <c r="G3" i="8"/>
  <c r="J3" i="8"/>
  <c r="C4" i="8"/>
  <c r="D4" i="8" s="1"/>
  <c r="E4" i="8"/>
  <c r="G4" i="8"/>
  <c r="J4" i="8"/>
  <c r="C5" i="8"/>
  <c r="D5" i="8" s="1"/>
  <c r="E5" i="8"/>
  <c r="G5" i="8"/>
  <c r="J5" i="8"/>
  <c r="C6" i="8"/>
  <c r="D6" i="8" s="1"/>
  <c r="E6" i="8"/>
  <c r="G6" i="8"/>
  <c r="J6" i="8"/>
  <c r="C7" i="8"/>
  <c r="D7" i="8" s="1"/>
  <c r="E7" i="8"/>
  <c r="G7" i="8"/>
  <c r="J7" i="8"/>
  <c r="C8" i="8"/>
  <c r="D8" i="8" s="1"/>
  <c r="E8" i="8"/>
  <c r="G8" i="8"/>
  <c r="J8" i="8"/>
  <c r="C9" i="8"/>
  <c r="D9" i="8" s="1"/>
  <c r="E9" i="8"/>
  <c r="G9" i="8"/>
  <c r="J9" i="8"/>
  <c r="C10" i="8"/>
  <c r="D10" i="8" s="1"/>
  <c r="E10" i="8"/>
  <c r="G10" i="8"/>
  <c r="J10" i="8"/>
  <c r="C11" i="8"/>
  <c r="D11" i="8" s="1"/>
  <c r="E11" i="8"/>
  <c r="G11" i="8"/>
  <c r="J11" i="8"/>
  <c r="C12" i="8"/>
  <c r="D12" i="8" s="1"/>
  <c r="E12" i="8"/>
  <c r="G12" i="8"/>
  <c r="J12" i="8"/>
  <c r="C13" i="8"/>
  <c r="D13" i="8" s="1"/>
  <c r="E13" i="8"/>
  <c r="G13" i="8"/>
  <c r="J13" i="8"/>
  <c r="C14" i="8"/>
  <c r="D14" i="8" s="1"/>
  <c r="E14" i="8"/>
  <c r="G14" i="8"/>
  <c r="J14" i="8"/>
  <c r="C15" i="8"/>
  <c r="D15" i="8" s="1"/>
  <c r="E15" i="8"/>
  <c r="F15" i="8" s="1"/>
  <c r="G15" i="8"/>
  <c r="J15" i="8"/>
  <c r="C16" i="8"/>
  <c r="D16" i="8" s="1"/>
  <c r="E16" i="8"/>
  <c r="G16" i="8"/>
  <c r="J16" i="8"/>
  <c r="C17" i="8"/>
  <c r="D17" i="8" s="1"/>
  <c r="E17" i="8"/>
  <c r="G17" i="8"/>
  <c r="J17" i="8"/>
  <c r="C18" i="8"/>
  <c r="D18" i="8" s="1"/>
  <c r="E18" i="8"/>
  <c r="G18" i="8"/>
  <c r="J18" i="8"/>
  <c r="C19" i="8"/>
  <c r="D19" i="8" s="1"/>
  <c r="E19" i="8"/>
  <c r="G19" i="8"/>
  <c r="J19" i="8"/>
  <c r="C20" i="8"/>
  <c r="D20" i="8"/>
  <c r="E20" i="8"/>
  <c r="G20" i="8"/>
  <c r="J20" i="8"/>
  <c r="C21" i="8"/>
  <c r="D21" i="8" s="1"/>
  <c r="E21" i="8"/>
  <c r="G21" i="8"/>
  <c r="J21" i="8"/>
  <c r="C22" i="8"/>
  <c r="D22" i="8" s="1"/>
  <c r="E22" i="8"/>
  <c r="G22" i="8"/>
  <c r="J22" i="8"/>
  <c r="C23" i="8"/>
  <c r="D23" i="8" s="1"/>
  <c r="E23" i="8"/>
  <c r="G23" i="8"/>
  <c r="J23" i="8"/>
  <c r="B2" i="3"/>
  <c r="B3" i="3"/>
  <c r="B4" i="3"/>
  <c r="B5" i="3"/>
  <c r="B6" i="3"/>
  <c r="B7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H878" i="5"/>
  <c r="I878" i="5" s="1"/>
  <c r="H877" i="5"/>
  <c r="I877" i="5" s="1"/>
  <c r="H876" i="5"/>
  <c r="I876" i="5" s="1"/>
  <c r="I875" i="5"/>
  <c r="H875" i="5"/>
  <c r="H874" i="5"/>
  <c r="I874" i="5" s="1"/>
  <c r="H873" i="5"/>
  <c r="I873" i="5" s="1"/>
  <c r="I872" i="5"/>
  <c r="H872" i="5"/>
  <c r="H871" i="5"/>
  <c r="I871" i="5" s="1"/>
  <c r="H870" i="5"/>
  <c r="I870" i="5" s="1"/>
  <c r="H869" i="5"/>
  <c r="I869" i="5" s="1"/>
  <c r="H868" i="5"/>
  <c r="I868" i="5" s="1"/>
  <c r="H867" i="5"/>
  <c r="I867" i="5" s="1"/>
  <c r="I866" i="5"/>
  <c r="H866" i="5"/>
  <c r="H865" i="5"/>
  <c r="I865" i="5" s="1"/>
  <c r="H864" i="5"/>
  <c r="I864" i="5" s="1"/>
  <c r="H863" i="5"/>
  <c r="I863" i="5" s="1"/>
  <c r="I862" i="5"/>
  <c r="H862" i="5"/>
  <c r="H861" i="5"/>
  <c r="I861" i="5" s="1"/>
  <c r="I860" i="5"/>
  <c r="H860" i="5"/>
  <c r="H859" i="5"/>
  <c r="I859" i="5" s="1"/>
  <c r="H858" i="5"/>
  <c r="I858" i="5" s="1"/>
  <c r="I857" i="5"/>
  <c r="H857" i="5"/>
  <c r="I856" i="5"/>
  <c r="H856" i="5"/>
  <c r="H855" i="5"/>
  <c r="I855" i="5" s="1"/>
  <c r="H854" i="5"/>
  <c r="I854" i="5" s="1"/>
  <c r="H853" i="5"/>
  <c r="I853" i="5" s="1"/>
  <c r="H852" i="5"/>
  <c r="I852" i="5" s="1"/>
  <c r="I851" i="5"/>
  <c r="H851" i="5"/>
  <c r="I850" i="5"/>
  <c r="H850" i="5"/>
  <c r="H849" i="5"/>
  <c r="I849" i="5" s="1"/>
  <c r="H848" i="5"/>
  <c r="I848" i="5" s="1"/>
  <c r="I847" i="5"/>
  <c r="H847" i="5"/>
  <c r="H846" i="5"/>
  <c r="I846" i="5" s="1"/>
  <c r="I845" i="5"/>
  <c r="H845" i="5"/>
  <c r="H844" i="5"/>
  <c r="I844" i="5" s="1"/>
  <c r="H843" i="5"/>
  <c r="I843" i="5" s="1"/>
  <c r="H842" i="5"/>
  <c r="I842" i="5" s="1"/>
  <c r="I841" i="5"/>
  <c r="H841" i="5"/>
  <c r="H840" i="5"/>
  <c r="I840" i="5" s="1"/>
  <c r="H839" i="5"/>
  <c r="I839" i="5" s="1"/>
  <c r="H838" i="5"/>
  <c r="I838" i="5" s="1"/>
  <c r="I837" i="5"/>
  <c r="H837" i="5"/>
  <c r="H836" i="5"/>
  <c r="I836" i="5" s="1"/>
  <c r="I835" i="5"/>
  <c r="H835" i="5"/>
  <c r="H834" i="5"/>
  <c r="I834" i="5" s="1"/>
  <c r="H833" i="5"/>
  <c r="I833" i="5" s="1"/>
  <c r="I832" i="5"/>
  <c r="H832" i="5"/>
  <c r="I831" i="5"/>
  <c r="H831" i="5"/>
  <c r="H830" i="5"/>
  <c r="I830" i="5" s="1"/>
  <c r="H829" i="5"/>
  <c r="I829" i="5" s="1"/>
  <c r="H828" i="5"/>
  <c r="I828" i="5" s="1"/>
  <c r="H827" i="5"/>
  <c r="I827" i="5" s="1"/>
  <c r="I826" i="5"/>
  <c r="H826" i="5"/>
  <c r="I825" i="5"/>
  <c r="H825" i="5"/>
  <c r="H824" i="5"/>
  <c r="I824" i="5" s="1"/>
  <c r="H823" i="5"/>
  <c r="I823" i="5" s="1"/>
  <c r="I822" i="5"/>
  <c r="H822" i="5"/>
  <c r="H821" i="5"/>
  <c r="I821" i="5" s="1"/>
  <c r="I820" i="5"/>
  <c r="H820" i="5"/>
  <c r="H819" i="5"/>
  <c r="I819" i="5" s="1"/>
  <c r="H818" i="5"/>
  <c r="I818" i="5" s="1"/>
  <c r="H817" i="5"/>
  <c r="I817" i="5" s="1"/>
  <c r="I816" i="5"/>
  <c r="H816" i="5"/>
  <c r="H815" i="5"/>
  <c r="I815" i="5" s="1"/>
  <c r="H814" i="5"/>
  <c r="I814" i="5" s="1"/>
  <c r="H813" i="5"/>
  <c r="I813" i="5" s="1"/>
  <c r="I812" i="5"/>
  <c r="H812" i="5"/>
  <c r="H811" i="5"/>
  <c r="I811" i="5" s="1"/>
  <c r="I810" i="5"/>
  <c r="H810" i="5"/>
  <c r="H809" i="5"/>
  <c r="I809" i="5" s="1"/>
  <c r="H808" i="5"/>
  <c r="I808" i="5" s="1"/>
  <c r="I807" i="5"/>
  <c r="H807" i="5"/>
  <c r="I806" i="5"/>
  <c r="H806" i="5"/>
  <c r="H805" i="5"/>
  <c r="I805" i="5" s="1"/>
  <c r="H804" i="5"/>
  <c r="I804" i="5" s="1"/>
  <c r="H803" i="5"/>
  <c r="I803" i="5" s="1"/>
  <c r="H802" i="5"/>
  <c r="I802" i="5" s="1"/>
  <c r="I801" i="5"/>
  <c r="H801" i="5"/>
  <c r="I800" i="5"/>
  <c r="H800" i="5"/>
  <c r="H799" i="5"/>
  <c r="I799" i="5" s="1"/>
  <c r="H798" i="5"/>
  <c r="I798" i="5" s="1"/>
  <c r="I797" i="5"/>
  <c r="H797" i="5"/>
  <c r="H796" i="5"/>
  <c r="I796" i="5" s="1"/>
  <c r="I795" i="5"/>
  <c r="H795" i="5"/>
  <c r="H794" i="5"/>
  <c r="I794" i="5" s="1"/>
  <c r="H793" i="5"/>
  <c r="I793" i="5" s="1"/>
  <c r="H792" i="5"/>
  <c r="I792" i="5" s="1"/>
  <c r="I791" i="5"/>
  <c r="H791" i="5"/>
  <c r="H790" i="5"/>
  <c r="I790" i="5" s="1"/>
  <c r="H789" i="5"/>
  <c r="I789" i="5" s="1"/>
  <c r="H788" i="5"/>
  <c r="I788" i="5" s="1"/>
  <c r="I787" i="5"/>
  <c r="H787" i="5"/>
  <c r="H786" i="5"/>
  <c r="I786" i="5" s="1"/>
  <c r="I785" i="5"/>
  <c r="H785" i="5"/>
  <c r="H784" i="5"/>
  <c r="I784" i="5" s="1"/>
  <c r="H783" i="5"/>
  <c r="I783" i="5" s="1"/>
  <c r="I782" i="5"/>
  <c r="H782" i="5"/>
  <c r="I781" i="5"/>
  <c r="H781" i="5"/>
  <c r="H780" i="5"/>
  <c r="I780" i="5" s="1"/>
  <c r="H779" i="5"/>
  <c r="I779" i="5" s="1"/>
  <c r="H778" i="5"/>
  <c r="I778" i="5" s="1"/>
  <c r="H777" i="5"/>
  <c r="I777" i="5" s="1"/>
  <c r="I776" i="5"/>
  <c r="H776" i="5"/>
  <c r="I775" i="5"/>
  <c r="H775" i="5"/>
  <c r="H774" i="5"/>
  <c r="I774" i="5" s="1"/>
  <c r="H773" i="5"/>
  <c r="I773" i="5" s="1"/>
  <c r="I772" i="5"/>
  <c r="H772" i="5"/>
  <c r="H771" i="5"/>
  <c r="I771" i="5" s="1"/>
  <c r="I770" i="5"/>
  <c r="H770" i="5"/>
  <c r="H769" i="5"/>
  <c r="I769" i="5" s="1"/>
  <c r="H768" i="5"/>
  <c r="I768" i="5" s="1"/>
  <c r="H767" i="5"/>
  <c r="I767" i="5" s="1"/>
  <c r="I766" i="5"/>
  <c r="H766" i="5"/>
  <c r="H765" i="5"/>
  <c r="I765" i="5" s="1"/>
  <c r="H764" i="5"/>
  <c r="I764" i="5" s="1"/>
  <c r="H763" i="5"/>
  <c r="I763" i="5" s="1"/>
  <c r="I762" i="5"/>
  <c r="H762" i="5"/>
  <c r="H761" i="5"/>
  <c r="I761" i="5" s="1"/>
  <c r="I760" i="5"/>
  <c r="H760" i="5"/>
  <c r="H759" i="5"/>
  <c r="I759" i="5" s="1"/>
  <c r="H758" i="5"/>
  <c r="I758" i="5" s="1"/>
  <c r="I757" i="5"/>
  <c r="H757" i="5"/>
  <c r="I756" i="5"/>
  <c r="H756" i="5"/>
  <c r="H755" i="5"/>
  <c r="I755" i="5" s="1"/>
  <c r="H754" i="5"/>
  <c r="I754" i="5" s="1"/>
  <c r="H753" i="5"/>
  <c r="I753" i="5" s="1"/>
  <c r="H752" i="5"/>
  <c r="I752" i="5" s="1"/>
  <c r="I751" i="5"/>
  <c r="H751" i="5"/>
  <c r="I750" i="5"/>
  <c r="H750" i="5"/>
  <c r="H749" i="5"/>
  <c r="I749" i="5" s="1"/>
  <c r="H748" i="5"/>
  <c r="I748" i="5" s="1"/>
  <c r="I747" i="5"/>
  <c r="H747" i="5"/>
  <c r="H746" i="5"/>
  <c r="I746" i="5" s="1"/>
  <c r="I745" i="5"/>
  <c r="H745" i="5"/>
  <c r="H744" i="5"/>
  <c r="I744" i="5" s="1"/>
  <c r="H743" i="5"/>
  <c r="I743" i="5" s="1"/>
  <c r="H742" i="5"/>
  <c r="I742" i="5" s="1"/>
  <c r="I741" i="5"/>
  <c r="H741" i="5"/>
  <c r="H740" i="5"/>
  <c r="I740" i="5" s="1"/>
  <c r="H739" i="5"/>
  <c r="I739" i="5" s="1"/>
  <c r="H738" i="5"/>
  <c r="I738" i="5" s="1"/>
  <c r="I737" i="5"/>
  <c r="H737" i="5"/>
  <c r="H736" i="5"/>
  <c r="I736" i="5" s="1"/>
  <c r="I735" i="5"/>
  <c r="H735" i="5"/>
  <c r="H734" i="5"/>
  <c r="I734" i="5" s="1"/>
  <c r="H733" i="5"/>
  <c r="I733" i="5" s="1"/>
  <c r="I732" i="5"/>
  <c r="H732" i="5"/>
  <c r="I731" i="5"/>
  <c r="H731" i="5"/>
  <c r="H730" i="5"/>
  <c r="I730" i="5" s="1"/>
  <c r="H729" i="5"/>
  <c r="I729" i="5" s="1"/>
  <c r="H728" i="5"/>
  <c r="I728" i="5" s="1"/>
  <c r="H727" i="5"/>
  <c r="I727" i="5" s="1"/>
  <c r="I726" i="5"/>
  <c r="H726" i="5"/>
  <c r="I725" i="5"/>
  <c r="H725" i="5"/>
  <c r="H724" i="5"/>
  <c r="I724" i="5" s="1"/>
  <c r="H723" i="5"/>
  <c r="I723" i="5" s="1"/>
  <c r="I722" i="5"/>
  <c r="H722" i="5"/>
  <c r="H721" i="5"/>
  <c r="I721" i="5" s="1"/>
  <c r="I720" i="5"/>
  <c r="H720" i="5"/>
  <c r="H719" i="5"/>
  <c r="I719" i="5" s="1"/>
  <c r="H718" i="5"/>
  <c r="I718" i="5" s="1"/>
  <c r="H717" i="5"/>
  <c r="I717" i="5" s="1"/>
  <c r="I716" i="5"/>
  <c r="H716" i="5"/>
  <c r="H715" i="5"/>
  <c r="I715" i="5" s="1"/>
  <c r="H714" i="5"/>
  <c r="I714" i="5" s="1"/>
  <c r="H713" i="5"/>
  <c r="I713" i="5" s="1"/>
  <c r="I712" i="5"/>
  <c r="H712" i="5"/>
  <c r="H711" i="5"/>
  <c r="I711" i="5" s="1"/>
  <c r="I710" i="5"/>
  <c r="H710" i="5"/>
  <c r="H709" i="5"/>
  <c r="I709" i="5" s="1"/>
  <c r="H708" i="5"/>
  <c r="I708" i="5" s="1"/>
  <c r="I707" i="5"/>
  <c r="H707" i="5"/>
  <c r="I706" i="5"/>
  <c r="H706" i="5"/>
  <c r="H705" i="5"/>
  <c r="I705" i="5" s="1"/>
  <c r="H704" i="5"/>
  <c r="I704" i="5" s="1"/>
  <c r="H703" i="5"/>
  <c r="I703" i="5" s="1"/>
  <c r="H702" i="5"/>
  <c r="I702" i="5" s="1"/>
  <c r="I701" i="5"/>
  <c r="H701" i="5"/>
  <c r="I700" i="5"/>
  <c r="H700" i="5"/>
  <c r="H699" i="5"/>
  <c r="I699" i="5" s="1"/>
  <c r="H698" i="5"/>
  <c r="I698" i="5" s="1"/>
  <c r="I697" i="5"/>
  <c r="H697" i="5"/>
  <c r="H696" i="5"/>
  <c r="I696" i="5" s="1"/>
  <c r="I695" i="5"/>
  <c r="H695" i="5"/>
  <c r="H694" i="5"/>
  <c r="I694" i="5" s="1"/>
  <c r="H693" i="5"/>
  <c r="I693" i="5" s="1"/>
  <c r="H692" i="5"/>
  <c r="I692" i="5" s="1"/>
  <c r="I691" i="5"/>
  <c r="H691" i="5"/>
  <c r="H690" i="5"/>
  <c r="I690" i="5" s="1"/>
  <c r="H689" i="5"/>
  <c r="I689" i="5" s="1"/>
  <c r="H688" i="5"/>
  <c r="I688" i="5" s="1"/>
  <c r="I687" i="5"/>
  <c r="H687" i="5"/>
  <c r="H686" i="5"/>
  <c r="I686" i="5" s="1"/>
  <c r="I685" i="5"/>
  <c r="H685" i="5"/>
  <c r="H684" i="5"/>
  <c r="I684" i="5" s="1"/>
  <c r="H683" i="5"/>
  <c r="I683" i="5" s="1"/>
  <c r="I682" i="5"/>
  <c r="H682" i="5"/>
  <c r="I681" i="5"/>
  <c r="H681" i="5"/>
  <c r="H680" i="5"/>
  <c r="I680" i="5" s="1"/>
  <c r="H679" i="5"/>
  <c r="I679" i="5" s="1"/>
  <c r="H678" i="5"/>
  <c r="I678" i="5" s="1"/>
  <c r="H677" i="5"/>
  <c r="I677" i="5" s="1"/>
  <c r="I676" i="5"/>
  <c r="H676" i="5"/>
  <c r="I675" i="5"/>
  <c r="H675" i="5"/>
  <c r="H674" i="5"/>
  <c r="I674" i="5" s="1"/>
  <c r="H673" i="5"/>
  <c r="I673" i="5" s="1"/>
  <c r="I672" i="5"/>
  <c r="H672" i="5"/>
  <c r="H671" i="5"/>
  <c r="I671" i="5" s="1"/>
  <c r="I670" i="5"/>
  <c r="H670" i="5"/>
  <c r="H669" i="5"/>
  <c r="I669" i="5" s="1"/>
  <c r="H668" i="5"/>
  <c r="I668" i="5" s="1"/>
  <c r="H667" i="5"/>
  <c r="I667" i="5" s="1"/>
  <c r="I666" i="5"/>
  <c r="H666" i="5"/>
  <c r="H665" i="5"/>
  <c r="I665" i="5" s="1"/>
  <c r="H664" i="5"/>
  <c r="I664" i="5" s="1"/>
  <c r="H663" i="5"/>
  <c r="I663" i="5" s="1"/>
  <c r="H662" i="5"/>
  <c r="I662" i="5" s="1"/>
  <c r="H661" i="5"/>
  <c r="I661" i="5" s="1"/>
  <c r="I660" i="5"/>
  <c r="H660" i="5"/>
  <c r="H659" i="5"/>
  <c r="I659" i="5" s="1"/>
  <c r="H658" i="5"/>
  <c r="I658" i="5" s="1"/>
  <c r="I657" i="5"/>
  <c r="H657" i="5"/>
  <c r="H656" i="5"/>
  <c r="I656" i="5" s="1"/>
  <c r="H655" i="5"/>
  <c r="I655" i="5" s="1"/>
  <c r="H654" i="5"/>
  <c r="I654" i="5" s="1"/>
  <c r="H653" i="5"/>
  <c r="I653" i="5" s="1"/>
  <c r="H652" i="5"/>
  <c r="I652" i="5" s="1"/>
  <c r="I651" i="5"/>
  <c r="H651" i="5"/>
  <c r="H650" i="5"/>
  <c r="I650" i="5" s="1"/>
  <c r="H649" i="5"/>
  <c r="I649" i="5" s="1"/>
  <c r="H648" i="5"/>
  <c r="I648" i="5" s="1"/>
  <c r="I647" i="5"/>
  <c r="H647" i="5"/>
  <c r="H646" i="5"/>
  <c r="I646" i="5" s="1"/>
  <c r="I645" i="5"/>
  <c r="H645" i="5"/>
  <c r="H644" i="5"/>
  <c r="I644" i="5" s="1"/>
  <c r="H643" i="5"/>
  <c r="I643" i="5" s="1"/>
  <c r="H642" i="5"/>
  <c r="I642" i="5" s="1"/>
  <c r="I641" i="5"/>
  <c r="H641" i="5"/>
  <c r="H640" i="5"/>
  <c r="I640" i="5" s="1"/>
  <c r="H639" i="5"/>
  <c r="I639" i="5" s="1"/>
  <c r="H638" i="5"/>
  <c r="I638" i="5" s="1"/>
  <c r="I637" i="5"/>
  <c r="H637" i="5"/>
  <c r="H636" i="5"/>
  <c r="I636" i="5" s="1"/>
  <c r="I635" i="5"/>
  <c r="H635" i="5"/>
  <c r="H634" i="5"/>
  <c r="I634" i="5" s="1"/>
  <c r="H633" i="5"/>
  <c r="I633" i="5" s="1"/>
  <c r="H632" i="5"/>
  <c r="I632" i="5" s="1"/>
  <c r="H631" i="5"/>
  <c r="I631" i="5" s="1"/>
  <c r="H630" i="5"/>
  <c r="I630" i="5" s="1"/>
  <c r="H629" i="5"/>
  <c r="I629" i="5" s="1"/>
  <c r="H628" i="5"/>
  <c r="I628" i="5" s="1"/>
  <c r="H627" i="5"/>
  <c r="I627" i="5" s="1"/>
  <c r="H626" i="5"/>
  <c r="I626" i="5" s="1"/>
  <c r="H625" i="5"/>
  <c r="I625" i="5" s="1"/>
  <c r="H624" i="5"/>
  <c r="I624" i="5" s="1"/>
  <c r="H623" i="5"/>
  <c r="I623" i="5" s="1"/>
  <c r="I622" i="5"/>
  <c r="H622" i="5"/>
  <c r="H621" i="5"/>
  <c r="I621" i="5" s="1"/>
  <c r="I620" i="5"/>
  <c r="H620" i="5"/>
  <c r="H619" i="5"/>
  <c r="I619" i="5" s="1"/>
  <c r="H618" i="5"/>
  <c r="I618" i="5" s="1"/>
  <c r="H617" i="5"/>
  <c r="I617" i="5" s="1"/>
  <c r="I616" i="5"/>
  <c r="H616" i="5"/>
  <c r="H615" i="5"/>
  <c r="I615" i="5" s="1"/>
  <c r="H614" i="5"/>
  <c r="I614" i="5" s="1"/>
  <c r="H613" i="5"/>
  <c r="I613" i="5" s="1"/>
  <c r="I612" i="5"/>
  <c r="H612" i="5"/>
  <c r="H611" i="5"/>
  <c r="I611" i="5" s="1"/>
  <c r="I610" i="5"/>
  <c r="H610" i="5"/>
  <c r="H609" i="5"/>
  <c r="I609" i="5" s="1"/>
  <c r="H608" i="5"/>
  <c r="I608" i="5" s="1"/>
  <c r="H607" i="5"/>
  <c r="I607" i="5" s="1"/>
  <c r="I606" i="5"/>
  <c r="H606" i="5"/>
  <c r="I605" i="5"/>
  <c r="H605" i="5"/>
  <c r="I604" i="5"/>
  <c r="H604" i="5"/>
  <c r="H603" i="5"/>
  <c r="I603" i="5" s="1"/>
  <c r="I602" i="5"/>
  <c r="H602" i="5"/>
  <c r="H601" i="5"/>
  <c r="I601" i="5" s="1"/>
  <c r="H600" i="5"/>
  <c r="I600" i="5" s="1"/>
  <c r="I599" i="5"/>
  <c r="H599" i="5"/>
  <c r="H598" i="5"/>
  <c r="I598" i="5" s="1"/>
  <c r="H597" i="5"/>
  <c r="I597" i="5" s="1"/>
  <c r="H596" i="5"/>
  <c r="I596" i="5" s="1"/>
  <c r="I595" i="5"/>
  <c r="H595" i="5"/>
  <c r="I594" i="5"/>
  <c r="H594" i="5"/>
  <c r="H593" i="5"/>
  <c r="I593" i="5" s="1"/>
  <c r="H592" i="5"/>
  <c r="I592" i="5" s="1"/>
  <c r="H591" i="5"/>
  <c r="I591" i="5" s="1"/>
  <c r="H590" i="5"/>
  <c r="I590" i="5" s="1"/>
  <c r="H589" i="5"/>
  <c r="I589" i="5" s="1"/>
  <c r="H588" i="5"/>
  <c r="I588" i="5" s="1"/>
  <c r="I587" i="5"/>
  <c r="H587" i="5"/>
  <c r="H586" i="5"/>
  <c r="I586" i="5" s="1"/>
  <c r="H585" i="5"/>
  <c r="I585" i="5" s="1"/>
  <c r="I584" i="5"/>
  <c r="H584" i="5"/>
  <c r="H583" i="5"/>
  <c r="I583" i="5" s="1"/>
  <c r="I582" i="5"/>
  <c r="H582" i="5"/>
  <c r="H581" i="5"/>
  <c r="I581" i="5" s="1"/>
  <c r="I580" i="5"/>
  <c r="H580" i="5"/>
  <c r="H579" i="5"/>
  <c r="I579" i="5" s="1"/>
  <c r="H578" i="5"/>
  <c r="I578" i="5" s="1"/>
  <c r="I577" i="5"/>
  <c r="H577" i="5"/>
  <c r="I576" i="5"/>
  <c r="H576" i="5"/>
  <c r="H575" i="5"/>
  <c r="I575" i="5" s="1"/>
  <c r="I574" i="5"/>
  <c r="H574" i="5"/>
  <c r="H573" i="5"/>
  <c r="I573" i="5" s="1"/>
  <c r="H572" i="5"/>
  <c r="I572" i="5" s="1"/>
  <c r="I571" i="5"/>
  <c r="H571" i="5"/>
  <c r="H570" i="5"/>
  <c r="I570" i="5" s="1"/>
  <c r="H569" i="5"/>
  <c r="I569" i="5" s="1"/>
  <c r="H568" i="5"/>
  <c r="I568" i="5" s="1"/>
  <c r="I567" i="5"/>
  <c r="H567" i="5"/>
  <c r="I566" i="5"/>
  <c r="H566" i="5"/>
  <c r="I565" i="5"/>
  <c r="H565" i="5"/>
  <c r="H564" i="5"/>
  <c r="I564" i="5" s="1"/>
  <c r="H563" i="5"/>
  <c r="I563" i="5" s="1"/>
  <c r="H562" i="5"/>
  <c r="I562" i="5" s="1"/>
  <c r="H561" i="5"/>
  <c r="I561" i="5" s="1"/>
  <c r="I560" i="5"/>
  <c r="H560" i="5"/>
  <c r="H559" i="5"/>
  <c r="I559" i="5" s="1"/>
  <c r="H558" i="5"/>
  <c r="I558" i="5" s="1"/>
  <c r="H557" i="5"/>
  <c r="I557" i="5" s="1"/>
  <c r="I556" i="5"/>
  <c r="H556" i="5"/>
  <c r="I555" i="5"/>
  <c r="H555" i="5"/>
  <c r="I554" i="5"/>
  <c r="H554" i="5"/>
  <c r="H553" i="5"/>
  <c r="I553" i="5" s="1"/>
  <c r="I552" i="5"/>
  <c r="H552" i="5"/>
  <c r="I551" i="5"/>
  <c r="H551" i="5"/>
  <c r="H550" i="5"/>
  <c r="I550" i="5" s="1"/>
  <c r="I549" i="5"/>
  <c r="H549" i="5"/>
  <c r="H548" i="5"/>
  <c r="I548" i="5" s="1"/>
  <c r="H547" i="5"/>
  <c r="I547" i="5" s="1"/>
  <c r="H546" i="5"/>
  <c r="I546" i="5" s="1"/>
  <c r="I545" i="5"/>
  <c r="H545" i="5"/>
  <c r="I544" i="5"/>
  <c r="H544" i="5"/>
  <c r="H543" i="5"/>
  <c r="I543" i="5" s="1"/>
  <c r="H542" i="5"/>
  <c r="I542" i="5" s="1"/>
  <c r="H541" i="5"/>
  <c r="I541" i="5" s="1"/>
  <c r="H540" i="5"/>
  <c r="I540" i="5" s="1"/>
  <c r="H539" i="5"/>
  <c r="I539" i="5" s="1"/>
  <c r="H538" i="5"/>
  <c r="I538" i="5" s="1"/>
  <c r="I537" i="5"/>
  <c r="H537" i="5"/>
  <c r="H536" i="5"/>
  <c r="I536" i="5" s="1"/>
  <c r="I535" i="5"/>
  <c r="H535" i="5"/>
  <c r="I534" i="5"/>
  <c r="H534" i="5"/>
  <c r="H533" i="5"/>
  <c r="I533" i="5" s="1"/>
  <c r="I532" i="5"/>
  <c r="H532" i="5"/>
  <c r="H531" i="5"/>
  <c r="I531" i="5" s="1"/>
  <c r="H530" i="5"/>
  <c r="I530" i="5" s="1"/>
  <c r="I529" i="5"/>
  <c r="H529" i="5"/>
  <c r="H528" i="5"/>
  <c r="I528" i="5" s="1"/>
  <c r="I527" i="5"/>
  <c r="H527" i="5"/>
  <c r="I526" i="5"/>
  <c r="H526" i="5"/>
  <c r="H525" i="5"/>
  <c r="I525" i="5" s="1"/>
  <c r="H524" i="5"/>
  <c r="I524" i="5" s="1"/>
  <c r="H523" i="5"/>
  <c r="I523" i="5" s="1"/>
  <c r="H522" i="5"/>
  <c r="I522" i="5" s="1"/>
  <c r="I521" i="5"/>
  <c r="H521" i="5"/>
  <c r="H520" i="5"/>
  <c r="I520" i="5" s="1"/>
  <c r="H519" i="5"/>
  <c r="I519" i="5" s="1"/>
  <c r="H518" i="5"/>
  <c r="I518" i="5" s="1"/>
  <c r="I517" i="5"/>
  <c r="H517" i="5"/>
  <c r="I516" i="5"/>
  <c r="H516" i="5"/>
  <c r="I515" i="5"/>
  <c r="H515" i="5"/>
  <c r="H514" i="5"/>
  <c r="I514" i="5" s="1"/>
  <c r="H513" i="5"/>
  <c r="I513" i="5" s="1"/>
  <c r="I512" i="5"/>
  <c r="H512" i="5"/>
  <c r="H511" i="5"/>
  <c r="I511" i="5" s="1"/>
  <c r="I510" i="5"/>
  <c r="H510" i="5"/>
  <c r="H509" i="5"/>
  <c r="I509" i="5" s="1"/>
  <c r="H508" i="5"/>
  <c r="I508" i="5" s="1"/>
  <c r="H507" i="5"/>
  <c r="I507" i="5" s="1"/>
  <c r="I506" i="5"/>
  <c r="H506" i="5"/>
  <c r="I505" i="5"/>
  <c r="H505" i="5"/>
  <c r="I504" i="5"/>
  <c r="H504" i="5"/>
  <c r="H503" i="5"/>
  <c r="I503" i="5" s="1"/>
  <c r="H502" i="5"/>
  <c r="I502" i="5" s="1"/>
  <c r="I501" i="5"/>
  <c r="H501" i="5"/>
  <c r="H500" i="5"/>
  <c r="I500" i="5" s="1"/>
  <c r="I499" i="5"/>
  <c r="H499" i="5"/>
  <c r="H498" i="5"/>
  <c r="I498" i="5" s="1"/>
  <c r="H497" i="5"/>
  <c r="I497" i="5" s="1"/>
  <c r="H496" i="5"/>
  <c r="I496" i="5" s="1"/>
  <c r="I495" i="5"/>
  <c r="H495" i="5"/>
  <c r="I494" i="5"/>
  <c r="H494" i="5"/>
  <c r="H493" i="5"/>
  <c r="I493" i="5" s="1"/>
  <c r="H492" i="5"/>
  <c r="I492" i="5" s="1"/>
  <c r="H491" i="5"/>
  <c r="I491" i="5" s="1"/>
  <c r="H490" i="5"/>
  <c r="I490" i="5" s="1"/>
  <c r="H489" i="5"/>
  <c r="I489" i="5" s="1"/>
  <c r="H488" i="5"/>
  <c r="I488" i="5" s="1"/>
  <c r="I487" i="5"/>
  <c r="H487" i="5"/>
  <c r="H486" i="5"/>
  <c r="I486" i="5" s="1"/>
  <c r="H485" i="5"/>
  <c r="I485" i="5" s="1"/>
  <c r="I484" i="5"/>
  <c r="H484" i="5"/>
  <c r="H483" i="5"/>
  <c r="I483" i="5" s="1"/>
  <c r="I482" i="5"/>
  <c r="H482" i="5"/>
  <c r="H481" i="5"/>
  <c r="I481" i="5" s="1"/>
  <c r="I480" i="5"/>
  <c r="H480" i="5"/>
  <c r="H479" i="5"/>
  <c r="I479" i="5" s="1"/>
  <c r="H478" i="5"/>
  <c r="I478" i="5" s="1"/>
  <c r="I477" i="5"/>
  <c r="H477" i="5"/>
  <c r="I476" i="5"/>
  <c r="H476" i="5"/>
  <c r="H475" i="5"/>
  <c r="I475" i="5" s="1"/>
  <c r="I474" i="5"/>
  <c r="H474" i="5"/>
  <c r="H473" i="5"/>
  <c r="I473" i="5" s="1"/>
  <c r="H472" i="5"/>
  <c r="I472" i="5" s="1"/>
  <c r="I471" i="5"/>
  <c r="H471" i="5"/>
  <c r="H470" i="5"/>
  <c r="I470" i="5" s="1"/>
  <c r="H469" i="5"/>
  <c r="I469" i="5" s="1"/>
  <c r="H468" i="5"/>
  <c r="I468" i="5" s="1"/>
  <c r="I467" i="5"/>
  <c r="H467" i="5"/>
  <c r="I466" i="5"/>
  <c r="H466" i="5"/>
  <c r="I465" i="5"/>
  <c r="H465" i="5"/>
  <c r="H464" i="5"/>
  <c r="I464" i="5" s="1"/>
  <c r="H463" i="5"/>
  <c r="I463" i="5" s="1"/>
  <c r="H462" i="5"/>
  <c r="I462" i="5" s="1"/>
  <c r="H461" i="5"/>
  <c r="I461" i="5" s="1"/>
  <c r="I460" i="5"/>
  <c r="H460" i="5"/>
  <c r="H459" i="5"/>
  <c r="I459" i="5" s="1"/>
  <c r="H458" i="5"/>
  <c r="I458" i="5" s="1"/>
  <c r="H457" i="5"/>
  <c r="I457" i="5" s="1"/>
  <c r="I456" i="5"/>
  <c r="H456" i="5"/>
  <c r="I455" i="5"/>
  <c r="H455" i="5"/>
  <c r="I454" i="5"/>
  <c r="H454" i="5"/>
  <c r="H453" i="5"/>
  <c r="I453" i="5" s="1"/>
  <c r="I452" i="5"/>
  <c r="H452" i="5"/>
  <c r="I451" i="5"/>
  <c r="H451" i="5"/>
  <c r="I450" i="5"/>
  <c r="H450" i="5"/>
  <c r="I449" i="5"/>
  <c r="H449" i="5"/>
  <c r="H448" i="5"/>
  <c r="I448" i="5" s="1"/>
  <c r="H447" i="5"/>
  <c r="I447" i="5" s="1"/>
  <c r="I446" i="5"/>
  <c r="H446" i="5"/>
  <c r="I445" i="5"/>
  <c r="H445" i="5"/>
  <c r="I444" i="5"/>
  <c r="H444" i="5"/>
  <c r="H443" i="5"/>
  <c r="I443" i="5" s="1"/>
  <c r="H442" i="5"/>
  <c r="I442" i="5" s="1"/>
  <c r="I441" i="5"/>
  <c r="H441" i="5"/>
  <c r="I440" i="5"/>
  <c r="H440" i="5"/>
  <c r="I439" i="5"/>
  <c r="H439" i="5"/>
  <c r="H438" i="5"/>
  <c r="I438" i="5" s="1"/>
  <c r="H437" i="5"/>
  <c r="I437" i="5" s="1"/>
  <c r="I436" i="5"/>
  <c r="H436" i="5"/>
  <c r="I435" i="5"/>
  <c r="H435" i="5"/>
  <c r="I434" i="5"/>
  <c r="H434" i="5"/>
  <c r="H433" i="5"/>
  <c r="I433" i="5" s="1"/>
  <c r="I432" i="5"/>
  <c r="H432" i="5"/>
  <c r="I431" i="5"/>
  <c r="H431" i="5"/>
  <c r="I430" i="5"/>
  <c r="H430" i="5"/>
  <c r="I429" i="5"/>
  <c r="H429" i="5"/>
  <c r="H428" i="5"/>
  <c r="I428" i="5" s="1"/>
  <c r="H427" i="5"/>
  <c r="I427" i="5" s="1"/>
  <c r="I426" i="5"/>
  <c r="H426" i="5"/>
  <c r="I425" i="5"/>
  <c r="H425" i="5"/>
  <c r="I424" i="5"/>
  <c r="H424" i="5"/>
  <c r="H423" i="5"/>
  <c r="I423" i="5" s="1"/>
  <c r="H422" i="5"/>
  <c r="I422" i="5" s="1"/>
  <c r="I421" i="5"/>
  <c r="H421" i="5"/>
  <c r="I420" i="5"/>
  <c r="H420" i="5"/>
  <c r="I419" i="5"/>
  <c r="H419" i="5"/>
  <c r="H418" i="5"/>
  <c r="I418" i="5" s="1"/>
  <c r="H417" i="5"/>
  <c r="I417" i="5" s="1"/>
  <c r="I416" i="5"/>
  <c r="H416" i="5"/>
  <c r="I415" i="5"/>
  <c r="H415" i="5"/>
  <c r="I414" i="5"/>
  <c r="H414" i="5"/>
  <c r="H413" i="5"/>
  <c r="I413" i="5" s="1"/>
  <c r="H412" i="5"/>
  <c r="I412" i="5" s="1"/>
  <c r="I411" i="5"/>
  <c r="H411" i="5"/>
  <c r="I410" i="5"/>
  <c r="H410" i="5"/>
  <c r="I409" i="5"/>
  <c r="H409" i="5"/>
  <c r="H408" i="5"/>
  <c r="I408" i="5" s="1"/>
  <c r="H407" i="5"/>
  <c r="I407" i="5" s="1"/>
  <c r="I406" i="5"/>
  <c r="H406" i="5"/>
  <c r="I405" i="5"/>
  <c r="H405" i="5"/>
  <c r="I404" i="5"/>
  <c r="H404" i="5"/>
  <c r="H403" i="5"/>
  <c r="I403" i="5" s="1"/>
  <c r="I402" i="5"/>
  <c r="H402" i="5"/>
  <c r="I401" i="5"/>
  <c r="H401" i="5"/>
  <c r="I400" i="5"/>
  <c r="H400" i="5"/>
  <c r="I399" i="5"/>
  <c r="H399" i="5"/>
  <c r="H398" i="5"/>
  <c r="I398" i="5" s="1"/>
  <c r="H397" i="5"/>
  <c r="I397" i="5" s="1"/>
  <c r="I396" i="5"/>
  <c r="H396" i="5"/>
  <c r="I395" i="5"/>
  <c r="H395" i="5"/>
  <c r="I394" i="5"/>
  <c r="H394" i="5"/>
  <c r="H393" i="5"/>
  <c r="I393" i="5" s="1"/>
  <c r="H392" i="5"/>
  <c r="I392" i="5" s="1"/>
  <c r="I391" i="5"/>
  <c r="H391" i="5"/>
  <c r="I390" i="5"/>
  <c r="H390" i="5"/>
  <c r="I389" i="5"/>
  <c r="H389" i="5"/>
  <c r="H388" i="5"/>
  <c r="I388" i="5" s="1"/>
  <c r="H387" i="5"/>
  <c r="I387" i="5" s="1"/>
  <c r="I386" i="5"/>
  <c r="H386" i="5"/>
  <c r="I385" i="5"/>
  <c r="H385" i="5"/>
  <c r="I384" i="5"/>
  <c r="H384" i="5"/>
  <c r="H383" i="5"/>
  <c r="I383" i="5" s="1"/>
  <c r="I382" i="5"/>
  <c r="H382" i="5"/>
  <c r="I381" i="5"/>
  <c r="H381" i="5"/>
  <c r="I380" i="5"/>
  <c r="H380" i="5"/>
  <c r="I379" i="5"/>
  <c r="H379" i="5"/>
  <c r="H378" i="5"/>
  <c r="I378" i="5" s="1"/>
  <c r="H377" i="5"/>
  <c r="I377" i="5" s="1"/>
  <c r="I376" i="5"/>
  <c r="H376" i="5"/>
  <c r="I375" i="5"/>
  <c r="H375" i="5"/>
  <c r="I374" i="5"/>
  <c r="H374" i="5"/>
  <c r="H373" i="5"/>
  <c r="I373" i="5" s="1"/>
  <c r="H372" i="5"/>
  <c r="I372" i="5" s="1"/>
  <c r="I371" i="5"/>
  <c r="H371" i="5"/>
  <c r="I370" i="5"/>
  <c r="H370" i="5"/>
  <c r="I369" i="5"/>
  <c r="H369" i="5"/>
  <c r="H368" i="5"/>
  <c r="I368" i="5" s="1"/>
  <c r="H367" i="5"/>
  <c r="I367" i="5" s="1"/>
  <c r="I366" i="5"/>
  <c r="H366" i="5"/>
  <c r="I365" i="5"/>
  <c r="H365" i="5"/>
  <c r="I364" i="5"/>
  <c r="H364" i="5"/>
  <c r="H363" i="5"/>
  <c r="I363" i="5" s="1"/>
  <c r="H362" i="5"/>
  <c r="I362" i="5" s="1"/>
  <c r="I361" i="5"/>
  <c r="H361" i="5"/>
  <c r="I360" i="5"/>
  <c r="H360" i="5"/>
  <c r="I359" i="5"/>
  <c r="H359" i="5"/>
  <c r="H358" i="5"/>
  <c r="I358" i="5" s="1"/>
  <c r="H357" i="5"/>
  <c r="I357" i="5" s="1"/>
  <c r="I356" i="5"/>
  <c r="H356" i="5"/>
  <c r="I355" i="5"/>
  <c r="H355" i="5"/>
  <c r="I354" i="5"/>
  <c r="H354" i="5"/>
  <c r="H353" i="5"/>
  <c r="I353" i="5" s="1"/>
  <c r="I352" i="5"/>
  <c r="H352" i="5"/>
  <c r="I351" i="5"/>
  <c r="H351" i="5"/>
  <c r="I350" i="5"/>
  <c r="H350" i="5"/>
  <c r="I349" i="5"/>
  <c r="H349" i="5"/>
  <c r="H348" i="5"/>
  <c r="I348" i="5" s="1"/>
  <c r="H347" i="5"/>
  <c r="I347" i="5" s="1"/>
  <c r="I346" i="5"/>
  <c r="H346" i="5"/>
  <c r="I345" i="5"/>
  <c r="H345" i="5"/>
  <c r="I344" i="5"/>
  <c r="H344" i="5"/>
  <c r="H343" i="5"/>
  <c r="I343" i="5" s="1"/>
  <c r="H342" i="5"/>
  <c r="I342" i="5" s="1"/>
  <c r="I341" i="5"/>
  <c r="H341" i="5"/>
  <c r="H340" i="5"/>
  <c r="I340" i="5" s="1"/>
  <c r="I339" i="5"/>
  <c r="H339" i="5"/>
  <c r="H338" i="5"/>
  <c r="I338" i="5" s="1"/>
  <c r="H337" i="5"/>
  <c r="I337" i="5" s="1"/>
  <c r="I336" i="5"/>
  <c r="H336" i="5"/>
  <c r="H335" i="5"/>
  <c r="I335" i="5" s="1"/>
  <c r="I334" i="5"/>
  <c r="H334" i="5"/>
  <c r="H333" i="5"/>
  <c r="I333" i="5" s="1"/>
  <c r="I332" i="5"/>
  <c r="H332" i="5"/>
  <c r="I331" i="5"/>
  <c r="H331" i="5"/>
  <c r="I330" i="5"/>
  <c r="H330" i="5"/>
  <c r="I329" i="5"/>
  <c r="H329" i="5"/>
  <c r="H328" i="5"/>
  <c r="I328" i="5" s="1"/>
  <c r="H327" i="5"/>
  <c r="I327" i="5" s="1"/>
  <c r="I326" i="5"/>
  <c r="H326" i="5"/>
  <c r="H325" i="5"/>
  <c r="I325" i="5" s="1"/>
  <c r="I324" i="5"/>
  <c r="H324" i="5"/>
  <c r="H323" i="5"/>
  <c r="I323" i="5" s="1"/>
  <c r="H322" i="5"/>
  <c r="I322" i="5" s="1"/>
  <c r="I321" i="5"/>
  <c r="H321" i="5"/>
  <c r="H320" i="5"/>
  <c r="I320" i="5" s="1"/>
  <c r="I319" i="5"/>
  <c r="H319" i="5"/>
  <c r="H318" i="5"/>
  <c r="I318" i="5" s="1"/>
  <c r="H317" i="5"/>
  <c r="I317" i="5" s="1"/>
  <c r="I316" i="5"/>
  <c r="H316" i="5"/>
  <c r="H315" i="5"/>
  <c r="I315" i="5" s="1"/>
  <c r="I314" i="5"/>
  <c r="H314" i="5"/>
  <c r="H313" i="5"/>
  <c r="I313" i="5" s="1"/>
  <c r="H312" i="5"/>
  <c r="I312" i="5" s="1"/>
  <c r="I311" i="5"/>
  <c r="H311" i="5"/>
  <c r="I310" i="5"/>
  <c r="H310" i="5"/>
  <c r="I309" i="5"/>
  <c r="H309" i="5"/>
  <c r="I308" i="5"/>
  <c r="H308" i="5"/>
  <c r="H307" i="5"/>
  <c r="I307" i="5" s="1"/>
  <c r="I306" i="5"/>
  <c r="H306" i="5"/>
  <c r="I305" i="5"/>
  <c r="H305" i="5"/>
  <c r="I304" i="5"/>
  <c r="H304" i="5"/>
  <c r="I303" i="5"/>
  <c r="H303" i="5"/>
  <c r="H302" i="5"/>
  <c r="I302" i="5" s="1"/>
  <c r="I301" i="5"/>
  <c r="H301" i="5"/>
  <c r="I300" i="5"/>
  <c r="H300" i="5"/>
  <c r="I299" i="5"/>
  <c r="H299" i="5"/>
  <c r="I298" i="5"/>
  <c r="H298" i="5"/>
  <c r="H297" i="5"/>
  <c r="I297" i="5" s="1"/>
  <c r="I296" i="5"/>
  <c r="H296" i="5"/>
  <c r="I295" i="5"/>
  <c r="H295" i="5"/>
  <c r="I294" i="5"/>
  <c r="H294" i="5"/>
  <c r="I293" i="5"/>
  <c r="H293" i="5"/>
  <c r="H292" i="5"/>
  <c r="I292" i="5" s="1"/>
  <c r="I291" i="5"/>
  <c r="H291" i="5"/>
  <c r="I290" i="5"/>
  <c r="H290" i="5"/>
  <c r="I289" i="5"/>
  <c r="H289" i="5"/>
  <c r="I288" i="5"/>
  <c r="H288" i="5"/>
  <c r="H287" i="5"/>
  <c r="I287" i="5" s="1"/>
  <c r="I286" i="5"/>
  <c r="H286" i="5"/>
  <c r="I285" i="5"/>
  <c r="H285" i="5"/>
  <c r="I284" i="5"/>
  <c r="H284" i="5"/>
  <c r="I283" i="5"/>
  <c r="H283" i="5"/>
  <c r="H282" i="5"/>
  <c r="I282" i="5" s="1"/>
  <c r="I281" i="5"/>
  <c r="H281" i="5"/>
  <c r="I280" i="5"/>
  <c r="H280" i="5"/>
  <c r="I279" i="5"/>
  <c r="H279" i="5"/>
  <c r="I278" i="5"/>
  <c r="H278" i="5"/>
  <c r="H277" i="5"/>
  <c r="I277" i="5" s="1"/>
  <c r="I276" i="5"/>
  <c r="H276" i="5"/>
  <c r="I275" i="5"/>
  <c r="H275" i="5"/>
  <c r="I274" i="5"/>
  <c r="H274" i="5"/>
  <c r="I273" i="5"/>
  <c r="H273" i="5"/>
  <c r="H272" i="5"/>
  <c r="I272" i="5" s="1"/>
  <c r="I271" i="5"/>
  <c r="H271" i="5"/>
  <c r="I270" i="5"/>
  <c r="H270" i="5"/>
  <c r="I269" i="5"/>
  <c r="H269" i="5"/>
  <c r="I268" i="5"/>
  <c r="H268" i="5"/>
  <c r="H267" i="5"/>
  <c r="I267" i="5" s="1"/>
  <c r="I266" i="5"/>
  <c r="H266" i="5"/>
  <c r="I265" i="5"/>
  <c r="H265" i="5"/>
  <c r="I264" i="5"/>
  <c r="H264" i="5"/>
  <c r="I263" i="5"/>
  <c r="H263" i="5"/>
  <c r="H262" i="5"/>
  <c r="I262" i="5" s="1"/>
  <c r="I261" i="5"/>
  <c r="H261" i="5"/>
  <c r="I260" i="5"/>
  <c r="H260" i="5"/>
  <c r="I259" i="5"/>
  <c r="H259" i="5"/>
  <c r="I258" i="5"/>
  <c r="H258" i="5"/>
  <c r="H257" i="5"/>
  <c r="I257" i="5" s="1"/>
  <c r="I256" i="5"/>
  <c r="H256" i="5"/>
  <c r="I255" i="5"/>
  <c r="H255" i="5"/>
  <c r="I254" i="5"/>
  <c r="H254" i="5"/>
  <c r="I253" i="5"/>
  <c r="H253" i="5"/>
  <c r="H252" i="5"/>
  <c r="I252" i="5" s="1"/>
  <c r="I251" i="5"/>
  <c r="H251" i="5"/>
  <c r="I250" i="5"/>
  <c r="H250" i="5"/>
  <c r="I249" i="5"/>
  <c r="H249" i="5"/>
  <c r="I248" i="5"/>
  <c r="H248" i="5"/>
  <c r="H247" i="5"/>
  <c r="I247" i="5" s="1"/>
  <c r="I246" i="5"/>
  <c r="H246" i="5"/>
  <c r="I245" i="5"/>
  <c r="H245" i="5"/>
  <c r="I244" i="5"/>
  <c r="H244" i="5"/>
  <c r="I243" i="5"/>
  <c r="H243" i="5"/>
  <c r="H242" i="5"/>
  <c r="I242" i="5" s="1"/>
  <c r="I241" i="5"/>
  <c r="H241" i="5"/>
  <c r="I240" i="5"/>
  <c r="H240" i="5"/>
  <c r="I239" i="5"/>
  <c r="H239" i="5"/>
  <c r="I238" i="5"/>
  <c r="H238" i="5"/>
  <c r="H237" i="5"/>
  <c r="I237" i="5" s="1"/>
  <c r="I236" i="5"/>
  <c r="H236" i="5"/>
  <c r="I235" i="5"/>
  <c r="H235" i="5"/>
  <c r="I234" i="5"/>
  <c r="H234" i="5"/>
  <c r="I233" i="5"/>
  <c r="H233" i="5"/>
  <c r="H232" i="5"/>
  <c r="I232" i="5" s="1"/>
  <c r="I231" i="5"/>
  <c r="H231" i="5"/>
  <c r="I230" i="5"/>
  <c r="H230" i="5"/>
  <c r="I229" i="5"/>
  <c r="H229" i="5"/>
  <c r="I228" i="5"/>
  <c r="H228" i="5"/>
  <c r="H227" i="5"/>
  <c r="I227" i="5" s="1"/>
  <c r="I226" i="5"/>
  <c r="H226" i="5"/>
  <c r="I225" i="5"/>
  <c r="H225" i="5"/>
  <c r="I224" i="5"/>
  <c r="H224" i="5"/>
  <c r="I223" i="5"/>
  <c r="H223" i="5"/>
  <c r="H222" i="5"/>
  <c r="I222" i="5" s="1"/>
  <c r="I221" i="5"/>
  <c r="H221" i="5"/>
  <c r="I220" i="5"/>
  <c r="H220" i="5"/>
  <c r="I219" i="5"/>
  <c r="H219" i="5"/>
  <c r="I218" i="5"/>
  <c r="H218" i="5"/>
  <c r="H217" i="5"/>
  <c r="I217" i="5" s="1"/>
  <c r="I216" i="5"/>
  <c r="H216" i="5"/>
  <c r="I215" i="5"/>
  <c r="H215" i="5"/>
  <c r="I214" i="5"/>
  <c r="H214" i="5"/>
  <c r="I213" i="5"/>
  <c r="H213" i="5"/>
  <c r="H212" i="5"/>
  <c r="I212" i="5" s="1"/>
  <c r="I211" i="5"/>
  <c r="H211" i="5"/>
  <c r="I210" i="5"/>
  <c r="H210" i="5"/>
  <c r="I209" i="5"/>
  <c r="H209" i="5"/>
  <c r="I208" i="5"/>
  <c r="H208" i="5"/>
  <c r="H207" i="5"/>
  <c r="I207" i="5" s="1"/>
  <c r="I206" i="5"/>
  <c r="H206" i="5"/>
  <c r="I205" i="5"/>
  <c r="H205" i="5"/>
  <c r="I204" i="5"/>
  <c r="H204" i="5"/>
  <c r="I203" i="5"/>
  <c r="H203" i="5"/>
  <c r="H202" i="5"/>
  <c r="I202" i="5" s="1"/>
  <c r="I201" i="5"/>
  <c r="H201" i="5"/>
  <c r="I200" i="5"/>
  <c r="H200" i="5"/>
  <c r="I199" i="5"/>
  <c r="H199" i="5"/>
  <c r="I198" i="5"/>
  <c r="H198" i="5"/>
  <c r="H197" i="5"/>
  <c r="I197" i="5" s="1"/>
  <c r="I196" i="5"/>
  <c r="H196" i="5"/>
  <c r="I195" i="5"/>
  <c r="H195" i="5"/>
  <c r="I194" i="5"/>
  <c r="H194" i="5"/>
  <c r="I193" i="5"/>
  <c r="H193" i="5"/>
  <c r="H192" i="5"/>
  <c r="I192" i="5" s="1"/>
  <c r="I191" i="5"/>
  <c r="H191" i="5"/>
  <c r="I190" i="5"/>
  <c r="H190" i="5"/>
  <c r="I189" i="5"/>
  <c r="H189" i="5"/>
  <c r="I188" i="5"/>
  <c r="H188" i="5"/>
  <c r="H187" i="5"/>
  <c r="I187" i="5" s="1"/>
  <c r="I186" i="5"/>
  <c r="H186" i="5"/>
  <c r="I185" i="5"/>
  <c r="H185" i="5"/>
  <c r="I184" i="5"/>
  <c r="H184" i="5"/>
  <c r="I183" i="5"/>
  <c r="H183" i="5"/>
  <c r="H182" i="5"/>
  <c r="I182" i="5" s="1"/>
  <c r="I181" i="5"/>
  <c r="H181" i="5"/>
  <c r="I180" i="5"/>
  <c r="H180" i="5"/>
  <c r="I179" i="5"/>
  <c r="H179" i="5"/>
  <c r="I178" i="5"/>
  <c r="H178" i="5"/>
  <c r="H177" i="5"/>
  <c r="I177" i="5" s="1"/>
  <c r="I176" i="5"/>
  <c r="H176" i="5"/>
  <c r="I175" i="5"/>
  <c r="H175" i="5"/>
  <c r="H174" i="5"/>
  <c r="I174" i="5" s="1"/>
  <c r="H173" i="5"/>
  <c r="I173" i="5" s="1"/>
  <c r="I172" i="5"/>
  <c r="H172" i="5"/>
  <c r="I171" i="5"/>
  <c r="H171" i="5"/>
  <c r="H170" i="5"/>
  <c r="I170" i="5" s="1"/>
  <c r="H169" i="5"/>
  <c r="I169" i="5" s="1"/>
  <c r="H168" i="5"/>
  <c r="I168" i="5" s="1"/>
  <c r="I167" i="5"/>
  <c r="H167" i="5"/>
  <c r="I166" i="5"/>
  <c r="H166" i="5"/>
  <c r="H165" i="5"/>
  <c r="I165" i="5" s="1"/>
  <c r="H164" i="5"/>
  <c r="I164" i="5" s="1"/>
  <c r="H163" i="5"/>
  <c r="I163" i="5" s="1"/>
  <c r="H162" i="5"/>
  <c r="I162" i="5" s="1"/>
  <c r="I161" i="5"/>
  <c r="H161" i="5"/>
  <c r="H160" i="5"/>
  <c r="I160" i="5" s="1"/>
  <c r="H159" i="5"/>
  <c r="I159" i="5" s="1"/>
  <c r="I158" i="5"/>
  <c r="H158" i="5"/>
  <c r="H157" i="5"/>
  <c r="I157" i="5" s="1"/>
  <c r="I156" i="5"/>
  <c r="H156" i="5"/>
  <c r="H155" i="5"/>
  <c r="I155" i="5" s="1"/>
  <c r="H154" i="5"/>
  <c r="I154" i="5" s="1"/>
  <c r="H153" i="5"/>
  <c r="I153" i="5" s="1"/>
  <c r="H152" i="5"/>
  <c r="I152" i="5" s="1"/>
  <c r="I151" i="5"/>
  <c r="H151" i="5"/>
  <c r="I150" i="5"/>
  <c r="H150" i="5"/>
  <c r="H149" i="5"/>
  <c r="I149" i="5" s="1"/>
  <c r="H148" i="5"/>
  <c r="I148" i="5" s="1"/>
  <c r="I147" i="5"/>
  <c r="H147" i="5"/>
  <c r="I146" i="5"/>
  <c r="H146" i="5"/>
  <c r="I145" i="5"/>
  <c r="H145" i="5"/>
  <c r="H144" i="5"/>
  <c r="I144" i="5" s="1"/>
  <c r="H143" i="5"/>
  <c r="I143" i="5" s="1"/>
  <c r="H142" i="5"/>
  <c r="I142" i="5" s="1"/>
  <c r="I141" i="5"/>
  <c r="H141" i="5"/>
  <c r="H140" i="5"/>
  <c r="I140" i="5" s="1"/>
  <c r="H139" i="5"/>
  <c r="I139" i="5" s="1"/>
  <c r="H138" i="5"/>
  <c r="I138" i="5" s="1"/>
  <c r="H137" i="5"/>
  <c r="I137" i="5" s="1"/>
  <c r="I136" i="5"/>
  <c r="H136" i="5"/>
  <c r="H135" i="5"/>
  <c r="I135" i="5" s="1"/>
  <c r="H134" i="5"/>
  <c r="I134" i="5" s="1"/>
  <c r="I133" i="5"/>
  <c r="H133" i="5"/>
  <c r="H132" i="5"/>
  <c r="I132" i="5" s="1"/>
  <c r="I131" i="5"/>
  <c r="H131" i="5"/>
  <c r="H130" i="5"/>
  <c r="I130" i="5" s="1"/>
  <c r="H129" i="5"/>
  <c r="I129" i="5" s="1"/>
  <c r="I128" i="5"/>
  <c r="H128" i="5"/>
  <c r="H127" i="5"/>
  <c r="I127" i="5" s="1"/>
  <c r="I126" i="5"/>
  <c r="H126" i="5"/>
  <c r="I125" i="5"/>
  <c r="H125" i="5"/>
  <c r="H124" i="5"/>
  <c r="I124" i="5" s="1"/>
  <c r="H123" i="5"/>
  <c r="I123" i="5" s="1"/>
  <c r="I122" i="5"/>
  <c r="H122" i="5"/>
  <c r="I121" i="5"/>
  <c r="H121" i="5"/>
  <c r="H120" i="5"/>
  <c r="I120" i="5" s="1"/>
  <c r="H119" i="5"/>
  <c r="I119" i="5" s="1"/>
  <c r="H118" i="5"/>
  <c r="I118" i="5" s="1"/>
  <c r="I117" i="5"/>
  <c r="H117" i="5"/>
  <c r="I116" i="5"/>
  <c r="H116" i="5"/>
  <c r="H115" i="5"/>
  <c r="I115" i="5" s="1"/>
  <c r="H114" i="5"/>
  <c r="I114" i="5" s="1"/>
  <c r="H113" i="5"/>
  <c r="I113" i="5" s="1"/>
  <c r="H112" i="5"/>
  <c r="I112" i="5" s="1"/>
  <c r="I111" i="5"/>
  <c r="H111" i="5"/>
  <c r="H110" i="5"/>
  <c r="I110" i="5" s="1"/>
  <c r="H109" i="5"/>
  <c r="I109" i="5" s="1"/>
  <c r="I108" i="5"/>
  <c r="H108" i="5"/>
  <c r="H107" i="5"/>
  <c r="I107" i="5" s="1"/>
  <c r="I106" i="5"/>
  <c r="H106" i="5"/>
  <c r="H105" i="5"/>
  <c r="I105" i="5" s="1"/>
  <c r="H104" i="5"/>
  <c r="I104" i="5" s="1"/>
  <c r="H103" i="5"/>
  <c r="I103" i="5" s="1"/>
  <c r="H102" i="5"/>
  <c r="I102" i="5" s="1"/>
  <c r="I101" i="5"/>
  <c r="H101" i="5"/>
  <c r="I100" i="5"/>
  <c r="H100" i="5"/>
  <c r="H99" i="5"/>
  <c r="I99" i="5" s="1"/>
  <c r="H98" i="5"/>
  <c r="I98" i="5" s="1"/>
  <c r="I97" i="5"/>
  <c r="H97" i="5"/>
  <c r="I96" i="5"/>
  <c r="H96" i="5"/>
  <c r="I95" i="5"/>
  <c r="H95" i="5"/>
  <c r="H94" i="5"/>
  <c r="I94" i="5" s="1"/>
  <c r="H93" i="5"/>
  <c r="I93" i="5" s="1"/>
  <c r="H92" i="5"/>
  <c r="I92" i="5" s="1"/>
  <c r="I91" i="5"/>
  <c r="H91" i="5"/>
  <c r="H90" i="5"/>
  <c r="I90" i="5" s="1"/>
  <c r="H89" i="5"/>
  <c r="I89" i="5" s="1"/>
  <c r="H88" i="5"/>
  <c r="I88" i="5" s="1"/>
  <c r="H87" i="5"/>
  <c r="I87" i="5" s="1"/>
  <c r="I86" i="5"/>
  <c r="H86" i="5"/>
  <c r="H85" i="5"/>
  <c r="I85" i="5" s="1"/>
  <c r="H84" i="5"/>
  <c r="I84" i="5" s="1"/>
  <c r="I83" i="5"/>
  <c r="H83" i="5"/>
  <c r="H82" i="5"/>
  <c r="I82" i="5" s="1"/>
  <c r="I81" i="5"/>
  <c r="H81" i="5"/>
  <c r="H80" i="5"/>
  <c r="I80" i="5" s="1"/>
  <c r="H79" i="5"/>
  <c r="I79" i="5" s="1"/>
  <c r="I78" i="5"/>
  <c r="H78" i="5"/>
  <c r="H77" i="5"/>
  <c r="I77" i="5" s="1"/>
  <c r="I76" i="5"/>
  <c r="H76" i="5"/>
  <c r="I75" i="5"/>
  <c r="H75" i="5"/>
  <c r="H74" i="5"/>
  <c r="I74" i="5" s="1"/>
  <c r="H73" i="5"/>
  <c r="I73" i="5" s="1"/>
  <c r="I72" i="5"/>
  <c r="H72" i="5"/>
  <c r="I71" i="5"/>
  <c r="H71" i="5"/>
  <c r="H70" i="5"/>
  <c r="I70" i="5" s="1"/>
  <c r="H69" i="5"/>
  <c r="I69" i="5" s="1"/>
  <c r="H68" i="5"/>
  <c r="I68" i="5" s="1"/>
  <c r="I67" i="5"/>
  <c r="H67" i="5"/>
  <c r="I66" i="5"/>
  <c r="H66" i="5"/>
  <c r="H65" i="5"/>
  <c r="I65" i="5" s="1"/>
  <c r="H64" i="5"/>
  <c r="I64" i="5" s="1"/>
  <c r="H63" i="5"/>
  <c r="I63" i="5" s="1"/>
  <c r="H62" i="5"/>
  <c r="I62" i="5" s="1"/>
  <c r="I61" i="5"/>
  <c r="H61" i="5"/>
  <c r="H60" i="5"/>
  <c r="I60" i="5" s="1"/>
  <c r="H59" i="5"/>
  <c r="I59" i="5" s="1"/>
  <c r="I58" i="5"/>
  <c r="H58" i="5"/>
  <c r="H57" i="5"/>
  <c r="I57" i="5" s="1"/>
  <c r="I56" i="5"/>
  <c r="H56" i="5"/>
  <c r="H55" i="5"/>
  <c r="I55" i="5" s="1"/>
  <c r="H54" i="5"/>
  <c r="I54" i="5" s="1"/>
  <c r="H53" i="5"/>
  <c r="I53" i="5" s="1"/>
  <c r="H52" i="5"/>
  <c r="I52" i="5" s="1"/>
  <c r="I51" i="5"/>
  <c r="H51" i="5"/>
  <c r="I50" i="5"/>
  <c r="H50" i="5"/>
  <c r="H49" i="5"/>
  <c r="I49" i="5" s="1"/>
  <c r="H48" i="5"/>
  <c r="I48" i="5" s="1"/>
  <c r="I47" i="5"/>
  <c r="H47" i="5"/>
  <c r="I46" i="5"/>
  <c r="H46" i="5"/>
  <c r="I45" i="5"/>
  <c r="H45" i="5"/>
  <c r="H44" i="5"/>
  <c r="I44" i="5" s="1"/>
  <c r="H43" i="5"/>
  <c r="I43" i="5" s="1"/>
  <c r="H42" i="5"/>
  <c r="I42" i="5" s="1"/>
  <c r="I41" i="5"/>
  <c r="H41" i="5"/>
  <c r="H40" i="5"/>
  <c r="I40" i="5" s="1"/>
  <c r="H39" i="5"/>
  <c r="I39" i="5" s="1"/>
  <c r="H38" i="5"/>
  <c r="I38" i="5" s="1"/>
  <c r="H37" i="5"/>
  <c r="I37" i="5" s="1"/>
  <c r="I36" i="5"/>
  <c r="H36" i="5"/>
  <c r="H35" i="5"/>
  <c r="I35" i="5" s="1"/>
  <c r="H34" i="5"/>
  <c r="I34" i="5" s="1"/>
  <c r="I33" i="5"/>
  <c r="H33" i="5"/>
  <c r="H32" i="5"/>
  <c r="I32" i="5" s="1"/>
  <c r="I31" i="5"/>
  <c r="H31" i="5"/>
  <c r="H30" i="5"/>
  <c r="I30" i="5" s="1"/>
  <c r="H29" i="5"/>
  <c r="I29" i="5" s="1"/>
  <c r="I28" i="5"/>
  <c r="H28" i="5"/>
  <c r="H27" i="5"/>
  <c r="I27" i="5" s="1"/>
  <c r="I26" i="5"/>
  <c r="H26" i="5"/>
  <c r="I25" i="5"/>
  <c r="H25" i="5"/>
  <c r="H24" i="5"/>
  <c r="I24" i="5" s="1"/>
  <c r="H23" i="5"/>
  <c r="I23" i="5" s="1"/>
  <c r="I22" i="5"/>
  <c r="H22" i="5"/>
  <c r="I21" i="5"/>
  <c r="H21" i="5"/>
  <c r="H20" i="5"/>
  <c r="I20" i="5" s="1"/>
  <c r="H19" i="5"/>
  <c r="I19" i="5" s="1"/>
  <c r="H18" i="5"/>
  <c r="I18" i="5" s="1"/>
  <c r="I17" i="5"/>
  <c r="H17" i="5"/>
  <c r="I16" i="5"/>
  <c r="H16" i="5"/>
  <c r="H15" i="5"/>
  <c r="I15" i="5" s="1"/>
  <c r="H14" i="5"/>
  <c r="I14" i="5" s="1"/>
  <c r="H13" i="5"/>
  <c r="I13" i="5" s="1"/>
  <c r="H12" i="5"/>
  <c r="I12" i="5" s="1"/>
  <c r="I11" i="5"/>
  <c r="H11" i="5"/>
  <c r="H10" i="5"/>
  <c r="I10" i="5" s="1"/>
  <c r="H9" i="5"/>
  <c r="I9" i="5" s="1"/>
  <c r="I8" i="5"/>
  <c r="H8" i="5"/>
  <c r="H7" i="5"/>
  <c r="I7" i="5" s="1"/>
  <c r="I6" i="5"/>
  <c r="H6" i="5"/>
  <c r="H5" i="5"/>
  <c r="I5" i="5" s="1"/>
  <c r="H4" i="5"/>
  <c r="I4" i="5" s="1"/>
  <c r="H3" i="5"/>
  <c r="I3" i="5" s="1"/>
  <c r="I2" i="5"/>
  <c r="H2" i="5"/>
  <c r="F878" i="5"/>
  <c r="G878" i="5" s="1"/>
  <c r="F877" i="5"/>
  <c r="G877" i="5" s="1"/>
  <c r="F876" i="5"/>
  <c r="G876" i="5" s="1"/>
  <c r="F875" i="5"/>
  <c r="G875" i="5" s="1"/>
  <c r="F874" i="5"/>
  <c r="G874" i="5" s="1"/>
  <c r="F873" i="5"/>
  <c r="G873" i="5" s="1"/>
  <c r="F872" i="5"/>
  <c r="G872" i="5" s="1"/>
  <c r="F871" i="5"/>
  <c r="G871" i="5" s="1"/>
  <c r="F870" i="5"/>
  <c r="G870" i="5" s="1"/>
  <c r="G869" i="5"/>
  <c r="F869" i="5"/>
  <c r="F868" i="5"/>
  <c r="G868" i="5" s="1"/>
  <c r="F867" i="5"/>
  <c r="G867" i="5" s="1"/>
  <c r="G866" i="5"/>
  <c r="F866" i="5"/>
  <c r="F865" i="5"/>
  <c r="G865" i="5" s="1"/>
  <c r="F864" i="5"/>
  <c r="G864" i="5" s="1"/>
  <c r="F863" i="5"/>
  <c r="G863" i="5" s="1"/>
  <c r="G862" i="5"/>
  <c r="F862" i="5"/>
  <c r="G861" i="5"/>
  <c r="F861" i="5"/>
  <c r="F860" i="5"/>
  <c r="G860" i="5" s="1"/>
  <c r="F859" i="5"/>
  <c r="G859" i="5" s="1"/>
  <c r="G858" i="5"/>
  <c r="F858" i="5"/>
  <c r="F857" i="5"/>
  <c r="G857" i="5" s="1"/>
  <c r="F856" i="5"/>
  <c r="G856" i="5" s="1"/>
  <c r="F855" i="5"/>
  <c r="G855" i="5" s="1"/>
  <c r="F854" i="5"/>
  <c r="G854" i="5" s="1"/>
  <c r="G853" i="5"/>
  <c r="F853" i="5"/>
  <c r="F852" i="5"/>
  <c r="G852" i="5" s="1"/>
  <c r="F851" i="5"/>
  <c r="G851" i="5" s="1"/>
  <c r="F850" i="5"/>
  <c r="G850" i="5" s="1"/>
  <c r="G849" i="5"/>
  <c r="F849" i="5"/>
  <c r="F848" i="5"/>
  <c r="G848" i="5" s="1"/>
  <c r="G847" i="5"/>
  <c r="F847" i="5"/>
  <c r="F846" i="5"/>
  <c r="G846" i="5" s="1"/>
  <c r="F845" i="5"/>
  <c r="G845" i="5" s="1"/>
  <c r="G844" i="5"/>
  <c r="F844" i="5"/>
  <c r="F843" i="5"/>
  <c r="G843" i="5" s="1"/>
  <c r="G842" i="5"/>
  <c r="F842" i="5"/>
  <c r="F841" i="5"/>
  <c r="G841" i="5" s="1"/>
  <c r="F840" i="5"/>
  <c r="G840" i="5" s="1"/>
  <c r="F839" i="5"/>
  <c r="G839" i="5" s="1"/>
  <c r="G838" i="5"/>
  <c r="F838" i="5"/>
  <c r="G837" i="5"/>
  <c r="F837" i="5"/>
  <c r="G836" i="5"/>
  <c r="F836" i="5"/>
  <c r="F835" i="5"/>
  <c r="G835" i="5" s="1"/>
  <c r="G834" i="5"/>
  <c r="F834" i="5"/>
  <c r="G833" i="5"/>
  <c r="F833" i="5"/>
  <c r="F832" i="5"/>
  <c r="G832" i="5" s="1"/>
  <c r="G831" i="5"/>
  <c r="F831" i="5"/>
  <c r="F830" i="5"/>
  <c r="G830" i="5" s="1"/>
  <c r="F829" i="5"/>
  <c r="G829" i="5" s="1"/>
  <c r="F828" i="5"/>
  <c r="G828" i="5" s="1"/>
  <c r="G827" i="5"/>
  <c r="F827" i="5"/>
  <c r="F826" i="5"/>
  <c r="G826" i="5" s="1"/>
  <c r="F825" i="5"/>
  <c r="G825" i="5" s="1"/>
  <c r="F824" i="5"/>
  <c r="G824" i="5" s="1"/>
  <c r="F823" i="5"/>
  <c r="G823" i="5" s="1"/>
  <c r="G822" i="5"/>
  <c r="F822" i="5"/>
  <c r="F821" i="5"/>
  <c r="G821" i="5" s="1"/>
  <c r="F820" i="5"/>
  <c r="G820" i="5" s="1"/>
  <c r="G819" i="5"/>
  <c r="F819" i="5"/>
  <c r="F818" i="5"/>
  <c r="G818" i="5" s="1"/>
  <c r="G817" i="5"/>
  <c r="F817" i="5"/>
  <c r="G816" i="5"/>
  <c r="F816" i="5"/>
  <c r="F815" i="5"/>
  <c r="G815" i="5" s="1"/>
  <c r="G814" i="5"/>
  <c r="F814" i="5"/>
  <c r="F813" i="5"/>
  <c r="G813" i="5" s="1"/>
  <c r="F812" i="5"/>
  <c r="G812" i="5" s="1"/>
  <c r="G811" i="5"/>
  <c r="F811" i="5"/>
  <c r="F810" i="5"/>
  <c r="G810" i="5" s="1"/>
  <c r="F809" i="5"/>
  <c r="G809" i="5" s="1"/>
  <c r="G808" i="5"/>
  <c r="F808" i="5"/>
  <c r="F807" i="5"/>
  <c r="G807" i="5" s="1"/>
  <c r="F806" i="5"/>
  <c r="G806" i="5" s="1"/>
  <c r="F805" i="5"/>
  <c r="G805" i="5" s="1"/>
  <c r="F804" i="5"/>
  <c r="G804" i="5" s="1"/>
  <c r="G803" i="5"/>
  <c r="F803" i="5"/>
  <c r="F802" i="5"/>
  <c r="G802" i="5" s="1"/>
  <c r="F801" i="5"/>
  <c r="G801" i="5" s="1"/>
  <c r="F800" i="5"/>
  <c r="G800" i="5" s="1"/>
  <c r="G799" i="5"/>
  <c r="F799" i="5"/>
  <c r="F798" i="5"/>
  <c r="G798" i="5" s="1"/>
  <c r="G797" i="5"/>
  <c r="F797" i="5"/>
  <c r="F796" i="5"/>
  <c r="G796" i="5" s="1"/>
  <c r="F795" i="5"/>
  <c r="G795" i="5" s="1"/>
  <c r="G794" i="5"/>
  <c r="F794" i="5"/>
  <c r="F793" i="5"/>
  <c r="G793" i="5" s="1"/>
  <c r="G792" i="5"/>
  <c r="F792" i="5"/>
  <c r="F791" i="5"/>
  <c r="G791" i="5" s="1"/>
  <c r="F790" i="5"/>
  <c r="G790" i="5" s="1"/>
  <c r="F789" i="5"/>
  <c r="G789" i="5" s="1"/>
  <c r="G788" i="5"/>
  <c r="F788" i="5"/>
  <c r="F787" i="5"/>
  <c r="G787" i="5" s="1"/>
  <c r="G786" i="5"/>
  <c r="F786" i="5"/>
  <c r="F785" i="5"/>
  <c r="G785" i="5" s="1"/>
  <c r="G784" i="5"/>
  <c r="F784" i="5"/>
  <c r="F783" i="5"/>
  <c r="G783" i="5" s="1"/>
  <c r="F782" i="5"/>
  <c r="G782" i="5" s="1"/>
  <c r="G781" i="5"/>
  <c r="F781" i="5"/>
  <c r="F780" i="5"/>
  <c r="G780" i="5" s="1"/>
  <c r="F779" i="5"/>
  <c r="G779" i="5" s="1"/>
  <c r="G778" i="5"/>
  <c r="F778" i="5"/>
  <c r="G777" i="5"/>
  <c r="F777" i="5"/>
  <c r="F776" i="5"/>
  <c r="G776" i="5" s="1"/>
  <c r="F775" i="5"/>
  <c r="G775" i="5" s="1"/>
  <c r="F774" i="5"/>
  <c r="G774" i="5" s="1"/>
  <c r="G773" i="5"/>
  <c r="F773" i="5"/>
  <c r="F772" i="5"/>
  <c r="G772" i="5" s="1"/>
  <c r="F771" i="5"/>
  <c r="G771" i="5" s="1"/>
  <c r="F770" i="5"/>
  <c r="G770" i="5" s="1"/>
  <c r="G769" i="5"/>
  <c r="F769" i="5"/>
  <c r="F768" i="5"/>
  <c r="G768" i="5" s="1"/>
  <c r="F767" i="5"/>
  <c r="G767" i="5" s="1"/>
  <c r="G766" i="5"/>
  <c r="F766" i="5"/>
  <c r="F765" i="5"/>
  <c r="G765" i="5" s="1"/>
  <c r="G764" i="5"/>
  <c r="F764" i="5"/>
  <c r="F763" i="5"/>
  <c r="G763" i="5" s="1"/>
  <c r="G762" i="5"/>
  <c r="F762" i="5"/>
  <c r="F761" i="5"/>
  <c r="G761" i="5" s="1"/>
  <c r="F760" i="5"/>
  <c r="G760" i="5" s="1"/>
  <c r="F759" i="5"/>
  <c r="G759" i="5" s="1"/>
  <c r="G758" i="5"/>
  <c r="F758" i="5"/>
  <c r="F757" i="5"/>
  <c r="G757" i="5" s="1"/>
  <c r="G756" i="5"/>
  <c r="F756" i="5"/>
  <c r="F755" i="5"/>
  <c r="G755" i="5" s="1"/>
  <c r="F754" i="5"/>
  <c r="G754" i="5" s="1"/>
  <c r="G753" i="5"/>
  <c r="F753" i="5"/>
  <c r="F752" i="5"/>
  <c r="G752" i="5" s="1"/>
  <c r="F751" i="5"/>
  <c r="G751" i="5" s="1"/>
  <c r="F750" i="5"/>
  <c r="G750" i="5" s="1"/>
  <c r="G749" i="5"/>
  <c r="F749" i="5"/>
  <c r="F748" i="5"/>
  <c r="G748" i="5" s="1"/>
  <c r="G747" i="5"/>
  <c r="F747" i="5"/>
  <c r="F746" i="5"/>
  <c r="G746" i="5" s="1"/>
  <c r="F745" i="5"/>
  <c r="G745" i="5" s="1"/>
  <c r="F744" i="5"/>
  <c r="G744" i="5" s="1"/>
  <c r="F743" i="5"/>
  <c r="G743" i="5" s="1"/>
  <c r="G742" i="5"/>
  <c r="F742" i="5"/>
  <c r="F741" i="5"/>
  <c r="G741" i="5" s="1"/>
  <c r="F740" i="5"/>
  <c r="G740" i="5" s="1"/>
  <c r="F739" i="5"/>
  <c r="G739" i="5" s="1"/>
  <c r="G738" i="5"/>
  <c r="F738" i="5"/>
  <c r="F737" i="5"/>
  <c r="G737" i="5" s="1"/>
  <c r="G736" i="5"/>
  <c r="F736" i="5"/>
  <c r="F735" i="5"/>
  <c r="G735" i="5" s="1"/>
  <c r="G734" i="5"/>
  <c r="F734" i="5"/>
  <c r="G733" i="5"/>
  <c r="F733" i="5"/>
  <c r="F732" i="5"/>
  <c r="G732" i="5" s="1"/>
  <c r="F731" i="5"/>
  <c r="G731" i="5" s="1"/>
  <c r="F730" i="5"/>
  <c r="G730" i="5" s="1"/>
  <c r="F729" i="5"/>
  <c r="G729" i="5" s="1"/>
  <c r="G728" i="5"/>
  <c r="F728" i="5"/>
  <c r="G727" i="5"/>
  <c r="F727" i="5"/>
  <c r="F726" i="5"/>
  <c r="G726" i="5" s="1"/>
  <c r="F725" i="5"/>
  <c r="G725" i="5" s="1"/>
  <c r="F724" i="5"/>
  <c r="G724" i="5" s="1"/>
  <c r="F723" i="5"/>
  <c r="G723" i="5" s="1"/>
  <c r="F722" i="5"/>
  <c r="G722" i="5" s="1"/>
  <c r="F721" i="5"/>
  <c r="G721" i="5" s="1"/>
  <c r="F720" i="5"/>
  <c r="G720" i="5" s="1"/>
  <c r="G719" i="5"/>
  <c r="F719" i="5"/>
  <c r="G718" i="5"/>
  <c r="F718" i="5"/>
  <c r="F717" i="5"/>
  <c r="G717" i="5" s="1"/>
  <c r="G716" i="5"/>
  <c r="F716" i="5"/>
  <c r="F715" i="5"/>
  <c r="G715" i="5" s="1"/>
  <c r="F714" i="5"/>
  <c r="G714" i="5" s="1"/>
  <c r="F713" i="5"/>
  <c r="G713" i="5" s="1"/>
  <c r="G712" i="5"/>
  <c r="F712" i="5"/>
  <c r="F711" i="5"/>
  <c r="G711" i="5" s="1"/>
  <c r="F710" i="5"/>
  <c r="G710" i="5" s="1"/>
  <c r="F709" i="5"/>
  <c r="G709" i="5" s="1"/>
  <c r="G708" i="5"/>
  <c r="F708" i="5"/>
  <c r="F707" i="5"/>
  <c r="G707" i="5" s="1"/>
  <c r="G706" i="5"/>
  <c r="F706" i="5"/>
  <c r="F705" i="5"/>
  <c r="G705" i="5" s="1"/>
  <c r="F704" i="5"/>
  <c r="G704" i="5" s="1"/>
  <c r="F703" i="5"/>
  <c r="G703" i="5" s="1"/>
  <c r="F702" i="5"/>
  <c r="G702" i="5" s="1"/>
  <c r="F701" i="5"/>
  <c r="G701" i="5" s="1"/>
  <c r="F700" i="5"/>
  <c r="G700" i="5" s="1"/>
  <c r="G699" i="5"/>
  <c r="F699" i="5"/>
  <c r="G698" i="5"/>
  <c r="F698" i="5"/>
  <c r="G697" i="5"/>
  <c r="F697" i="5"/>
  <c r="F696" i="5"/>
  <c r="G696" i="5" s="1"/>
  <c r="F695" i="5"/>
  <c r="G695" i="5" s="1"/>
  <c r="G694" i="5"/>
  <c r="F694" i="5"/>
  <c r="F693" i="5"/>
  <c r="G693" i="5" s="1"/>
  <c r="G692" i="5"/>
  <c r="F692" i="5"/>
  <c r="F691" i="5"/>
  <c r="G691" i="5" s="1"/>
  <c r="F690" i="5"/>
  <c r="G690" i="5" s="1"/>
  <c r="F689" i="5"/>
  <c r="G689" i="5" s="1"/>
  <c r="G688" i="5"/>
  <c r="F688" i="5"/>
  <c r="G687" i="5"/>
  <c r="F687" i="5"/>
  <c r="G686" i="5"/>
  <c r="F686" i="5"/>
  <c r="F685" i="5"/>
  <c r="G685" i="5" s="1"/>
  <c r="G684" i="5"/>
  <c r="F684" i="5"/>
  <c r="F683" i="5"/>
  <c r="G683" i="5" s="1"/>
  <c r="F682" i="5"/>
  <c r="G682" i="5" s="1"/>
  <c r="G681" i="5"/>
  <c r="F681" i="5"/>
  <c r="F680" i="5"/>
  <c r="G680" i="5" s="1"/>
  <c r="F679" i="5"/>
  <c r="G679" i="5" s="1"/>
  <c r="G678" i="5"/>
  <c r="F678" i="5"/>
  <c r="G677" i="5"/>
  <c r="F677" i="5"/>
  <c r="G676" i="5"/>
  <c r="F676" i="5"/>
  <c r="F675" i="5"/>
  <c r="G675" i="5" s="1"/>
  <c r="F674" i="5"/>
  <c r="G674" i="5" s="1"/>
  <c r="F673" i="5"/>
  <c r="G673" i="5" s="1"/>
  <c r="G672" i="5"/>
  <c r="F672" i="5"/>
  <c r="F671" i="5"/>
  <c r="G671" i="5" s="1"/>
  <c r="F670" i="5"/>
  <c r="G670" i="5" s="1"/>
  <c r="G669" i="5"/>
  <c r="F669" i="5"/>
  <c r="F668" i="5"/>
  <c r="G668" i="5" s="1"/>
  <c r="F667" i="5"/>
  <c r="G667" i="5" s="1"/>
  <c r="G666" i="5"/>
  <c r="F666" i="5"/>
  <c r="F665" i="5"/>
  <c r="G665" i="5" s="1"/>
  <c r="F664" i="5"/>
  <c r="G664" i="5" s="1"/>
  <c r="F663" i="5"/>
  <c r="G663" i="5" s="1"/>
  <c r="F662" i="5"/>
  <c r="G662" i="5" s="1"/>
  <c r="F661" i="5"/>
  <c r="G661" i="5" s="1"/>
  <c r="F660" i="5"/>
  <c r="G660" i="5" s="1"/>
  <c r="F659" i="5"/>
  <c r="G659" i="5" s="1"/>
  <c r="G658" i="5"/>
  <c r="F658" i="5"/>
  <c r="G657" i="5"/>
  <c r="F657" i="5"/>
  <c r="G656" i="5"/>
  <c r="F656" i="5"/>
  <c r="F655" i="5"/>
  <c r="G655" i="5" s="1"/>
  <c r="F654" i="5"/>
  <c r="G654" i="5" s="1"/>
  <c r="F653" i="5"/>
  <c r="G653" i="5" s="1"/>
  <c r="F652" i="5"/>
  <c r="G652" i="5" s="1"/>
  <c r="G651" i="5"/>
  <c r="F651" i="5"/>
  <c r="F650" i="5"/>
  <c r="G650" i="5" s="1"/>
  <c r="G649" i="5"/>
  <c r="F649" i="5"/>
  <c r="F648" i="5"/>
  <c r="G648" i="5" s="1"/>
  <c r="G647" i="5"/>
  <c r="F647" i="5"/>
  <c r="F646" i="5"/>
  <c r="G646" i="5" s="1"/>
  <c r="F645" i="5"/>
  <c r="G645" i="5" s="1"/>
  <c r="F644" i="5"/>
  <c r="G644" i="5" s="1"/>
  <c r="F643" i="5"/>
  <c r="G643" i="5" s="1"/>
  <c r="F642" i="5"/>
  <c r="G642" i="5" s="1"/>
  <c r="F641" i="5"/>
  <c r="G641" i="5" s="1"/>
  <c r="F640" i="5"/>
  <c r="G640" i="5" s="1"/>
  <c r="F639" i="5"/>
  <c r="G639" i="5" s="1"/>
  <c r="G638" i="5"/>
  <c r="F638" i="5"/>
  <c r="G637" i="5"/>
  <c r="F637" i="5"/>
  <c r="G636" i="5"/>
  <c r="F636" i="5"/>
  <c r="F635" i="5"/>
  <c r="G635" i="5" s="1"/>
  <c r="F634" i="5"/>
  <c r="G634" i="5" s="1"/>
  <c r="G633" i="5"/>
  <c r="F633" i="5"/>
  <c r="F632" i="5"/>
  <c r="G632" i="5" s="1"/>
  <c r="G631" i="5"/>
  <c r="F631" i="5"/>
  <c r="F630" i="5"/>
  <c r="G630" i="5" s="1"/>
  <c r="G629" i="5"/>
  <c r="F629" i="5"/>
  <c r="F628" i="5"/>
  <c r="G628" i="5" s="1"/>
  <c r="G627" i="5"/>
  <c r="F627" i="5"/>
  <c r="F626" i="5"/>
  <c r="G626" i="5" s="1"/>
  <c r="F625" i="5"/>
  <c r="G625" i="5" s="1"/>
  <c r="F624" i="5"/>
  <c r="G624" i="5" s="1"/>
  <c r="F623" i="5"/>
  <c r="G623" i="5" s="1"/>
  <c r="F622" i="5"/>
  <c r="G622" i="5" s="1"/>
  <c r="F621" i="5"/>
  <c r="G621" i="5" s="1"/>
  <c r="F620" i="5"/>
  <c r="G620" i="5" s="1"/>
  <c r="G619" i="5"/>
  <c r="F619" i="5"/>
  <c r="F618" i="5"/>
  <c r="G618" i="5" s="1"/>
  <c r="F617" i="5"/>
  <c r="G617" i="5" s="1"/>
  <c r="G616" i="5"/>
  <c r="F616" i="5"/>
  <c r="F615" i="5"/>
  <c r="G615" i="5" s="1"/>
  <c r="F614" i="5"/>
  <c r="G614" i="5" s="1"/>
  <c r="F613" i="5"/>
  <c r="G613" i="5" s="1"/>
  <c r="G612" i="5"/>
  <c r="F612" i="5"/>
  <c r="F611" i="5"/>
  <c r="G611" i="5" s="1"/>
  <c r="F610" i="5"/>
  <c r="G610" i="5" s="1"/>
  <c r="G609" i="5"/>
  <c r="F609" i="5"/>
  <c r="G608" i="5"/>
  <c r="F608" i="5"/>
  <c r="F607" i="5"/>
  <c r="G607" i="5" s="1"/>
  <c r="F606" i="5"/>
  <c r="G606" i="5" s="1"/>
  <c r="F605" i="5"/>
  <c r="G605" i="5" s="1"/>
  <c r="F604" i="5"/>
  <c r="G604" i="5" s="1"/>
  <c r="G603" i="5"/>
  <c r="F603" i="5"/>
  <c r="G602" i="5"/>
  <c r="F602" i="5"/>
  <c r="F601" i="5"/>
  <c r="G601" i="5" s="1"/>
  <c r="F600" i="5"/>
  <c r="G600" i="5" s="1"/>
  <c r="G599" i="5"/>
  <c r="F599" i="5"/>
  <c r="G598" i="5"/>
  <c r="F598" i="5"/>
  <c r="F597" i="5"/>
  <c r="G597" i="5" s="1"/>
  <c r="G596" i="5"/>
  <c r="F596" i="5"/>
  <c r="F595" i="5"/>
  <c r="G595" i="5" s="1"/>
  <c r="F594" i="5"/>
  <c r="G594" i="5" s="1"/>
  <c r="F593" i="5"/>
  <c r="G593" i="5" s="1"/>
  <c r="G592" i="5"/>
  <c r="F592" i="5"/>
  <c r="F591" i="5"/>
  <c r="G591" i="5" s="1"/>
  <c r="F590" i="5"/>
  <c r="G590" i="5" s="1"/>
  <c r="F589" i="5"/>
  <c r="G589" i="5" s="1"/>
  <c r="G588" i="5"/>
  <c r="F588" i="5"/>
  <c r="F587" i="5"/>
  <c r="G587" i="5" s="1"/>
  <c r="G586" i="5"/>
  <c r="F586" i="5"/>
  <c r="F585" i="5"/>
  <c r="G585" i="5" s="1"/>
  <c r="G584" i="5"/>
  <c r="F584" i="5"/>
  <c r="G583" i="5"/>
  <c r="F583" i="5"/>
  <c r="F582" i="5"/>
  <c r="G582" i="5" s="1"/>
  <c r="F581" i="5"/>
  <c r="G581" i="5" s="1"/>
  <c r="F580" i="5"/>
  <c r="G580" i="5" s="1"/>
  <c r="F579" i="5"/>
  <c r="G579" i="5" s="1"/>
  <c r="F578" i="5"/>
  <c r="G578" i="5" s="1"/>
  <c r="G577" i="5"/>
  <c r="F577" i="5"/>
  <c r="F576" i="5"/>
  <c r="G576" i="5" s="1"/>
  <c r="F575" i="5"/>
  <c r="G575" i="5" s="1"/>
  <c r="G574" i="5"/>
  <c r="F574" i="5"/>
  <c r="G573" i="5"/>
  <c r="F573" i="5"/>
  <c r="F572" i="5"/>
  <c r="G572" i="5" s="1"/>
  <c r="F571" i="5"/>
  <c r="G571" i="5" s="1"/>
  <c r="F570" i="5"/>
  <c r="G570" i="5" s="1"/>
  <c r="F569" i="5"/>
  <c r="G569" i="5" s="1"/>
  <c r="G568" i="5"/>
  <c r="F568" i="5"/>
  <c r="G567" i="5"/>
  <c r="F567" i="5"/>
  <c r="G566" i="5"/>
  <c r="F566" i="5"/>
  <c r="F565" i="5"/>
  <c r="G565" i="5" s="1"/>
  <c r="F564" i="5"/>
  <c r="G564" i="5" s="1"/>
  <c r="G563" i="5"/>
  <c r="F563" i="5"/>
  <c r="F562" i="5"/>
  <c r="G562" i="5" s="1"/>
  <c r="G561" i="5"/>
  <c r="F561" i="5"/>
  <c r="F560" i="5"/>
  <c r="G560" i="5" s="1"/>
  <c r="F559" i="5"/>
  <c r="G559" i="5" s="1"/>
  <c r="F558" i="5"/>
  <c r="G558" i="5" s="1"/>
  <c r="G557" i="5"/>
  <c r="F557" i="5"/>
  <c r="G556" i="5"/>
  <c r="F556" i="5"/>
  <c r="F555" i="5"/>
  <c r="G555" i="5" s="1"/>
  <c r="F554" i="5"/>
  <c r="G554" i="5" s="1"/>
  <c r="F553" i="5"/>
  <c r="G553" i="5" s="1"/>
  <c r="F552" i="5"/>
  <c r="G552" i="5" s="1"/>
  <c r="G551" i="5"/>
  <c r="F551" i="5"/>
  <c r="F550" i="5"/>
  <c r="G550" i="5" s="1"/>
  <c r="G549" i="5"/>
  <c r="F549" i="5"/>
  <c r="G548" i="5"/>
  <c r="F548" i="5"/>
  <c r="F547" i="5"/>
  <c r="G547" i="5" s="1"/>
  <c r="G546" i="5"/>
  <c r="F546" i="5"/>
  <c r="F545" i="5"/>
  <c r="G545" i="5" s="1"/>
  <c r="G544" i="5"/>
  <c r="F544" i="5"/>
  <c r="F543" i="5"/>
  <c r="G543" i="5" s="1"/>
  <c r="G542" i="5"/>
  <c r="F542" i="5"/>
  <c r="F541" i="5"/>
  <c r="G541" i="5" s="1"/>
  <c r="F540" i="5"/>
  <c r="G540" i="5" s="1"/>
  <c r="G539" i="5"/>
  <c r="F539" i="5"/>
  <c r="G538" i="5"/>
  <c r="F538" i="5"/>
  <c r="F537" i="5"/>
  <c r="G537" i="5" s="1"/>
  <c r="F536" i="5"/>
  <c r="G536" i="5" s="1"/>
  <c r="F535" i="5"/>
  <c r="G535" i="5" s="1"/>
  <c r="G534" i="5"/>
  <c r="F534" i="5"/>
  <c r="F533" i="5"/>
  <c r="G533" i="5" s="1"/>
  <c r="F532" i="5"/>
  <c r="G532" i="5" s="1"/>
  <c r="F531" i="5"/>
  <c r="G531" i="5" s="1"/>
  <c r="F530" i="5"/>
  <c r="G530" i="5" s="1"/>
  <c r="F529" i="5"/>
  <c r="G529" i="5" s="1"/>
  <c r="G528" i="5"/>
  <c r="F528" i="5"/>
  <c r="G527" i="5"/>
  <c r="F527" i="5"/>
  <c r="G526" i="5"/>
  <c r="F526" i="5"/>
  <c r="F525" i="5"/>
  <c r="G525" i="5" s="1"/>
  <c r="F524" i="5"/>
  <c r="G524" i="5" s="1"/>
  <c r="F523" i="5"/>
  <c r="G523" i="5" s="1"/>
  <c r="G522" i="5"/>
  <c r="F522" i="5"/>
  <c r="F521" i="5"/>
  <c r="G521" i="5" s="1"/>
  <c r="F520" i="5"/>
  <c r="G520" i="5" s="1"/>
  <c r="F519" i="5"/>
  <c r="G519" i="5" s="1"/>
  <c r="F518" i="5"/>
  <c r="G518" i="5" s="1"/>
  <c r="F517" i="5"/>
  <c r="G517" i="5" s="1"/>
  <c r="G516" i="5"/>
  <c r="F516" i="5"/>
  <c r="F515" i="5"/>
  <c r="G515" i="5" s="1"/>
  <c r="G514" i="5"/>
  <c r="F514" i="5"/>
  <c r="G513" i="5"/>
  <c r="F513" i="5"/>
  <c r="F512" i="5"/>
  <c r="G512" i="5" s="1"/>
  <c r="G511" i="5"/>
  <c r="F511" i="5"/>
  <c r="F510" i="5"/>
  <c r="G510" i="5" s="1"/>
  <c r="G509" i="5"/>
  <c r="F509" i="5"/>
  <c r="F508" i="5"/>
  <c r="G508" i="5" s="1"/>
  <c r="F507" i="5"/>
  <c r="G507" i="5" s="1"/>
  <c r="F506" i="5"/>
  <c r="G506" i="5" s="1"/>
  <c r="F505" i="5"/>
  <c r="G505" i="5" s="1"/>
  <c r="F504" i="5"/>
  <c r="G504" i="5" s="1"/>
  <c r="G503" i="5"/>
  <c r="F503" i="5"/>
  <c r="F502" i="5"/>
  <c r="G502" i="5" s="1"/>
  <c r="F501" i="5"/>
  <c r="G501" i="5" s="1"/>
  <c r="F500" i="5"/>
  <c r="G500" i="5" s="1"/>
  <c r="G499" i="5"/>
  <c r="F499" i="5"/>
  <c r="F498" i="5"/>
  <c r="G498" i="5" s="1"/>
  <c r="G497" i="5"/>
  <c r="F497" i="5"/>
  <c r="G496" i="5"/>
  <c r="F496" i="5"/>
  <c r="F495" i="5"/>
  <c r="G495" i="5" s="1"/>
  <c r="F494" i="5"/>
  <c r="G494" i="5" s="1"/>
  <c r="F493" i="5"/>
  <c r="G493" i="5" s="1"/>
  <c r="F492" i="5"/>
  <c r="G492" i="5" s="1"/>
  <c r="G491" i="5"/>
  <c r="F491" i="5"/>
  <c r="F490" i="5"/>
  <c r="G490" i="5" s="1"/>
  <c r="F489" i="5"/>
  <c r="G489" i="5" s="1"/>
  <c r="G488" i="5"/>
  <c r="F488" i="5"/>
  <c r="G487" i="5"/>
  <c r="F487" i="5"/>
  <c r="G486" i="5"/>
  <c r="F486" i="5"/>
  <c r="F485" i="5"/>
  <c r="G485" i="5" s="1"/>
  <c r="G484" i="5"/>
  <c r="F484" i="5"/>
  <c r="F483" i="5"/>
  <c r="G483" i="5" s="1"/>
  <c r="F482" i="5"/>
  <c r="G482" i="5" s="1"/>
  <c r="G481" i="5"/>
  <c r="F481" i="5"/>
  <c r="F480" i="5"/>
  <c r="G480" i="5" s="1"/>
  <c r="G479" i="5"/>
  <c r="F479" i="5"/>
  <c r="G478" i="5"/>
  <c r="F478" i="5"/>
  <c r="G477" i="5"/>
  <c r="F477" i="5"/>
  <c r="G476" i="5"/>
  <c r="F476" i="5"/>
  <c r="F475" i="5"/>
  <c r="G475" i="5" s="1"/>
  <c r="G474" i="5"/>
  <c r="F474" i="5"/>
  <c r="F473" i="5"/>
  <c r="G473" i="5" s="1"/>
  <c r="F472" i="5"/>
  <c r="G472" i="5" s="1"/>
  <c r="F471" i="5"/>
  <c r="G471" i="5" s="1"/>
  <c r="F470" i="5"/>
  <c r="G470" i="5" s="1"/>
  <c r="G469" i="5"/>
  <c r="F469" i="5"/>
  <c r="G468" i="5"/>
  <c r="F468" i="5"/>
  <c r="F467" i="5"/>
  <c r="G467" i="5" s="1"/>
  <c r="G466" i="5"/>
  <c r="F466" i="5"/>
  <c r="F465" i="5"/>
  <c r="G465" i="5" s="1"/>
  <c r="G464" i="5"/>
  <c r="F464" i="5"/>
  <c r="F463" i="5"/>
  <c r="G463" i="5" s="1"/>
  <c r="G462" i="5"/>
  <c r="F462" i="5"/>
  <c r="G461" i="5"/>
  <c r="F461" i="5"/>
  <c r="F460" i="5"/>
  <c r="G460" i="5" s="1"/>
  <c r="F459" i="5"/>
  <c r="G459" i="5" s="1"/>
  <c r="G458" i="5"/>
  <c r="F458" i="5"/>
  <c r="G457" i="5"/>
  <c r="F457" i="5"/>
  <c r="F456" i="5"/>
  <c r="G456" i="5" s="1"/>
  <c r="F455" i="5"/>
  <c r="G455" i="5" s="1"/>
  <c r="F454" i="5"/>
  <c r="G454" i="5" s="1"/>
  <c r="F453" i="5"/>
  <c r="G453" i="5" s="1"/>
  <c r="G452" i="5"/>
  <c r="F452" i="5"/>
  <c r="G451" i="5"/>
  <c r="F451" i="5"/>
  <c r="F450" i="5"/>
  <c r="G450" i="5" s="1"/>
  <c r="F449" i="5"/>
  <c r="G449" i="5" s="1"/>
  <c r="F448" i="5"/>
  <c r="G448" i="5" s="1"/>
  <c r="G447" i="5"/>
  <c r="F447" i="5"/>
  <c r="F446" i="5"/>
  <c r="G446" i="5" s="1"/>
  <c r="G445" i="5"/>
  <c r="F445" i="5"/>
  <c r="F444" i="5"/>
  <c r="G444" i="5" s="1"/>
  <c r="F443" i="5"/>
  <c r="G443" i="5" s="1"/>
  <c r="F442" i="5"/>
  <c r="G442" i="5" s="1"/>
  <c r="G441" i="5"/>
  <c r="F441" i="5"/>
  <c r="G440" i="5"/>
  <c r="F440" i="5"/>
  <c r="F439" i="5"/>
  <c r="G439" i="5" s="1"/>
  <c r="G438" i="5"/>
  <c r="F438" i="5"/>
  <c r="F437" i="5"/>
  <c r="G437" i="5" s="1"/>
  <c r="G436" i="5"/>
  <c r="F436" i="5"/>
  <c r="F435" i="5"/>
  <c r="G435" i="5" s="1"/>
  <c r="F434" i="5"/>
  <c r="G434" i="5" s="1"/>
  <c r="F433" i="5"/>
  <c r="G433" i="5" s="1"/>
  <c r="F432" i="5"/>
  <c r="G432" i="5" s="1"/>
  <c r="F431" i="5"/>
  <c r="G431" i="5" s="1"/>
  <c r="G430" i="5"/>
  <c r="F430" i="5"/>
  <c r="F429" i="5"/>
  <c r="G429" i="5" s="1"/>
  <c r="G428" i="5"/>
  <c r="F428" i="5"/>
  <c r="G427" i="5"/>
  <c r="F427" i="5"/>
  <c r="F426" i="5"/>
  <c r="G426" i="5" s="1"/>
  <c r="G425" i="5"/>
  <c r="F425" i="5"/>
  <c r="F424" i="5"/>
  <c r="G424" i="5" s="1"/>
  <c r="G423" i="5"/>
  <c r="F423" i="5"/>
  <c r="F422" i="5"/>
  <c r="G422" i="5" s="1"/>
  <c r="F421" i="5"/>
  <c r="G421" i="5" s="1"/>
  <c r="F420" i="5"/>
  <c r="G420" i="5" s="1"/>
  <c r="F419" i="5"/>
  <c r="G419" i="5" s="1"/>
  <c r="F418" i="5"/>
  <c r="G418" i="5" s="1"/>
  <c r="G417" i="5"/>
  <c r="F417" i="5"/>
  <c r="G416" i="5"/>
  <c r="F416" i="5"/>
  <c r="F415" i="5"/>
  <c r="G415" i="5" s="1"/>
  <c r="F414" i="5"/>
  <c r="G414" i="5" s="1"/>
  <c r="G413" i="5"/>
  <c r="F413" i="5"/>
  <c r="G412" i="5"/>
  <c r="F412" i="5"/>
  <c r="F411" i="5"/>
  <c r="G411" i="5" s="1"/>
  <c r="F410" i="5"/>
  <c r="G410" i="5" s="1"/>
  <c r="F409" i="5"/>
  <c r="G409" i="5" s="1"/>
  <c r="G408" i="5"/>
  <c r="F408" i="5"/>
  <c r="F407" i="5"/>
  <c r="G407" i="5" s="1"/>
  <c r="G406" i="5"/>
  <c r="F406" i="5"/>
  <c r="G405" i="5"/>
  <c r="F405" i="5"/>
  <c r="F404" i="5"/>
  <c r="G404" i="5" s="1"/>
  <c r="F403" i="5"/>
  <c r="G403" i="5" s="1"/>
  <c r="G402" i="5"/>
  <c r="F402" i="5"/>
  <c r="G401" i="5"/>
  <c r="F401" i="5"/>
  <c r="F400" i="5"/>
  <c r="G400" i="5" s="1"/>
  <c r="F399" i="5"/>
  <c r="G399" i="5" s="1"/>
  <c r="F398" i="5"/>
  <c r="G398" i="5" s="1"/>
  <c r="G397" i="5"/>
  <c r="F397" i="5"/>
  <c r="F396" i="5"/>
  <c r="G396" i="5" s="1"/>
  <c r="G395" i="5"/>
  <c r="F395" i="5"/>
  <c r="F394" i="5"/>
  <c r="G394" i="5" s="1"/>
  <c r="F393" i="5"/>
  <c r="G393" i="5" s="1"/>
  <c r="F392" i="5"/>
  <c r="G392" i="5" s="1"/>
  <c r="G391" i="5"/>
  <c r="F391" i="5"/>
  <c r="G390" i="5"/>
  <c r="F390" i="5"/>
  <c r="F389" i="5"/>
  <c r="G389" i="5" s="1"/>
  <c r="G388" i="5"/>
  <c r="F388" i="5"/>
  <c r="F387" i="5"/>
  <c r="G387" i="5" s="1"/>
  <c r="G386" i="5"/>
  <c r="F386" i="5"/>
  <c r="F385" i="5"/>
  <c r="G385" i="5" s="1"/>
  <c r="F384" i="5"/>
  <c r="G384" i="5" s="1"/>
  <c r="F383" i="5"/>
  <c r="G383" i="5" s="1"/>
  <c r="F382" i="5"/>
  <c r="G382" i="5" s="1"/>
  <c r="F381" i="5"/>
  <c r="G381" i="5" s="1"/>
  <c r="G380" i="5"/>
  <c r="F380" i="5"/>
  <c r="F379" i="5"/>
  <c r="G379" i="5" s="1"/>
  <c r="G378" i="5"/>
  <c r="F378" i="5"/>
  <c r="G377" i="5"/>
  <c r="F377" i="5"/>
  <c r="F376" i="5"/>
  <c r="G376" i="5" s="1"/>
  <c r="G375" i="5"/>
  <c r="F375" i="5"/>
  <c r="F374" i="5"/>
  <c r="G374" i="5" s="1"/>
  <c r="G373" i="5"/>
  <c r="F373" i="5"/>
  <c r="F372" i="5"/>
  <c r="G372" i="5" s="1"/>
  <c r="F371" i="5"/>
  <c r="G371" i="5" s="1"/>
  <c r="F370" i="5"/>
  <c r="G370" i="5" s="1"/>
  <c r="F369" i="5"/>
  <c r="G369" i="5" s="1"/>
  <c r="F368" i="5"/>
  <c r="G368" i="5" s="1"/>
  <c r="G367" i="5"/>
  <c r="F367" i="5"/>
  <c r="G366" i="5"/>
  <c r="F366" i="5"/>
  <c r="F365" i="5"/>
  <c r="G365" i="5" s="1"/>
  <c r="F364" i="5"/>
  <c r="G364" i="5" s="1"/>
  <c r="G363" i="5"/>
  <c r="F363" i="5"/>
  <c r="G362" i="5"/>
  <c r="F362" i="5"/>
  <c r="F361" i="5"/>
  <c r="G361" i="5" s="1"/>
  <c r="F360" i="5"/>
  <c r="G360" i="5" s="1"/>
  <c r="F359" i="5"/>
  <c r="G359" i="5" s="1"/>
  <c r="G358" i="5"/>
  <c r="F358" i="5"/>
  <c r="F357" i="5"/>
  <c r="G357" i="5" s="1"/>
  <c r="G356" i="5"/>
  <c r="F356" i="5"/>
  <c r="G355" i="5"/>
  <c r="F355" i="5"/>
  <c r="F354" i="5"/>
  <c r="G354" i="5" s="1"/>
  <c r="F353" i="5"/>
  <c r="G353" i="5" s="1"/>
  <c r="G352" i="5"/>
  <c r="F352" i="5"/>
  <c r="G351" i="5"/>
  <c r="F351" i="5"/>
  <c r="F350" i="5"/>
  <c r="G350" i="5" s="1"/>
  <c r="F349" i="5"/>
  <c r="G349" i="5" s="1"/>
  <c r="F348" i="5"/>
  <c r="G348" i="5" s="1"/>
  <c r="G347" i="5"/>
  <c r="F347" i="5"/>
  <c r="F346" i="5"/>
  <c r="G346" i="5" s="1"/>
  <c r="G345" i="5"/>
  <c r="F345" i="5"/>
  <c r="F344" i="5"/>
  <c r="G344" i="5" s="1"/>
  <c r="F343" i="5"/>
  <c r="G343" i="5" s="1"/>
  <c r="F342" i="5"/>
  <c r="G342" i="5" s="1"/>
  <c r="G341" i="5"/>
  <c r="F341" i="5"/>
  <c r="G340" i="5"/>
  <c r="F340" i="5"/>
  <c r="F339" i="5"/>
  <c r="G339" i="5" s="1"/>
  <c r="G338" i="5"/>
  <c r="F338" i="5"/>
  <c r="F337" i="5"/>
  <c r="G337" i="5" s="1"/>
  <c r="G336" i="5"/>
  <c r="F336" i="5"/>
  <c r="F335" i="5"/>
  <c r="G335" i="5" s="1"/>
  <c r="F334" i="5"/>
  <c r="G334" i="5" s="1"/>
  <c r="F333" i="5"/>
  <c r="G333" i="5" s="1"/>
  <c r="F332" i="5"/>
  <c r="G332" i="5" s="1"/>
  <c r="F331" i="5"/>
  <c r="G331" i="5" s="1"/>
  <c r="G330" i="5"/>
  <c r="F330" i="5"/>
  <c r="F329" i="5"/>
  <c r="G329" i="5" s="1"/>
  <c r="G328" i="5"/>
  <c r="F328" i="5"/>
  <c r="G327" i="5"/>
  <c r="F327" i="5"/>
  <c r="F326" i="5"/>
  <c r="G326" i="5" s="1"/>
  <c r="G325" i="5"/>
  <c r="F325" i="5"/>
  <c r="F324" i="5"/>
  <c r="G324" i="5" s="1"/>
  <c r="F323" i="5"/>
  <c r="G323" i="5" s="1"/>
  <c r="F322" i="5"/>
  <c r="G322" i="5" s="1"/>
  <c r="F321" i="5"/>
  <c r="G321" i="5" s="1"/>
  <c r="F320" i="5"/>
  <c r="G320" i="5" s="1"/>
  <c r="F319" i="5"/>
  <c r="G319" i="5" s="1"/>
  <c r="F318" i="5"/>
  <c r="G318" i="5" s="1"/>
  <c r="G317" i="5"/>
  <c r="F317" i="5"/>
  <c r="G316" i="5"/>
  <c r="F316" i="5"/>
  <c r="F315" i="5"/>
  <c r="G315" i="5" s="1"/>
  <c r="F314" i="5"/>
  <c r="G314" i="5" s="1"/>
  <c r="G313" i="5"/>
  <c r="F313" i="5"/>
  <c r="F312" i="5"/>
  <c r="G312" i="5" s="1"/>
  <c r="F311" i="5"/>
  <c r="G311" i="5" s="1"/>
  <c r="F310" i="5"/>
  <c r="G310" i="5" s="1"/>
  <c r="F309" i="5"/>
  <c r="G309" i="5" s="1"/>
  <c r="G308" i="5"/>
  <c r="F308" i="5"/>
  <c r="F307" i="5"/>
  <c r="G307" i="5" s="1"/>
  <c r="G306" i="5"/>
  <c r="F306" i="5"/>
  <c r="G305" i="5"/>
  <c r="F305" i="5"/>
  <c r="F304" i="5"/>
  <c r="G304" i="5" s="1"/>
  <c r="F303" i="5"/>
  <c r="G303" i="5" s="1"/>
  <c r="G302" i="5"/>
  <c r="F302" i="5"/>
  <c r="F301" i="5"/>
  <c r="G301" i="5" s="1"/>
  <c r="F300" i="5"/>
  <c r="G300" i="5" s="1"/>
  <c r="F299" i="5"/>
  <c r="G299" i="5" s="1"/>
  <c r="F298" i="5"/>
  <c r="G298" i="5" s="1"/>
  <c r="G297" i="5"/>
  <c r="F297" i="5"/>
  <c r="F296" i="5"/>
  <c r="G296" i="5" s="1"/>
  <c r="G295" i="5"/>
  <c r="F295" i="5"/>
  <c r="F294" i="5"/>
  <c r="G294" i="5" s="1"/>
  <c r="F293" i="5"/>
  <c r="G293" i="5" s="1"/>
  <c r="F292" i="5"/>
  <c r="G292" i="5" s="1"/>
  <c r="G291" i="5"/>
  <c r="F291" i="5"/>
  <c r="F290" i="5"/>
  <c r="G290" i="5" s="1"/>
  <c r="F289" i="5"/>
  <c r="G289" i="5" s="1"/>
  <c r="G288" i="5"/>
  <c r="F288" i="5"/>
  <c r="F287" i="5"/>
  <c r="G287" i="5" s="1"/>
  <c r="G286" i="5"/>
  <c r="F286" i="5"/>
  <c r="F285" i="5"/>
  <c r="G285" i="5" s="1"/>
  <c r="F284" i="5"/>
  <c r="G284" i="5" s="1"/>
  <c r="F283" i="5"/>
  <c r="G283" i="5" s="1"/>
  <c r="F282" i="5"/>
  <c r="G282" i="5" s="1"/>
  <c r="F281" i="5"/>
  <c r="G281" i="5" s="1"/>
  <c r="G280" i="5"/>
  <c r="F280" i="5"/>
  <c r="F279" i="5"/>
  <c r="G279" i="5" s="1"/>
  <c r="G278" i="5"/>
  <c r="F278" i="5"/>
  <c r="G277" i="5"/>
  <c r="F277" i="5"/>
  <c r="F276" i="5"/>
  <c r="G276" i="5" s="1"/>
  <c r="G275" i="5"/>
  <c r="F275" i="5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G267" i="5"/>
  <c r="F267" i="5"/>
  <c r="G266" i="5"/>
  <c r="F266" i="5"/>
  <c r="F265" i="5"/>
  <c r="G265" i="5" s="1"/>
  <c r="F264" i="5"/>
  <c r="G264" i="5" s="1"/>
  <c r="G263" i="5"/>
  <c r="F263" i="5"/>
  <c r="F262" i="5"/>
  <c r="G262" i="5" s="1"/>
  <c r="F261" i="5"/>
  <c r="G261" i="5" s="1"/>
  <c r="F260" i="5"/>
  <c r="G260" i="5" s="1"/>
  <c r="F259" i="5"/>
  <c r="G259" i="5" s="1"/>
  <c r="G258" i="5"/>
  <c r="F258" i="5"/>
  <c r="F257" i="5"/>
  <c r="G257" i="5" s="1"/>
  <c r="G256" i="5"/>
  <c r="F256" i="5"/>
  <c r="G255" i="5"/>
  <c r="F255" i="5"/>
  <c r="F254" i="5"/>
  <c r="G254" i="5" s="1"/>
  <c r="F253" i="5"/>
  <c r="G253" i="5" s="1"/>
  <c r="G252" i="5"/>
  <c r="F252" i="5"/>
  <c r="F251" i="5"/>
  <c r="G251" i="5" s="1"/>
  <c r="F250" i="5"/>
  <c r="G250" i="5" s="1"/>
  <c r="F249" i="5"/>
  <c r="G249" i="5" s="1"/>
  <c r="F248" i="5"/>
  <c r="G248" i="5" s="1"/>
  <c r="G247" i="5"/>
  <c r="F247" i="5"/>
  <c r="F246" i="5"/>
  <c r="G246" i="5" s="1"/>
  <c r="G245" i="5"/>
  <c r="F245" i="5"/>
  <c r="F244" i="5"/>
  <c r="G244" i="5" s="1"/>
  <c r="F243" i="5"/>
  <c r="G243" i="5" s="1"/>
  <c r="F242" i="5"/>
  <c r="G242" i="5" s="1"/>
  <c r="G241" i="5"/>
  <c r="F241" i="5"/>
  <c r="F240" i="5"/>
  <c r="G240" i="5" s="1"/>
  <c r="F239" i="5"/>
  <c r="G239" i="5" s="1"/>
  <c r="G238" i="5"/>
  <c r="F238" i="5"/>
  <c r="F237" i="5"/>
  <c r="G237" i="5" s="1"/>
  <c r="G236" i="5"/>
  <c r="F236" i="5"/>
  <c r="F235" i="5"/>
  <c r="G235" i="5" s="1"/>
  <c r="F234" i="5"/>
  <c r="G234" i="5" s="1"/>
  <c r="F233" i="5"/>
  <c r="G233" i="5" s="1"/>
  <c r="F232" i="5"/>
  <c r="G232" i="5" s="1"/>
  <c r="F231" i="5"/>
  <c r="G231" i="5" s="1"/>
  <c r="G230" i="5"/>
  <c r="F230" i="5"/>
  <c r="F229" i="5"/>
  <c r="G229" i="5" s="1"/>
  <c r="G228" i="5"/>
  <c r="F228" i="5"/>
  <c r="G227" i="5"/>
  <c r="F227" i="5"/>
  <c r="F226" i="5"/>
  <c r="G226" i="5" s="1"/>
  <c r="G225" i="5"/>
  <c r="F225" i="5"/>
  <c r="F224" i="5"/>
  <c r="G224" i="5" s="1"/>
  <c r="F223" i="5"/>
  <c r="G223" i="5" s="1"/>
  <c r="F222" i="5"/>
  <c r="G222" i="5" s="1"/>
  <c r="F221" i="5"/>
  <c r="G221" i="5" s="1"/>
  <c r="F220" i="5"/>
  <c r="G220" i="5" s="1"/>
  <c r="F219" i="5"/>
  <c r="G219" i="5" s="1"/>
  <c r="F218" i="5"/>
  <c r="G218" i="5" s="1"/>
  <c r="G217" i="5"/>
  <c r="F217" i="5"/>
  <c r="G216" i="5"/>
  <c r="F216" i="5"/>
  <c r="F215" i="5"/>
  <c r="G215" i="5" s="1"/>
  <c r="F214" i="5"/>
  <c r="G214" i="5" s="1"/>
  <c r="G213" i="5"/>
  <c r="F213" i="5"/>
  <c r="F212" i="5"/>
  <c r="G212" i="5" s="1"/>
  <c r="F211" i="5"/>
  <c r="G211" i="5" s="1"/>
  <c r="F210" i="5"/>
  <c r="G210" i="5" s="1"/>
  <c r="F209" i="5"/>
  <c r="G209" i="5" s="1"/>
  <c r="G208" i="5"/>
  <c r="F208" i="5"/>
  <c r="F207" i="5"/>
  <c r="G207" i="5" s="1"/>
  <c r="G206" i="5"/>
  <c r="F206" i="5"/>
  <c r="G205" i="5"/>
  <c r="F205" i="5"/>
  <c r="F204" i="5"/>
  <c r="G204" i="5" s="1"/>
  <c r="F203" i="5"/>
  <c r="G203" i="5" s="1"/>
  <c r="G202" i="5"/>
  <c r="F202" i="5"/>
  <c r="F201" i="5"/>
  <c r="G201" i="5" s="1"/>
  <c r="F200" i="5"/>
  <c r="G200" i="5" s="1"/>
  <c r="F199" i="5"/>
  <c r="G199" i="5" s="1"/>
  <c r="F198" i="5"/>
  <c r="G198" i="5" s="1"/>
  <c r="G197" i="5"/>
  <c r="F197" i="5"/>
  <c r="F196" i="5"/>
  <c r="G196" i="5" s="1"/>
  <c r="G195" i="5"/>
  <c r="F195" i="5"/>
  <c r="G194" i="5"/>
  <c r="F194" i="5"/>
  <c r="F193" i="5"/>
  <c r="G193" i="5" s="1"/>
  <c r="G192" i="5"/>
  <c r="F192" i="5"/>
  <c r="F191" i="5"/>
  <c r="G191" i="5" s="1"/>
  <c r="G190" i="5"/>
  <c r="F190" i="5"/>
  <c r="G189" i="5"/>
  <c r="F189" i="5"/>
  <c r="F188" i="5"/>
  <c r="G188" i="5" s="1"/>
  <c r="G187" i="5"/>
  <c r="F187" i="5"/>
  <c r="F186" i="5"/>
  <c r="G186" i="5" s="1"/>
  <c r="G185" i="5"/>
  <c r="F185" i="5"/>
  <c r="G184" i="5"/>
  <c r="F184" i="5"/>
  <c r="F183" i="5"/>
  <c r="G183" i="5" s="1"/>
  <c r="G182" i="5"/>
  <c r="F182" i="5"/>
  <c r="F181" i="5"/>
  <c r="G181" i="5" s="1"/>
  <c r="G180" i="5"/>
  <c r="F180" i="5"/>
  <c r="G179" i="5"/>
  <c r="F179" i="5"/>
  <c r="F178" i="5"/>
  <c r="G178" i="5" s="1"/>
  <c r="G177" i="5"/>
  <c r="F177" i="5"/>
  <c r="F176" i="5"/>
  <c r="G176" i="5" s="1"/>
  <c r="G175" i="5"/>
  <c r="F175" i="5"/>
  <c r="G174" i="5"/>
  <c r="F174" i="5"/>
  <c r="F173" i="5"/>
  <c r="G173" i="5" s="1"/>
  <c r="G172" i="5"/>
  <c r="F172" i="5"/>
  <c r="F171" i="5"/>
  <c r="G171" i="5" s="1"/>
  <c r="G170" i="5"/>
  <c r="F170" i="5"/>
  <c r="G169" i="5"/>
  <c r="F169" i="5"/>
  <c r="F168" i="5"/>
  <c r="G168" i="5" s="1"/>
  <c r="G167" i="5"/>
  <c r="F167" i="5"/>
  <c r="F166" i="5"/>
  <c r="G166" i="5" s="1"/>
  <c r="G165" i="5"/>
  <c r="F165" i="5"/>
  <c r="G164" i="5"/>
  <c r="F164" i="5"/>
  <c r="F163" i="5"/>
  <c r="G163" i="5" s="1"/>
  <c r="G162" i="5"/>
  <c r="F162" i="5"/>
  <c r="F161" i="5"/>
  <c r="G161" i="5" s="1"/>
  <c r="G160" i="5"/>
  <c r="F160" i="5"/>
  <c r="G159" i="5"/>
  <c r="F159" i="5"/>
  <c r="F158" i="5"/>
  <c r="G158" i="5" s="1"/>
  <c r="G157" i="5"/>
  <c r="F157" i="5"/>
  <c r="F156" i="5"/>
  <c r="G156" i="5" s="1"/>
  <c r="G155" i="5"/>
  <c r="F155" i="5"/>
  <c r="G154" i="5"/>
  <c r="F154" i="5"/>
  <c r="F153" i="5"/>
  <c r="G153" i="5" s="1"/>
  <c r="G152" i="5"/>
  <c r="F152" i="5"/>
  <c r="F151" i="5"/>
  <c r="G151" i="5" s="1"/>
  <c r="G150" i="5"/>
  <c r="F150" i="5"/>
  <c r="G149" i="5"/>
  <c r="F149" i="5"/>
  <c r="F148" i="5"/>
  <c r="G148" i="5" s="1"/>
  <c r="G147" i="5"/>
  <c r="F147" i="5"/>
  <c r="F146" i="5"/>
  <c r="G146" i="5" s="1"/>
  <c r="G145" i="5"/>
  <c r="F145" i="5"/>
  <c r="G144" i="5"/>
  <c r="F144" i="5"/>
  <c r="F143" i="5"/>
  <c r="G143" i="5" s="1"/>
  <c r="G142" i="5"/>
  <c r="F142" i="5"/>
  <c r="F141" i="5"/>
  <c r="G141" i="5" s="1"/>
  <c r="G140" i="5"/>
  <c r="F140" i="5"/>
  <c r="G139" i="5"/>
  <c r="F139" i="5"/>
  <c r="F138" i="5"/>
  <c r="G138" i="5" s="1"/>
  <c r="G137" i="5"/>
  <c r="F137" i="5"/>
  <c r="F136" i="5"/>
  <c r="G136" i="5" s="1"/>
  <c r="G135" i="5"/>
  <c r="F135" i="5"/>
  <c r="G134" i="5"/>
  <c r="F134" i="5"/>
  <c r="F133" i="5"/>
  <c r="G133" i="5" s="1"/>
  <c r="G132" i="5"/>
  <c r="F132" i="5"/>
  <c r="F131" i="5"/>
  <c r="G131" i="5" s="1"/>
  <c r="G130" i="5"/>
  <c r="F130" i="5"/>
  <c r="G129" i="5"/>
  <c r="F129" i="5"/>
  <c r="F128" i="5"/>
  <c r="G128" i="5" s="1"/>
  <c r="G127" i="5"/>
  <c r="F127" i="5"/>
  <c r="F126" i="5"/>
  <c r="G126" i="5" s="1"/>
  <c r="G125" i="5"/>
  <c r="F125" i="5"/>
  <c r="G124" i="5"/>
  <c r="F124" i="5"/>
  <c r="F123" i="5"/>
  <c r="G123" i="5" s="1"/>
  <c r="G122" i="5"/>
  <c r="F122" i="5"/>
  <c r="F121" i="5"/>
  <c r="G121" i="5" s="1"/>
  <c r="G120" i="5"/>
  <c r="F120" i="5"/>
  <c r="G119" i="5"/>
  <c r="F119" i="5"/>
  <c r="F118" i="5"/>
  <c r="G118" i="5" s="1"/>
  <c r="G117" i="5"/>
  <c r="F117" i="5"/>
  <c r="F116" i="5"/>
  <c r="G116" i="5" s="1"/>
  <c r="G115" i="5"/>
  <c r="F115" i="5"/>
  <c r="G114" i="5"/>
  <c r="F114" i="5"/>
  <c r="F113" i="5"/>
  <c r="G113" i="5" s="1"/>
  <c r="G112" i="5"/>
  <c r="F112" i="5"/>
  <c r="F111" i="5"/>
  <c r="G111" i="5" s="1"/>
  <c r="G110" i="5"/>
  <c r="F110" i="5"/>
  <c r="G109" i="5"/>
  <c r="F109" i="5"/>
  <c r="F108" i="5"/>
  <c r="G108" i="5" s="1"/>
  <c r="G107" i="5"/>
  <c r="F107" i="5"/>
  <c r="F106" i="5"/>
  <c r="G106" i="5" s="1"/>
  <c r="G105" i="5"/>
  <c r="F105" i="5"/>
  <c r="G104" i="5"/>
  <c r="F104" i="5"/>
  <c r="F103" i="5"/>
  <c r="G103" i="5" s="1"/>
  <c r="G102" i="5"/>
  <c r="F102" i="5"/>
  <c r="F101" i="5"/>
  <c r="G101" i="5" s="1"/>
  <c r="G100" i="5"/>
  <c r="F100" i="5"/>
  <c r="G99" i="5"/>
  <c r="F99" i="5"/>
  <c r="F98" i="5"/>
  <c r="G98" i="5" s="1"/>
  <c r="G97" i="5"/>
  <c r="F97" i="5"/>
  <c r="F96" i="5"/>
  <c r="G96" i="5" s="1"/>
  <c r="G95" i="5"/>
  <c r="F95" i="5"/>
  <c r="G94" i="5"/>
  <c r="F94" i="5"/>
  <c r="F93" i="5"/>
  <c r="G93" i="5" s="1"/>
  <c r="G92" i="5"/>
  <c r="F92" i="5"/>
  <c r="F91" i="5"/>
  <c r="G91" i="5" s="1"/>
  <c r="G90" i="5"/>
  <c r="F90" i="5"/>
  <c r="G89" i="5"/>
  <c r="F89" i="5"/>
  <c r="F88" i="5"/>
  <c r="G88" i="5" s="1"/>
  <c r="G87" i="5"/>
  <c r="F87" i="5"/>
  <c r="F86" i="5"/>
  <c r="G86" i="5" s="1"/>
  <c r="G85" i="5"/>
  <c r="F85" i="5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C5" i="3" s="1"/>
  <c r="F3" i="5"/>
  <c r="G3" i="5" s="1"/>
  <c r="F2" i="5"/>
  <c r="G2" i="5" s="1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C3" i="3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  <c r="J24" i="8" l="1"/>
  <c r="G24" i="8"/>
  <c r="E24" i="8"/>
  <c r="F21" i="8"/>
  <c r="H21" i="8" s="1"/>
  <c r="F14" i="8"/>
  <c r="H14" i="8" s="1"/>
  <c r="F16" i="8"/>
  <c r="H16" i="8" s="1"/>
  <c r="F9" i="8"/>
  <c r="H9" i="8" s="1"/>
  <c r="F11" i="8"/>
  <c r="H11" i="8" s="1"/>
  <c r="F4" i="8"/>
  <c r="H4" i="8" s="1"/>
  <c r="F6" i="8"/>
  <c r="H6" i="8" s="1"/>
  <c r="F7" i="8"/>
  <c r="H7" i="8" s="1"/>
  <c r="H15" i="8"/>
  <c r="F8" i="8"/>
  <c r="H8" i="8" s="1"/>
  <c r="F13" i="8"/>
  <c r="H13" i="8" s="1"/>
  <c r="F23" i="8"/>
  <c r="H23" i="8" s="1"/>
  <c r="F18" i="8"/>
  <c r="H18" i="8" s="1"/>
  <c r="F20" i="8"/>
  <c r="H20" i="8" s="1"/>
  <c r="F5" i="8"/>
  <c r="H5" i="8" s="1"/>
  <c r="F10" i="8"/>
  <c r="H10" i="8" s="1"/>
  <c r="F12" i="8"/>
  <c r="H12" i="8" s="1"/>
  <c r="F3" i="8"/>
  <c r="H3" i="8" s="1"/>
  <c r="F22" i="8"/>
  <c r="H22" i="8" s="1"/>
  <c r="F17" i="8"/>
  <c r="H17" i="8" s="1"/>
  <c r="F2" i="8"/>
  <c r="F19" i="8"/>
  <c r="H19" i="8" s="1"/>
  <c r="C82" i="1"/>
  <c r="C6" i="3"/>
  <c r="C2" i="3"/>
  <c r="C4" i="3"/>
  <c r="C7" i="3"/>
  <c r="H2" i="8" l="1"/>
  <c r="H24" i="8" s="1"/>
  <c r="I16" i="8" s="1"/>
  <c r="F24" i="8"/>
  <c r="I7" i="8"/>
  <c r="I5" i="8"/>
  <c r="I19" i="8"/>
  <c r="I21" i="8"/>
  <c r="I18" i="8"/>
  <c r="I15" i="8"/>
  <c r="I6" i="8"/>
  <c r="I20" i="8"/>
  <c r="I2" i="8"/>
  <c r="I13" i="8"/>
  <c r="I17" i="8"/>
  <c r="I11" i="8"/>
  <c r="I22" i="8"/>
  <c r="I14" i="8"/>
  <c r="C8" i="3"/>
  <c r="B8" i="3"/>
  <c r="I9" i="8" l="1"/>
  <c r="I12" i="8"/>
  <c r="I4" i="8"/>
  <c r="I23" i="8"/>
  <c r="I3" i="8"/>
  <c r="I8" i="8"/>
  <c r="I10" i="8"/>
  <c r="D7" i="3"/>
  <c r="D6" i="3"/>
  <c r="D4" i="3"/>
  <c r="D2" i="3"/>
  <c r="D3" i="3"/>
  <c r="D5" i="3"/>
  <c r="I2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Liv Arkema</author>
  </authors>
  <commentList>
    <comment ref="B7" authorId="0" shapeId="0" xr:uid="{74D2E9EF-E72C-A342-AC88-20D612ABEB3C}">
      <text>
        <r>
          <rPr>
            <b/>
            <sz val="10"/>
            <color rgb="FF000000"/>
            <rFont val="Tahoma"/>
            <family val="2"/>
          </rPr>
          <t>Liv Arkema:</t>
        </r>
        <r>
          <rPr>
            <sz val="10"/>
            <color rgb="FF000000"/>
            <rFont val="Tahoma"/>
            <family val="2"/>
          </rPr>
          <t xml:space="preserve">
Applies to Village Pie Butter, 2% Milk Dispenser, and Sour Cream 16oz whole-case lines. No case pack was supplied for these items, so quantity passes through unchanged. Update here if actual pack sizes become known.</t>
        </r>
      </text>
    </comment>
  </commentList>
</comments>
</file>

<file path=xl/sharedStrings.xml><?xml version="1.0" encoding="utf-8"?>
<sst xmlns="http://schemas.openxmlformats.org/spreadsheetml/2006/main" count="6718" uniqueCount="402">
  <si>
    <t>ZIP Code</t>
  </si>
  <si>
    <t>Line Items</t>
  </si>
  <si>
    <t>Distinct Ship-To #s</t>
  </si>
  <si>
    <t>Distance from Country Dairy (mi, straight-line)</t>
  </si>
  <si>
    <t>(Unspecified / Consolidated)</t>
  </si>
  <si>
    <t>43502</t>
  </si>
  <si>
    <t>43506</t>
  </si>
  <si>
    <t>43512</t>
  </si>
  <si>
    <t>43517</t>
  </si>
  <si>
    <t>43518</t>
  </si>
  <si>
    <t>43521</t>
  </si>
  <si>
    <t>43524</t>
  </si>
  <si>
    <t>43526</t>
  </si>
  <si>
    <t>43528</t>
  </si>
  <si>
    <t>43532</t>
  </si>
  <si>
    <t>43533</t>
  </si>
  <si>
    <t>43540</t>
  </si>
  <si>
    <t>43543</t>
  </si>
  <si>
    <t>43545</t>
  </si>
  <si>
    <t>43554</t>
  </si>
  <si>
    <t>43556</t>
  </si>
  <si>
    <t>43557</t>
  </si>
  <si>
    <t>43570</t>
  </si>
  <si>
    <t>45831</t>
  </si>
  <si>
    <t>46514</t>
  </si>
  <si>
    <t>46517</t>
  </si>
  <si>
    <t>46530</t>
  </si>
  <si>
    <t>46540</t>
  </si>
  <si>
    <t>46550</t>
  </si>
  <si>
    <t>46571</t>
  </si>
  <si>
    <t>46582</t>
  </si>
  <si>
    <t>46703</t>
  </si>
  <si>
    <t>46706</t>
  </si>
  <si>
    <t>46721</t>
  </si>
  <si>
    <t>46723</t>
  </si>
  <si>
    <t>46737</t>
  </si>
  <si>
    <t>46741</t>
  </si>
  <si>
    <t>46743</t>
  </si>
  <si>
    <t>46746</t>
  </si>
  <si>
    <t>46748</t>
  </si>
  <si>
    <t>46774</t>
  </si>
  <si>
    <t>46776</t>
  </si>
  <si>
    <t>46787</t>
  </si>
  <si>
    <t>46795</t>
  </si>
  <si>
    <t>46802</t>
  </si>
  <si>
    <t>46803</t>
  </si>
  <si>
    <t>46804</t>
  </si>
  <si>
    <t>46805</t>
  </si>
  <si>
    <t>46808</t>
  </si>
  <si>
    <t>46809</t>
  </si>
  <si>
    <t>46825</t>
  </si>
  <si>
    <t>46975</t>
  </si>
  <si>
    <t>48059</t>
  </si>
  <si>
    <t>48108</t>
  </si>
  <si>
    <t>48130</t>
  </si>
  <si>
    <t>48158</t>
  </si>
  <si>
    <t>48174</t>
  </si>
  <si>
    <t>48186</t>
  </si>
  <si>
    <t>48240</t>
  </si>
  <si>
    <t>48381</t>
  </si>
  <si>
    <t>48450</t>
  </si>
  <si>
    <t>49036</t>
  </si>
  <si>
    <t>49037</t>
  </si>
  <si>
    <t>49065</t>
  </si>
  <si>
    <t>49068</t>
  </si>
  <si>
    <t>49082</t>
  </si>
  <si>
    <t>49090</t>
  </si>
  <si>
    <t>49103</t>
  </si>
  <si>
    <t>49202</t>
  </si>
  <si>
    <t>49221</t>
  </si>
  <si>
    <t>49230</t>
  </si>
  <si>
    <t>49232</t>
  </si>
  <si>
    <t>49233</t>
  </si>
  <si>
    <t>49242</t>
  </si>
  <si>
    <t>49247</t>
  </si>
  <si>
    <t>49250</t>
  </si>
  <si>
    <t>49255</t>
  </si>
  <si>
    <t>49256</t>
  </si>
  <si>
    <t>49274</t>
  </si>
  <si>
    <t>49288</t>
  </si>
  <si>
    <t>49418</t>
  </si>
  <si>
    <t>49428</t>
  </si>
  <si>
    <t>49540</t>
  </si>
  <si>
    <t>68138</t>
  </si>
  <si>
    <t>GRAND TOTAL</t>
  </si>
  <si>
    <t>Note: 'Original PDF Subtotal' and grand total are copied from the source PDF (Kuster's Commodity Report, Covers Period Jun 01 2026 - Aug 19 2026) as a QC check against the recalculated totals in column B. Distance is straight-line ('as the crow flies') miles between ZIP code centroids, computed on the 'ZIP Coordinates' tab - see that tab for the data source and Country Dairy's origin ZIP.</t>
  </si>
  <si>
    <t>Ship To (Customer) #</t>
  </si>
  <si>
    <t>Notes</t>
  </si>
  <si>
    <t>729815</t>
  </si>
  <si>
    <t>2730</t>
  </si>
  <si>
    <t>750094</t>
  </si>
  <si>
    <t>2334</t>
  </si>
  <si>
    <t>2276</t>
  </si>
  <si>
    <t>750041</t>
  </si>
  <si>
    <t>1632</t>
  </si>
  <si>
    <t>750005</t>
  </si>
  <si>
    <t>750086</t>
  </si>
  <si>
    <t>750090</t>
  </si>
  <si>
    <t>0251</t>
  </si>
  <si>
    <t>0415</t>
  </si>
  <si>
    <t>0898</t>
  </si>
  <si>
    <t>0999</t>
  </si>
  <si>
    <t>Ships to more than one ZIP in the source report (43526, 49232, (Unspecified / Consolidated)). ZIP shown is the one with the largest volume for this customer; distance is based on that ZIP only.</t>
  </si>
  <si>
    <t>2338</t>
  </si>
  <si>
    <t>740086</t>
  </si>
  <si>
    <t>3054</t>
  </si>
  <si>
    <t>750043</t>
  </si>
  <si>
    <t>750088</t>
  </si>
  <si>
    <t>750084</t>
  </si>
  <si>
    <t>1264</t>
  </si>
  <si>
    <t>Ships to more than one ZIP in the source report (46540, 49540). ZIP shown is the one with the largest volume for this customer; distance is based on that ZIP only.</t>
  </si>
  <si>
    <t>710052</t>
  </si>
  <si>
    <t>750096</t>
  </si>
  <si>
    <t>739026</t>
  </si>
  <si>
    <t>2844</t>
  </si>
  <si>
    <t>1678</t>
  </si>
  <si>
    <t>1486</t>
  </si>
  <si>
    <t>Ships to more than one ZIP in the source report (46514, (Unspecified / Consolidated)). ZIP shown is the one with the largest volume for this customer; distance is based on that ZIP only.</t>
  </si>
  <si>
    <t>750092</t>
  </si>
  <si>
    <t>1266</t>
  </si>
  <si>
    <t>0200</t>
  </si>
  <si>
    <t>729841</t>
  </si>
  <si>
    <t>1580</t>
  </si>
  <si>
    <t>2738</t>
  </si>
  <si>
    <t>1630</t>
  </si>
  <si>
    <t>2668</t>
  </si>
  <si>
    <t>739023</t>
  </si>
  <si>
    <t>2366</t>
  </si>
  <si>
    <t>750074</t>
  </si>
  <si>
    <t>1696</t>
  </si>
  <si>
    <t>1460</t>
  </si>
  <si>
    <t>0179</t>
  </si>
  <si>
    <t>1270</t>
  </si>
  <si>
    <t>Ships to more than one ZIP in the source report (46804, (Unspecified / Consolidated)). ZIP shown is the one with the largest volume for this customer; distance is based on that ZIP only.</t>
  </si>
  <si>
    <t>1528</t>
  </si>
  <si>
    <t>2736</t>
  </si>
  <si>
    <t>2474</t>
  </si>
  <si>
    <t>0259</t>
  </si>
  <si>
    <t>0108</t>
  </si>
  <si>
    <t>0856</t>
  </si>
  <si>
    <t>0425</t>
  </si>
  <si>
    <t>0664</t>
  </si>
  <si>
    <t>2572</t>
  </si>
  <si>
    <t>2490</t>
  </si>
  <si>
    <t>1776</t>
  </si>
  <si>
    <t>729853</t>
  </si>
  <si>
    <t>2690</t>
  </si>
  <si>
    <t>1470</t>
  </si>
  <si>
    <t>0182</t>
  </si>
  <si>
    <t>2748</t>
  </si>
  <si>
    <t>750082</t>
  </si>
  <si>
    <t>1488</t>
  </si>
  <si>
    <t>750078</t>
  </si>
  <si>
    <t>729606</t>
  </si>
  <si>
    <t>1468</t>
  </si>
  <si>
    <t>1676</t>
  </si>
  <si>
    <t>0840</t>
  </si>
  <si>
    <t>0950</t>
  </si>
  <si>
    <t>0872</t>
  </si>
  <si>
    <t>2634</t>
  </si>
  <si>
    <t>2764</t>
  </si>
  <si>
    <t>0257</t>
  </si>
  <si>
    <t>0156</t>
  </si>
  <si>
    <t>1560</t>
  </si>
  <si>
    <t>1882</t>
  </si>
  <si>
    <t>0608</t>
  </si>
  <si>
    <t>0892</t>
  </si>
  <si>
    <t>1672</t>
  </si>
  <si>
    <t>1438</t>
  </si>
  <si>
    <t>0886</t>
  </si>
  <si>
    <t>0852</t>
  </si>
  <si>
    <t>750098</t>
  </si>
  <si>
    <t>2722</t>
  </si>
  <si>
    <t>2744</t>
  </si>
  <si>
    <t>1550</t>
  </si>
  <si>
    <t>1644</t>
  </si>
  <si>
    <t>2592</t>
  </si>
  <si>
    <t>0980</t>
  </si>
  <si>
    <t>3074</t>
  </si>
  <si>
    <t>0868</t>
  </si>
  <si>
    <t>1926</t>
  </si>
  <si>
    <t>1506</t>
  </si>
  <si>
    <t>1606</t>
  </si>
  <si>
    <t>2012</t>
  </si>
  <si>
    <t>2862</t>
  </si>
  <si>
    <t>2200</t>
  </si>
  <si>
    <t>0854</t>
  </si>
  <si>
    <t>2792</t>
  </si>
  <si>
    <t>1352</t>
  </si>
  <si>
    <t>750080</t>
  </si>
  <si>
    <t>2374</t>
  </si>
  <si>
    <t>3062</t>
  </si>
  <si>
    <t>2240</t>
  </si>
  <si>
    <t>2198</t>
  </si>
  <si>
    <t>2578</t>
  </si>
  <si>
    <t>2154</t>
  </si>
  <si>
    <t>1384</t>
  </si>
  <si>
    <t>2502</t>
  </si>
  <si>
    <t>1394</t>
  </si>
  <si>
    <t>2952</t>
  </si>
  <si>
    <t>3064</t>
  </si>
  <si>
    <t>1032</t>
  </si>
  <si>
    <t>2590</t>
  </si>
  <si>
    <t>1686</t>
  </si>
  <si>
    <t>2728</t>
  </si>
  <si>
    <t>1758</t>
  </si>
  <si>
    <t>2910</t>
  </si>
  <si>
    <t>2834</t>
  </si>
  <si>
    <t>1830</t>
  </si>
  <si>
    <t>1626</t>
  </si>
  <si>
    <t>1820</t>
  </si>
  <si>
    <t>729821</t>
  </si>
  <si>
    <t>3084</t>
  </si>
  <si>
    <t>1472</t>
  </si>
  <si>
    <t>2128</t>
  </si>
  <si>
    <t>0812</t>
  </si>
  <si>
    <t>2476</t>
  </si>
  <si>
    <t>1546</t>
  </si>
  <si>
    <t>2860</t>
  </si>
  <si>
    <t>2394</t>
  </si>
  <si>
    <t>2828</t>
  </si>
  <si>
    <t>8502</t>
  </si>
  <si>
    <t>2904</t>
  </si>
  <si>
    <t>2252</t>
  </si>
  <si>
    <t>0804</t>
  </si>
  <si>
    <t>2026</t>
  </si>
  <si>
    <t>2874</t>
  </si>
  <si>
    <t>Note: one row per Ship To (Customer) #. For the handful of customers whose shipments span more than one ZIP in the source report (see 'Notes'), the ZIP with the largest volume was used to compute distance - see the 'Notes' column for the other ZIP(s) on file for that customer.</t>
  </si>
  <si>
    <t>Distance Band</t>
  </si>
  <si>
    <t>0-49 mi</t>
  </si>
  <si>
    <t>50-99 mi</t>
  </si>
  <si>
    <t>100-149 mi</t>
  </si>
  <si>
    <t>150-199 mi</t>
  </si>
  <si>
    <t>200+ mi</t>
  </si>
  <si>
    <t>Unknown</t>
  </si>
  <si>
    <t>Note: each shipment line is bucketed by the straight-line distance between Country Dairy (49446) and that line's destination ZIP centroid. 'Unknown' covers lines with no ZIP on file or a ZIP not found in the centroid database (see 'ZIP Coordinates' tab).</t>
  </si>
  <si>
    <t>Item Number</t>
  </si>
  <si>
    <t>Description</t>
  </si>
  <si>
    <t>Ship To Number</t>
  </si>
  <si>
    <t>6005P</t>
  </si>
  <si>
    <t>Whole Milk Gallon</t>
  </si>
  <si>
    <t>6013P</t>
  </si>
  <si>
    <t>Whole Milk - HALF GALLON</t>
  </si>
  <si>
    <t>6014P</t>
  </si>
  <si>
    <t>2% Milk - HALF GALLON</t>
  </si>
  <si>
    <t>6044</t>
  </si>
  <si>
    <t>Whole Milk Pint</t>
  </si>
  <si>
    <t>6044P</t>
  </si>
  <si>
    <t>6045</t>
  </si>
  <si>
    <t>2% Reduced Fat Milk Pint</t>
  </si>
  <si>
    <t>6045P</t>
  </si>
  <si>
    <t>6049P</t>
  </si>
  <si>
    <t>Strawberry Whole Milk Pint</t>
  </si>
  <si>
    <t>6098P</t>
  </si>
  <si>
    <t>Heavy Whip 39% - HALF GALLON</t>
  </si>
  <si>
    <t>6230</t>
  </si>
  <si>
    <t>Chocolate Whole Milk Pint</t>
  </si>
  <si>
    <t>6230P</t>
  </si>
  <si>
    <t>6005</t>
  </si>
  <si>
    <t>6006</t>
  </si>
  <si>
    <t>2% Reduced Fat Milk Gallon</t>
  </si>
  <si>
    <t>6006P</t>
  </si>
  <si>
    <t>6010</t>
  </si>
  <si>
    <t>Fat Free (Skim) Milk Gallon</t>
  </si>
  <si>
    <t>6010P</t>
  </si>
  <si>
    <t>6011P</t>
  </si>
  <si>
    <t>1% Low Fat Milk Gallon</t>
  </si>
  <si>
    <t>6012</t>
  </si>
  <si>
    <t>Chocolate Whole Milk Gallon</t>
  </si>
  <si>
    <t>6012P</t>
  </si>
  <si>
    <t>6013</t>
  </si>
  <si>
    <t>6014</t>
  </si>
  <si>
    <t>6018P</t>
  </si>
  <si>
    <t>Skim No Fat Milk - HALF GALLON</t>
  </si>
  <si>
    <t>6020</t>
  </si>
  <si>
    <t>Chocolate Whole Milk - HALF GALLON</t>
  </si>
  <si>
    <t>6020P</t>
  </si>
  <si>
    <t>6024P</t>
  </si>
  <si>
    <t>Whole Milk Quart</t>
  </si>
  <si>
    <t>6025P</t>
  </si>
  <si>
    <t>2% Reduced Fat Milk Quart</t>
  </si>
  <si>
    <t>6049</t>
  </si>
  <si>
    <t>6070P</t>
  </si>
  <si>
    <t>Sour Cream 16oz</t>
  </si>
  <si>
    <t>6086P</t>
  </si>
  <si>
    <t>French Onion Dip</t>
  </si>
  <si>
    <t>6202</t>
  </si>
  <si>
    <t>Chocolate Whole Milk Quart</t>
  </si>
  <si>
    <t>6202P</t>
  </si>
  <si>
    <t>6025</t>
  </si>
  <si>
    <t>6024</t>
  </si>
  <si>
    <t>6018</t>
  </si>
  <si>
    <t>6029</t>
  </si>
  <si>
    <t>Strawberry Whole Milk Half Gallon</t>
  </si>
  <si>
    <t>6002</t>
  </si>
  <si>
    <t>2% Milk Dispenser</t>
  </si>
  <si>
    <t>2% Milk               Dispenser</t>
  </si>
  <si>
    <t>6098</t>
  </si>
  <si>
    <t>6070</t>
  </si>
  <si>
    <t>6011</t>
  </si>
  <si>
    <t>7676</t>
  </si>
  <si>
    <t>Village Pie Butter</t>
  </si>
  <si>
    <t>Quantity Shipped</t>
  </si>
  <si>
    <t>City, State</t>
  </si>
  <si>
    <t>Latitude</t>
  </si>
  <si>
    <t>Longitude</t>
  </si>
  <si>
    <t>49446</t>
  </si>
  <si>
    <t>New Era, MI</t>
  </si>
  <si>
    <t>ORIGIN - Country Dairy, New Era, MI (from countrydairy.com/contact-us)</t>
  </si>
  <si>
    <t>Archbold, OH</t>
  </si>
  <si>
    <t>Bryan, OH</t>
  </si>
  <si>
    <t>Defiance, OH</t>
  </si>
  <si>
    <t>Edgerton, OH</t>
  </si>
  <si>
    <t>Edon, OH</t>
  </si>
  <si>
    <t>Fayette, OH</t>
  </si>
  <si>
    <t>Hamler, OH</t>
  </si>
  <si>
    <t>Hicksville, OH</t>
  </si>
  <si>
    <t>Holland, OH</t>
  </si>
  <si>
    <t>Liberty Center, OH</t>
  </si>
  <si>
    <t>Lyons, OH</t>
  </si>
  <si>
    <t>Metamora, OH</t>
  </si>
  <si>
    <t>Montpelier, OH</t>
  </si>
  <si>
    <t>Napoleon, OH</t>
  </si>
  <si>
    <t>Pioneer, OH</t>
  </si>
  <si>
    <t>Sherwood, OH</t>
  </si>
  <si>
    <t>Stryker, OH</t>
  </si>
  <si>
    <t>West Unity, OH</t>
  </si>
  <si>
    <t>Continental, OH</t>
  </si>
  <si>
    <t>Elkhart, IN</t>
  </si>
  <si>
    <t>Granger, IN</t>
  </si>
  <si>
    <t>Middlebury, IN</t>
  </si>
  <si>
    <t>Nappanee, IN</t>
  </si>
  <si>
    <t>Topeka, IN</t>
  </si>
  <si>
    <t>Warsaw, IN</t>
  </si>
  <si>
    <t>Angola, IN</t>
  </si>
  <si>
    <t>Auburn, IN</t>
  </si>
  <si>
    <t>Butler, IN</t>
  </si>
  <si>
    <t>Churubusco, IN</t>
  </si>
  <si>
    <t>Fremont, IN</t>
  </si>
  <si>
    <t>Grabill, IN</t>
  </si>
  <si>
    <t>Harlan, IN</t>
  </si>
  <si>
    <t>Howe, IN</t>
  </si>
  <si>
    <t>Huntertown, IN</t>
  </si>
  <si>
    <t>New Haven, IN</t>
  </si>
  <si>
    <t>Orland, IN</t>
  </si>
  <si>
    <t>South Whitley, IN</t>
  </si>
  <si>
    <t>Wolcottville, IN</t>
  </si>
  <si>
    <t>Fort Wayne, IN</t>
  </si>
  <si>
    <t>Rochester, IN</t>
  </si>
  <si>
    <t>Fort Gratiot, MI</t>
  </si>
  <si>
    <t>Ann Arbor, MI</t>
  </si>
  <si>
    <t>Dexter, MI</t>
  </si>
  <si>
    <t>Manchester, MI</t>
  </si>
  <si>
    <t>Romulus, MI</t>
  </si>
  <si>
    <t>Westland, MI</t>
  </si>
  <si>
    <t>Redford, MI</t>
  </si>
  <si>
    <t>Milford, MI</t>
  </si>
  <si>
    <t>Lexington, MI</t>
  </si>
  <si>
    <t>Coldwater, MI</t>
  </si>
  <si>
    <t>Battle Creek, MI</t>
  </si>
  <si>
    <t>Lawton, MI</t>
  </si>
  <si>
    <t>Marshall, MI</t>
  </si>
  <si>
    <t>Quincy, MI</t>
  </si>
  <si>
    <t>South Haven, MI</t>
  </si>
  <si>
    <t>Berrien Springs, MI</t>
  </si>
  <si>
    <t>Jackson, MI</t>
  </si>
  <si>
    <t>Adrian, MI</t>
  </si>
  <si>
    <t>Brooklyn, MI</t>
  </si>
  <si>
    <t>Camden, MI</t>
  </si>
  <si>
    <t>Cement City, MI</t>
  </si>
  <si>
    <t>Hillsdale, MI</t>
  </si>
  <si>
    <t>Hudson, MI</t>
  </si>
  <si>
    <t>Jonesville, MI</t>
  </si>
  <si>
    <t>Montgomery, MI</t>
  </si>
  <si>
    <t>Morenci, MI</t>
  </si>
  <si>
    <t>Reading, MI</t>
  </si>
  <si>
    <t>Waldron, MI</t>
  </si>
  <si>
    <t>Grandville, MI</t>
  </si>
  <si>
    <t>Jenison, MI</t>
  </si>
  <si>
    <t>NOT FOUND</t>
  </si>
  <si>
    <t>N/A</t>
  </si>
  <si>
    <t>ZIP not found in centroid database - could not calculate distance; verify ZIP with USPS</t>
  </si>
  <si>
    <t>Omaha, NE</t>
  </si>
  <si>
    <t>Source: ZIP code centroid latitude/longitude from the 'zipcodes' Python package (USPS/Census-derived ZCTA centroid data). Distances elsewhere in this workbook are straight-line (haversine) miles between centroids, not driving distance.</t>
  </si>
  <si>
    <t>Case Pack Assumptions</t>
  </si>
  <si>
    <t>Container Size</t>
  </si>
  <si>
    <t>Units per Case</t>
  </si>
  <si>
    <t>Gallon</t>
  </si>
  <si>
    <t>Half Gallon</t>
  </si>
  <si>
    <t>Quart</t>
  </si>
  <si>
    <t>Pint</t>
  </si>
  <si>
    <t>Other / unspecified</t>
  </si>
  <si>
    <t>Rule: item numbers ending in "P" are partial-case sales — quantity is already in units, so pack = 1. All other item numbers are whole cases and are multiplied by the pack size above.</t>
  </si>
  <si>
    <t>Units per Case Applied</t>
  </si>
  <si>
    <t>Total Units Shipped</t>
  </si>
  <si>
    <t>% of Total Units</t>
  </si>
  <si>
    <t>Whole Cases Sold</t>
  </si>
  <si>
    <t>Units from Whole Cases</t>
  </si>
  <si>
    <t>Partial-Case Units Sold</t>
  </si>
  <si>
    <t>6086</t>
  </si>
  <si>
    <t>TOTAL</t>
  </si>
  <si>
    <t>Whole cases (item numbers without a trailing "P") are multiplied by the case pack on the Assumptions tab. Item numbers ending in "P" are partial-case sales already stated in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</si>
</sst>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"/>
  </numFmts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10"/>
      <color rgb="FFC00000"/>
      <name val="Arial"/>
      <family val="2"/>
    </font>
    <font>
      <i/>
      <sz val="9"/>
      <color rgb="FFC0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i/>
      <sz val="9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3" fillId="3" borderId="1" xfId="0" applyFont="1" applyFill="1" applyBorder="1"/>
    <xf numFmtId="4" fontId="3" fillId="3" borderId="1" xfId="0" applyNumberFormat="1" applyFont="1" applyFill="1" applyBorder="1"/>
    <xf numFmtId="0" fontId="0" fillId="3" borderId="1" xfId="0" applyFill="1" applyBorder="1"/>
    <xf numFmtId="4" fontId="0" fillId="0" borderId="0" xfId="0" applyNumberFormat="1"/>
    <xf numFmtId="0" fontId="4" fillId="0" borderId="1" xfId="0" applyFont="1" applyBorder="1"/>
    <xf numFmtId="165" fontId="2" fillId="0" borderId="1" xfId="0" applyNumberFormat="1" applyFont="1" applyBorder="1"/>
    <xf numFmtId="0" fontId="3" fillId="4" borderId="1" xfId="0" applyFont="1" applyFill="1" applyBorder="1"/>
    <xf numFmtId="166" fontId="3" fillId="4" borderId="1" xfId="0" applyNumberFormat="1" applyFont="1" applyFill="1" applyBorder="1"/>
    <xf numFmtId="0" fontId="4" fillId="4" borderId="1" xfId="0" applyFont="1" applyFill="1" applyBorder="1"/>
    <xf numFmtId="166" fontId="2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166" fontId="5" fillId="0" borderId="1" xfId="0" applyNumberFormat="1" applyFont="1" applyBorder="1"/>
    <xf numFmtId="0" fontId="6" fillId="0" borderId="1" xfId="0" applyFont="1" applyBorder="1"/>
    <xf numFmtId="0" fontId="7" fillId="0" borderId="0" xfId="0" applyFont="1"/>
    <xf numFmtId="0" fontId="1" fillId="5" borderId="0" xfId="0" applyFont="1" applyFill="1" applyAlignment="1">
      <alignment horizontal="center"/>
    </xf>
    <xf numFmtId="0" fontId="8" fillId="0" borderId="0" xfId="0" applyFont="1"/>
    <xf numFmtId="3" fontId="9" fillId="0" borderId="0" xfId="0" applyNumberFormat="1" applyFont="1"/>
    <xf numFmtId="3" fontId="9" fillId="6" borderId="0" xfId="0" applyNumberFormat="1" applyFont="1" applyFill="1"/>
    <xf numFmtId="0" fontId="10" fillId="0" borderId="0" xfId="0" applyFont="1"/>
    <xf numFmtId="0" fontId="1" fillId="5" borderId="2" xfId="0" applyFont="1" applyFill="1" applyBorder="1" applyAlignment="1">
      <alignment horizontal="center" vertical="center" wrapText="1"/>
    </xf>
    <xf numFmtId="3" fontId="8" fillId="0" borderId="0" xfId="0" applyNumberFormat="1" applyFont="1"/>
    <xf numFmtId="3" fontId="2" fillId="0" borderId="1" xfId="0" applyNumberFormat="1" applyFont="1" applyBorder="1"/>
    <xf numFmtId="3" fontId="3" fillId="3" borderId="1" xfId="0" applyNumberFormat="1" applyFont="1" applyFill="1" applyBorder="1"/>
    <xf numFmtId="3" fontId="0" fillId="0" borderId="0" xfId="0" applyNumberFormat="1"/>
    <xf numFmtId="3" fontId="4" fillId="0" borderId="0" xfId="0" applyNumberFormat="1" applyFont="1"/>
    <xf numFmtId="0" fontId="1" fillId="5" borderId="1" xfId="0" applyFont="1" applyFill="1" applyBorder="1" applyAlignment="1">
      <alignment horizontal="center" wrapText="1"/>
    </xf>
    <xf numFmtId="49" fontId="13" fillId="0" borderId="1" xfId="0" applyNumberFormat="1" applyFont="1" applyBorder="1"/>
    <xf numFmtId="0" fontId="13" fillId="0" borderId="1" xfId="0" applyFont="1" applyBorder="1"/>
    <xf numFmtId="3" fontId="13" fillId="0" borderId="1" xfId="0" applyNumberFormat="1" applyFont="1" applyBorder="1"/>
    <xf numFmtId="165" fontId="13" fillId="0" borderId="1" xfId="0" applyNumberFormat="1" applyFont="1" applyBorder="1"/>
    <xf numFmtId="49" fontId="14" fillId="7" borderId="1" xfId="0" applyNumberFormat="1" applyFont="1" applyFill="1" applyBorder="1"/>
    <xf numFmtId="0" fontId="14" fillId="7" borderId="1" xfId="0" applyFont="1" applyFill="1" applyBorder="1"/>
    <xf numFmtId="3" fontId="14" fillId="7" borderId="1" xfId="0" applyNumberFormat="1" applyFont="1" applyFill="1" applyBorder="1"/>
    <xf numFmtId="165" fontId="14" fillId="7" borderId="1" xfId="0" applyNumberFormat="1" applyFont="1" applyFill="1" applyBorder="1"/>
    <xf numFmtId="49" fontId="15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2C170F9-BE60-1C40-8312-DF61B6F7AD7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8bcedb7-84d0-4033-bd02-dd7f24f0d4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FF8F-A715-814E-B6B6-E048A5EB4CA0}">
  <dimension ref="A1:B9"/>
  <sheetViews>
    <sheetView workbookViewId="0"/>
  </sheetViews>
  <sheetFormatPr baseColWidth="10" defaultRowHeight="15" x14ac:dyDescent="0.2"/>
  <cols>
    <col min="1" max="1" width="125.5" bestFit="1" customWidth="1"/>
    <col min="2" max="2" width="13.1640625" bestFit="1" customWidth="1"/>
  </cols>
  <sheetData>
    <row r="1" spans="1:2" ht="16" x14ac:dyDescent="0.2">
      <c r="A1" s="20" t="s">
        <v>384</v>
      </c>
    </row>
    <row r="2" spans="1:2" x14ac:dyDescent="0.2">
      <c r="A2" s="21" t="s">
        <v>385</v>
      </c>
      <c r="B2" s="21" t="s">
        <v>386</v>
      </c>
    </row>
    <row r="3" spans="1:2" x14ac:dyDescent="0.2">
      <c r="A3" s="22" t="s">
        <v>387</v>
      </c>
      <c r="B3" s="23">
        <v>4</v>
      </c>
    </row>
    <row r="4" spans="1:2" x14ac:dyDescent="0.2">
      <c r="A4" s="22" t="s">
        <v>388</v>
      </c>
      <c r="B4" s="23">
        <v>9</v>
      </c>
    </row>
    <row r="5" spans="1:2" x14ac:dyDescent="0.2">
      <c r="A5" s="22" t="s">
        <v>389</v>
      </c>
      <c r="B5" s="23">
        <v>9</v>
      </c>
    </row>
    <row r="6" spans="1:2" x14ac:dyDescent="0.2">
      <c r="A6" s="22" t="s">
        <v>390</v>
      </c>
      <c r="B6" s="23">
        <v>20</v>
      </c>
    </row>
    <row r="7" spans="1:2" x14ac:dyDescent="0.2">
      <c r="A7" s="22" t="s">
        <v>391</v>
      </c>
      <c r="B7" s="24">
        <v>1</v>
      </c>
    </row>
    <row r="9" spans="1:2" x14ac:dyDescent="0.2">
      <c r="A9" s="25" t="s">
        <v>392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2844-3EAB-9749-95F5-CCC285516966}">
  <dimension ref="A1:J26"/>
  <sheetViews>
    <sheetView tabSelected="1" zoomScale="170" zoomScaleNormal="170" workbookViewId="0">
      <pane ySplit="1" topLeftCell="A2" activePane="bottomLeft" state="frozen"/>
      <selection pane="bottomLeft" activeCell="B8" sqref="B8"/>
    </sheetView>
  </sheetViews>
  <sheetFormatPr baseColWidth="10" defaultRowHeight="15" x14ac:dyDescent="0.2"/>
  <cols>
    <col min="1" max="1" width="7.5" bestFit="1" customWidth="1"/>
    <col min="2" max="2" width="35" customWidth="1"/>
    <col min="3" max="3" width="9.6640625" bestFit="1" customWidth="1"/>
    <col min="4" max="4" width="8.5" bestFit="1" customWidth="1"/>
    <col min="5" max="5" width="10.5" bestFit="1" customWidth="1"/>
    <col min="6" max="6" width="9.5" bestFit="1" customWidth="1"/>
    <col min="7" max="7" width="10" bestFit="1" customWidth="1"/>
    <col min="8" max="8" width="9.83203125" bestFit="1" customWidth="1"/>
    <col min="9" max="9" width="9.1640625" bestFit="1" customWidth="1"/>
    <col min="10" max="10" width="9.6640625" bestFit="1" customWidth="1"/>
  </cols>
  <sheetData>
    <row r="1" spans="1:10" ht="32" customHeight="1" x14ac:dyDescent="0.2">
      <c r="A1" s="32" t="s">
        <v>236</v>
      </c>
      <c r="B1" s="32" t="s">
        <v>237</v>
      </c>
      <c r="C1" s="32" t="s">
        <v>385</v>
      </c>
      <c r="D1" s="32" t="s">
        <v>386</v>
      </c>
      <c r="E1" s="32" t="s">
        <v>396</v>
      </c>
      <c r="F1" s="32" t="s">
        <v>397</v>
      </c>
      <c r="G1" s="32" t="s">
        <v>398</v>
      </c>
      <c r="H1" s="32" t="s">
        <v>394</v>
      </c>
      <c r="I1" s="32" t="s">
        <v>395</v>
      </c>
      <c r="J1" s="32" t="s">
        <v>1</v>
      </c>
    </row>
    <row r="2" spans="1:10" x14ac:dyDescent="0.2">
      <c r="A2" s="33" t="s">
        <v>294</v>
      </c>
      <c r="B2" s="34" t="s">
        <v>295</v>
      </c>
      <c r="C2" s="34" t="str">
        <f>IF(ISNUMBER(SEARCH("HALF GALLON",$B2)),"Half Gallon",IF(ISNUMBER(SEARCH("GALLON",$B2)),"Gallon",IF(ISNUMBER(SEARCH("QUART",$B2)),"Quart",IF(ISNUMBER(SEARCH("PINT",$B2)),"Pint","Other"))))</f>
        <v>Other</v>
      </c>
      <c r="D2" s="35">
        <f>IFERROR(INDEX(Assumptions!$B$3:$B$7,MATCH($C2,Assumptions!$A$3:$A$7,0)),Assumptions!$B$7)</f>
        <v>1</v>
      </c>
      <c r="E2" s="35">
        <f>SUMIF('Raw Data'!$B$2:$B$878,$A2,'Raw Data'!$E$2:$E$878)</f>
        <v>148</v>
      </c>
      <c r="F2" s="35">
        <f>$E2*$D2</f>
        <v>148</v>
      </c>
      <c r="G2" s="35">
        <f>SUMIF('Raw Data'!$B$2:$B$878,$A2&amp;"P",'Raw Data'!$E$2:$E$878)</f>
        <v>0</v>
      </c>
      <c r="H2" s="35">
        <f>$F2+$G2</f>
        <v>148</v>
      </c>
      <c r="I2" s="36">
        <f>$H2/$H$24</f>
        <v>7.9451142915427475E-4</v>
      </c>
      <c r="J2" s="35">
        <f>COUNTIF('Raw Data'!$B$2:$B$878,$A2)+COUNTIF('Raw Data'!$B$2:$B$878,$A2&amp;"P")</f>
        <v>47</v>
      </c>
    </row>
    <row r="3" spans="1:10" x14ac:dyDescent="0.2">
      <c r="A3" s="33" t="s">
        <v>258</v>
      </c>
      <c r="B3" s="34" t="s">
        <v>240</v>
      </c>
      <c r="C3" s="34" t="str">
        <f>IF(ISNUMBER(SEARCH("HALF GALLON",$B3)),"Half Gallon",IF(ISNUMBER(SEARCH("GALLON",$B3)),"Gallon",IF(ISNUMBER(SEARCH("QUART",$B3)),"Quart",IF(ISNUMBER(SEARCH("PINT",$B3)),"Pint","Other"))))</f>
        <v>Gallon</v>
      </c>
      <c r="D3" s="35">
        <f>IFERROR(INDEX(Assumptions!$B$3:$B$7,MATCH($C3,Assumptions!$A$3:$A$7,0)),Assumptions!$B$7)</f>
        <v>4</v>
      </c>
      <c r="E3" s="35">
        <f>SUMIF('Raw Data'!$B$2:$B$878,$A3,'Raw Data'!$E$2:$E$878)</f>
        <v>1016</v>
      </c>
      <c r="F3" s="35">
        <f>$E3*$D3</f>
        <v>4064</v>
      </c>
      <c r="G3" s="35">
        <f>SUMIF('Raw Data'!$B$2:$B$878,$A3&amp;"P",'Raw Data'!$E$2:$E$878)</f>
        <v>1257</v>
      </c>
      <c r="H3" s="35">
        <f>$F3+$G3</f>
        <v>5321</v>
      </c>
      <c r="I3" s="36">
        <f>$H3/$H$24</f>
        <v>2.8564833206283082E-2</v>
      </c>
      <c r="J3" s="35">
        <f>COUNTIF('Raw Data'!$B$2:$B$878,$A3)+COUNTIF('Raw Data'!$B$2:$B$878,$A3&amp;"P")</f>
        <v>101</v>
      </c>
    </row>
    <row r="4" spans="1:10" x14ac:dyDescent="0.2">
      <c r="A4" s="33" t="s">
        <v>259</v>
      </c>
      <c r="B4" s="34" t="s">
        <v>260</v>
      </c>
      <c r="C4" s="34" t="str">
        <f>IF(ISNUMBER(SEARCH("HALF GALLON",$B4)),"Half Gallon",IF(ISNUMBER(SEARCH("GALLON",$B4)),"Gallon",IF(ISNUMBER(SEARCH("QUART",$B4)),"Quart",IF(ISNUMBER(SEARCH("PINT",$B4)),"Pint","Other"))))</f>
        <v>Gallon</v>
      </c>
      <c r="D4" s="35">
        <f>IFERROR(INDEX(Assumptions!$B$3:$B$7,MATCH($C4,Assumptions!$A$3:$A$7,0)),Assumptions!$B$7)</f>
        <v>4</v>
      </c>
      <c r="E4" s="35">
        <f>SUMIF('Raw Data'!$B$2:$B$878,$A4,'Raw Data'!$E$2:$E$878)</f>
        <v>671</v>
      </c>
      <c r="F4" s="35">
        <f>$E4*$D4</f>
        <v>2684</v>
      </c>
      <c r="G4" s="35">
        <f>SUMIF('Raw Data'!$B$2:$B$878,$A4&amp;"P",'Raw Data'!$E$2:$E$878)</f>
        <v>959</v>
      </c>
      <c r="H4" s="35">
        <f>$F4+$G4</f>
        <v>3643</v>
      </c>
      <c r="I4" s="36">
        <f>$H4/$H$24</f>
        <v>1.9556791462223128E-2</v>
      </c>
      <c r="J4" s="35">
        <f>COUNTIF('Raw Data'!$B$2:$B$878,$A4)+COUNTIF('Raw Data'!$B$2:$B$878,$A4&amp;"P")</f>
        <v>58</v>
      </c>
    </row>
    <row r="5" spans="1:10" x14ac:dyDescent="0.2">
      <c r="A5" s="33" t="s">
        <v>262</v>
      </c>
      <c r="B5" s="34" t="s">
        <v>263</v>
      </c>
      <c r="C5" s="34" t="str">
        <f>IF(ISNUMBER(SEARCH("HALF GALLON",$B5)),"Half Gallon",IF(ISNUMBER(SEARCH("GALLON",$B5)),"Gallon",IF(ISNUMBER(SEARCH("QUART",$B5)),"Quart",IF(ISNUMBER(SEARCH("PINT",$B5)),"Pint","Other"))))</f>
        <v>Gallon</v>
      </c>
      <c r="D5" s="35">
        <f>IFERROR(INDEX(Assumptions!$B$3:$B$7,MATCH($C5,Assumptions!$A$3:$A$7,0)),Assumptions!$B$7)</f>
        <v>4</v>
      </c>
      <c r="E5" s="35">
        <f>SUMIF('Raw Data'!$B$2:$B$878,$A5,'Raw Data'!$E$2:$E$878)</f>
        <v>48</v>
      </c>
      <c r="F5" s="35">
        <f>$E5*$D5</f>
        <v>192</v>
      </c>
      <c r="G5" s="35">
        <f>SUMIF('Raw Data'!$B$2:$B$878,$A5&amp;"P",'Raw Data'!$E$2:$E$878)</f>
        <v>102</v>
      </c>
      <c r="H5" s="35">
        <f>$F5+$G5</f>
        <v>294</v>
      </c>
      <c r="I5" s="36">
        <f>$H5/$H$24</f>
        <v>1.5782862173740323E-3</v>
      </c>
      <c r="J5" s="35">
        <f>COUNTIF('Raw Data'!$B$2:$B$878,$A5)+COUNTIF('Raw Data'!$B$2:$B$878,$A5&amp;"P")</f>
        <v>6</v>
      </c>
    </row>
    <row r="6" spans="1:10" x14ac:dyDescent="0.2">
      <c r="A6" s="33" t="s">
        <v>299</v>
      </c>
      <c r="B6" s="34" t="s">
        <v>266</v>
      </c>
      <c r="C6" s="34" t="str">
        <f>IF(ISNUMBER(SEARCH("HALF GALLON",$B6)),"Half Gallon",IF(ISNUMBER(SEARCH("GALLON",$B6)),"Gallon",IF(ISNUMBER(SEARCH("QUART",$B6)),"Quart",IF(ISNUMBER(SEARCH("PINT",$B6)),"Pint","Other"))))</f>
        <v>Gallon</v>
      </c>
      <c r="D6" s="35">
        <f>IFERROR(INDEX(Assumptions!$B$3:$B$7,MATCH($C6,Assumptions!$A$3:$A$7,0)),Assumptions!$B$7)</f>
        <v>4</v>
      </c>
      <c r="E6" s="35">
        <f>SUMIF('Raw Data'!$B$2:$B$878,$A6,'Raw Data'!$E$2:$E$878)</f>
        <v>75</v>
      </c>
      <c r="F6" s="35">
        <f>$E6*$D6</f>
        <v>300</v>
      </c>
      <c r="G6" s="35">
        <f>SUMIF('Raw Data'!$B$2:$B$878,$A6&amp;"P",'Raw Data'!$E$2:$E$878)</f>
        <v>18</v>
      </c>
      <c r="H6" s="35">
        <f>$F6+$G6</f>
        <v>318</v>
      </c>
      <c r="I6" s="36">
        <f>$H6/$H$24</f>
        <v>1.707125908588239E-3</v>
      </c>
      <c r="J6" s="35">
        <f>COUNTIF('Raw Data'!$B$2:$B$878,$A6)+COUNTIF('Raw Data'!$B$2:$B$878,$A6&amp;"P")</f>
        <v>5</v>
      </c>
    </row>
    <row r="7" spans="1:10" x14ac:dyDescent="0.2">
      <c r="A7" s="33" t="s">
        <v>267</v>
      </c>
      <c r="B7" s="34" t="s">
        <v>268</v>
      </c>
      <c r="C7" s="34" t="str">
        <f>IF(ISNUMBER(SEARCH("HALF GALLON",$B7)),"Half Gallon",IF(ISNUMBER(SEARCH("GALLON",$B7)),"Gallon",IF(ISNUMBER(SEARCH("QUART",$B7)),"Quart",IF(ISNUMBER(SEARCH("PINT",$B7)),"Pint","Other"))))</f>
        <v>Gallon</v>
      </c>
      <c r="D7" s="35">
        <f>IFERROR(INDEX(Assumptions!$B$3:$B$7,MATCH($C7,Assumptions!$A$3:$A$7,0)),Assumptions!$B$7)</f>
        <v>4</v>
      </c>
      <c r="E7" s="35">
        <f>SUMIF('Raw Data'!$B$2:$B$878,$A7,'Raw Data'!$E$2:$E$878)</f>
        <v>57</v>
      </c>
      <c r="F7" s="35">
        <f>$E7*$D7</f>
        <v>228</v>
      </c>
      <c r="G7" s="35">
        <f>SUMIF('Raw Data'!$B$2:$B$878,$A7&amp;"P",'Raw Data'!$E$2:$E$878)</f>
        <v>164</v>
      </c>
      <c r="H7" s="35">
        <f>$F7+$G7</f>
        <v>392</v>
      </c>
      <c r="I7" s="36">
        <f>$H7/$H$24</f>
        <v>2.1043816231653763E-3</v>
      </c>
      <c r="J7" s="35">
        <f>COUNTIF('Raw Data'!$B$2:$B$878,$A7)+COUNTIF('Raw Data'!$B$2:$B$878,$A7&amp;"P")</f>
        <v>19</v>
      </c>
    </row>
    <row r="8" spans="1:10" x14ac:dyDescent="0.2">
      <c r="A8" s="33" t="s">
        <v>270</v>
      </c>
      <c r="B8" s="34" t="s">
        <v>242</v>
      </c>
      <c r="C8" s="34" t="str">
        <f>IF(ISNUMBER(SEARCH("HALF GALLON",$B8)),"Half Gallon",IF(ISNUMBER(SEARCH("GALLON",$B8)),"Gallon",IF(ISNUMBER(SEARCH("QUART",$B8)),"Quart",IF(ISNUMBER(SEARCH("PINT",$B8)),"Pint","Other"))))</f>
        <v>Half Gallon</v>
      </c>
      <c r="D8" s="35">
        <f>IFERROR(INDEX(Assumptions!$B$3:$B$7,MATCH($C8,Assumptions!$A$3:$A$7,0)),Assumptions!$B$7)</f>
        <v>9</v>
      </c>
      <c r="E8" s="35">
        <f>SUMIF('Raw Data'!$B$2:$B$878,$A8,'Raw Data'!$E$2:$E$878)</f>
        <v>192</v>
      </c>
      <c r="F8" s="35">
        <f>$E8*$D8</f>
        <v>1728</v>
      </c>
      <c r="G8" s="35">
        <f>SUMIF('Raw Data'!$B$2:$B$878,$A8&amp;"P",'Raw Data'!$E$2:$E$878)</f>
        <v>1622</v>
      </c>
      <c r="H8" s="35">
        <f>$F8+$G8</f>
        <v>3350</v>
      </c>
      <c r="I8" s="36">
        <f>$H8/$H$24</f>
        <v>1.7983873565316354E-2</v>
      </c>
      <c r="J8" s="35">
        <f>COUNTIF('Raw Data'!$B$2:$B$878,$A8)+COUNTIF('Raw Data'!$B$2:$B$878,$A8&amp;"P")</f>
        <v>48</v>
      </c>
    </row>
    <row r="9" spans="1:10" x14ac:dyDescent="0.2">
      <c r="A9" s="33" t="s">
        <v>271</v>
      </c>
      <c r="B9" s="34" t="s">
        <v>244</v>
      </c>
      <c r="C9" s="34" t="str">
        <f>IF(ISNUMBER(SEARCH("HALF GALLON",$B9)),"Half Gallon",IF(ISNUMBER(SEARCH("GALLON",$B9)),"Gallon",IF(ISNUMBER(SEARCH("QUART",$B9)),"Quart",IF(ISNUMBER(SEARCH("PINT",$B9)),"Pint","Other"))))</f>
        <v>Half Gallon</v>
      </c>
      <c r="D9" s="35">
        <f>IFERROR(INDEX(Assumptions!$B$3:$B$7,MATCH($C9,Assumptions!$A$3:$A$7,0)),Assumptions!$B$7)</f>
        <v>9</v>
      </c>
      <c r="E9" s="35">
        <f>SUMIF('Raw Data'!$B$2:$B$878,$A9,'Raw Data'!$E$2:$E$878)</f>
        <v>1202</v>
      </c>
      <c r="F9" s="35">
        <f>$E9*$D9</f>
        <v>10818</v>
      </c>
      <c r="G9" s="35">
        <f>SUMIF('Raw Data'!$B$2:$B$878,$A9&amp;"P",'Raw Data'!$E$2:$E$878)</f>
        <v>1519</v>
      </c>
      <c r="H9" s="35">
        <f>$F9+$G9</f>
        <v>12337</v>
      </c>
      <c r="I9" s="36">
        <f>$H9/$H$24</f>
        <v>6.6228969604569518E-2</v>
      </c>
      <c r="J9" s="35">
        <f>COUNTIF('Raw Data'!$B$2:$B$878,$A9)+COUNTIF('Raw Data'!$B$2:$B$878,$A9&amp;"P")</f>
        <v>66</v>
      </c>
    </row>
    <row r="10" spans="1:10" x14ac:dyDescent="0.2">
      <c r="A10" s="33" t="s">
        <v>291</v>
      </c>
      <c r="B10" s="34" t="s">
        <v>273</v>
      </c>
      <c r="C10" s="34" t="str">
        <f>IF(ISNUMBER(SEARCH("HALF GALLON",$B10)),"Half Gallon",IF(ISNUMBER(SEARCH("GALLON",$B10)),"Gallon",IF(ISNUMBER(SEARCH("QUART",$B10)),"Quart",IF(ISNUMBER(SEARCH("PINT",$B10)),"Pint","Other"))))</f>
        <v>Half Gallon</v>
      </c>
      <c r="D10" s="35">
        <f>IFERROR(INDEX(Assumptions!$B$3:$B$7,MATCH($C10,Assumptions!$A$3:$A$7,0)),Assumptions!$B$7)</f>
        <v>9</v>
      </c>
      <c r="E10" s="35">
        <f>SUMIF('Raw Data'!$B$2:$B$878,$A10,'Raw Data'!$E$2:$E$878)</f>
        <v>32</v>
      </c>
      <c r="F10" s="35">
        <f>$E10*$D10</f>
        <v>288</v>
      </c>
      <c r="G10" s="35">
        <f>SUMIF('Raw Data'!$B$2:$B$878,$A10&amp;"P",'Raw Data'!$E$2:$E$878)</f>
        <v>96</v>
      </c>
      <c r="H10" s="35">
        <f>$F10+$G10</f>
        <v>384</v>
      </c>
      <c r="I10" s="36">
        <f>$H10/$H$24</f>
        <v>2.0614350594273076E-3</v>
      </c>
      <c r="J10" s="35">
        <f>COUNTIF('Raw Data'!$B$2:$B$878,$A10)+COUNTIF('Raw Data'!$B$2:$B$878,$A10&amp;"P")</f>
        <v>14</v>
      </c>
    </row>
    <row r="11" spans="1:10" x14ac:dyDescent="0.2">
      <c r="A11" s="33" t="s">
        <v>274</v>
      </c>
      <c r="B11" s="34" t="s">
        <v>275</v>
      </c>
      <c r="C11" s="34" t="str">
        <f>IF(ISNUMBER(SEARCH("HALF GALLON",$B11)),"Half Gallon",IF(ISNUMBER(SEARCH("GALLON",$B11)),"Gallon",IF(ISNUMBER(SEARCH("QUART",$B11)),"Quart",IF(ISNUMBER(SEARCH("PINT",$B11)),"Pint","Other"))))</f>
        <v>Half Gallon</v>
      </c>
      <c r="D11" s="35">
        <f>IFERROR(INDEX(Assumptions!$B$3:$B$7,MATCH($C11,Assumptions!$A$3:$A$7,0)),Assumptions!$B$7)</f>
        <v>9</v>
      </c>
      <c r="E11" s="35">
        <f>SUMIF('Raw Data'!$B$2:$B$878,$A11,'Raw Data'!$E$2:$E$878)</f>
        <v>1031</v>
      </c>
      <c r="F11" s="35">
        <f>$E11*$D11</f>
        <v>9279</v>
      </c>
      <c r="G11" s="35">
        <f>SUMIF('Raw Data'!$B$2:$B$878,$A11&amp;"P",'Raw Data'!$E$2:$E$878)</f>
        <v>1627</v>
      </c>
      <c r="H11" s="35">
        <f>$F11+$G11</f>
        <v>10906</v>
      </c>
      <c r="I11" s="36">
        <f>$H11/$H$24</f>
        <v>5.8546903015922441E-2</v>
      </c>
      <c r="J11" s="35">
        <f>COUNTIF('Raw Data'!$B$2:$B$878,$A11)+COUNTIF('Raw Data'!$B$2:$B$878,$A11&amp;"P")</f>
        <v>52</v>
      </c>
    </row>
    <row r="12" spans="1:10" x14ac:dyDescent="0.2">
      <c r="A12" s="33" t="s">
        <v>290</v>
      </c>
      <c r="B12" s="34" t="s">
        <v>278</v>
      </c>
      <c r="C12" s="34" t="str">
        <f>IF(ISNUMBER(SEARCH("HALF GALLON",$B12)),"Half Gallon",IF(ISNUMBER(SEARCH("GALLON",$B12)),"Gallon",IF(ISNUMBER(SEARCH("QUART",$B12)),"Quart",IF(ISNUMBER(SEARCH("PINT",$B12)),"Pint","Other"))))</f>
        <v>Quart</v>
      </c>
      <c r="D12" s="35">
        <f>IFERROR(INDEX(Assumptions!$B$3:$B$7,MATCH($C12,Assumptions!$A$3:$A$7,0)),Assumptions!$B$7)</f>
        <v>9</v>
      </c>
      <c r="E12" s="35">
        <f>SUMIF('Raw Data'!$B$2:$B$878,$A12,'Raw Data'!$E$2:$E$878)</f>
        <v>14</v>
      </c>
      <c r="F12" s="35">
        <f>$E12*$D12</f>
        <v>126</v>
      </c>
      <c r="G12" s="35">
        <f>SUMIF('Raw Data'!$B$2:$B$878,$A12&amp;"P",'Raw Data'!$E$2:$E$878)</f>
        <v>549</v>
      </c>
      <c r="H12" s="35">
        <f>$F12+$G12</f>
        <v>675</v>
      </c>
      <c r="I12" s="36">
        <f>$H12/$H$24</f>
        <v>3.6236163153995642E-3</v>
      </c>
      <c r="J12" s="35">
        <f>COUNTIF('Raw Data'!$B$2:$B$878,$A12)+COUNTIF('Raw Data'!$B$2:$B$878,$A12&amp;"P")</f>
        <v>18</v>
      </c>
    </row>
    <row r="13" spans="1:10" x14ac:dyDescent="0.2">
      <c r="A13" s="33" t="s">
        <v>289</v>
      </c>
      <c r="B13" s="34" t="s">
        <v>280</v>
      </c>
      <c r="C13" s="34" t="str">
        <f>IF(ISNUMBER(SEARCH("HALF GALLON",$B13)),"Half Gallon",IF(ISNUMBER(SEARCH("GALLON",$B13)),"Gallon",IF(ISNUMBER(SEARCH("QUART",$B13)),"Quart",IF(ISNUMBER(SEARCH("PINT",$B13)),"Pint","Other"))))</f>
        <v>Quart</v>
      </c>
      <c r="D13" s="35">
        <f>IFERROR(INDEX(Assumptions!$B$3:$B$7,MATCH($C13,Assumptions!$A$3:$A$7,0)),Assumptions!$B$7)</f>
        <v>9</v>
      </c>
      <c r="E13" s="35">
        <f>SUMIF('Raw Data'!$B$2:$B$878,$A13,'Raw Data'!$E$2:$E$878)</f>
        <v>12</v>
      </c>
      <c r="F13" s="35">
        <f>$E13*$D13</f>
        <v>108</v>
      </c>
      <c r="G13" s="35">
        <f>SUMIF('Raw Data'!$B$2:$B$878,$A13&amp;"P",'Raw Data'!$E$2:$E$878)</f>
        <v>843</v>
      </c>
      <c r="H13" s="35">
        <f>$F13+$G13</f>
        <v>951</v>
      </c>
      <c r="I13" s="36">
        <f>$H13/$H$24</f>
        <v>5.1052727643629411E-3</v>
      </c>
      <c r="J13" s="35">
        <f>COUNTIF('Raw Data'!$B$2:$B$878,$A13)+COUNTIF('Raw Data'!$B$2:$B$878,$A13&amp;"P")</f>
        <v>17</v>
      </c>
    </row>
    <row r="14" spans="1:10" x14ac:dyDescent="0.2">
      <c r="A14" s="33" t="s">
        <v>292</v>
      </c>
      <c r="B14" s="34" t="s">
        <v>293</v>
      </c>
      <c r="C14" s="34" t="str">
        <f>IF(ISNUMBER(SEARCH("HALF GALLON",$B14)),"Half Gallon",IF(ISNUMBER(SEARCH("GALLON",$B14)),"Gallon",IF(ISNUMBER(SEARCH("QUART",$B14)),"Quart",IF(ISNUMBER(SEARCH("PINT",$B14)),"Pint","Other"))))</f>
        <v>Half Gallon</v>
      </c>
      <c r="D14" s="35">
        <f>IFERROR(INDEX(Assumptions!$B$3:$B$7,MATCH($C14,Assumptions!$A$3:$A$7,0)),Assumptions!$B$7)</f>
        <v>9</v>
      </c>
      <c r="E14" s="35">
        <f>SUMIF('Raw Data'!$B$2:$B$878,$A14,'Raw Data'!$E$2:$E$878)</f>
        <v>25</v>
      </c>
      <c r="F14" s="35">
        <f>$E14*$D14</f>
        <v>225</v>
      </c>
      <c r="G14" s="35">
        <f>SUMIF('Raw Data'!$B$2:$B$878,$A14&amp;"P",'Raw Data'!$E$2:$E$878)</f>
        <v>0</v>
      </c>
      <c r="H14" s="35">
        <f>$F14+$G14</f>
        <v>225</v>
      </c>
      <c r="I14" s="36">
        <f>$H14/$H$24</f>
        <v>1.207872105133188E-3</v>
      </c>
      <c r="J14" s="35">
        <f>COUNTIF('Raw Data'!$B$2:$B$878,$A14)+COUNTIF('Raw Data'!$B$2:$B$878,$A14&amp;"P")</f>
        <v>1</v>
      </c>
    </row>
    <row r="15" spans="1:10" x14ac:dyDescent="0.2">
      <c r="A15" s="33" t="s">
        <v>245</v>
      </c>
      <c r="B15" s="34" t="s">
        <v>246</v>
      </c>
      <c r="C15" s="34" t="str">
        <f>IF(ISNUMBER(SEARCH("HALF GALLON",$B15)),"Half Gallon",IF(ISNUMBER(SEARCH("GALLON",$B15)),"Gallon",IF(ISNUMBER(SEARCH("QUART",$B15)),"Quart",IF(ISNUMBER(SEARCH("PINT",$B15)),"Pint","Other"))))</f>
        <v>Pint</v>
      </c>
      <c r="D15" s="35">
        <f>IFERROR(INDEX(Assumptions!$B$3:$B$7,MATCH($C15,Assumptions!$A$3:$A$7,0)),Assumptions!$B$7)</f>
        <v>20</v>
      </c>
      <c r="E15" s="35">
        <f>SUMIF('Raw Data'!$B$2:$B$878,$A15,'Raw Data'!$E$2:$E$878)</f>
        <v>18</v>
      </c>
      <c r="F15" s="35">
        <f>$E15*$D15</f>
        <v>360</v>
      </c>
      <c r="G15" s="35">
        <f>SUMIF('Raw Data'!$B$2:$B$878,$A15&amp;"P",'Raw Data'!$E$2:$E$878)</f>
        <v>2374</v>
      </c>
      <c r="H15" s="35">
        <f>$F15+$G15</f>
        <v>2734</v>
      </c>
      <c r="I15" s="36">
        <f>$H15/$H$24</f>
        <v>1.4676988157485049E-2</v>
      </c>
      <c r="J15" s="35">
        <f>COUNTIF('Raw Data'!$B$2:$B$878,$A15)+COUNTIF('Raw Data'!$B$2:$B$878,$A15&amp;"P")</f>
        <v>51</v>
      </c>
    </row>
    <row r="16" spans="1:10" x14ac:dyDescent="0.2">
      <c r="A16" s="33" t="s">
        <v>248</v>
      </c>
      <c r="B16" s="34" t="s">
        <v>249</v>
      </c>
      <c r="C16" s="34" t="str">
        <f>IF(ISNUMBER(SEARCH("HALF GALLON",$B16)),"Half Gallon",IF(ISNUMBER(SEARCH("GALLON",$B16)),"Gallon",IF(ISNUMBER(SEARCH("QUART",$B16)),"Quart",IF(ISNUMBER(SEARCH("PINT",$B16)),"Pint","Other"))))</f>
        <v>Pint</v>
      </c>
      <c r="D16" s="35">
        <f>IFERROR(INDEX(Assumptions!$B$3:$B$7,MATCH($C16,Assumptions!$A$3:$A$7,0)),Assumptions!$B$7)</f>
        <v>20</v>
      </c>
      <c r="E16" s="35">
        <f>SUMIF('Raw Data'!$B$2:$B$878,$A16,'Raw Data'!$E$2:$E$878)</f>
        <v>1813</v>
      </c>
      <c r="F16" s="35">
        <f>$E16*$D16</f>
        <v>36260</v>
      </c>
      <c r="G16" s="35">
        <f>SUMIF('Raw Data'!$B$2:$B$878,$A16&amp;"P",'Raw Data'!$E$2:$E$878)</f>
        <v>2858</v>
      </c>
      <c r="H16" s="35">
        <f>$F16+$G16</f>
        <v>39118</v>
      </c>
      <c r="I16" s="36">
        <f>$H16/$H$24</f>
        <v>0.20999796003822244</v>
      </c>
      <c r="J16" s="35">
        <f>COUNTIF('Raw Data'!$B$2:$B$878,$A16)+COUNTIF('Raw Data'!$B$2:$B$878,$A16&amp;"P")</f>
        <v>72</v>
      </c>
    </row>
    <row r="17" spans="1:10" x14ac:dyDescent="0.2">
      <c r="A17" s="33" t="s">
        <v>281</v>
      </c>
      <c r="B17" s="34" t="s">
        <v>252</v>
      </c>
      <c r="C17" s="34" t="str">
        <f>IF(ISNUMBER(SEARCH("HALF GALLON",$B17)),"Half Gallon",IF(ISNUMBER(SEARCH("GALLON",$B17)),"Gallon",IF(ISNUMBER(SEARCH("QUART",$B17)),"Quart",IF(ISNUMBER(SEARCH("PINT",$B17)),"Pint","Other"))))</f>
        <v>Pint</v>
      </c>
      <c r="D17" s="35">
        <f>IFERROR(INDEX(Assumptions!$B$3:$B$7,MATCH($C17,Assumptions!$A$3:$A$7,0)),Assumptions!$B$7)</f>
        <v>20</v>
      </c>
      <c r="E17" s="35">
        <f>SUMIF('Raw Data'!$B$2:$B$878,$A17,'Raw Data'!$E$2:$E$878)</f>
        <v>90</v>
      </c>
      <c r="F17" s="35">
        <f>$E17*$D17</f>
        <v>1800</v>
      </c>
      <c r="G17" s="35">
        <f>SUMIF('Raw Data'!$B$2:$B$878,$A17&amp;"P",'Raw Data'!$E$2:$E$878)</f>
        <v>2862</v>
      </c>
      <c r="H17" s="35">
        <f>$F17+$G17</f>
        <v>4662</v>
      </c>
      <c r="I17" s="36">
        <f>$H17/$H$24</f>
        <v>2.5027110018359656E-2</v>
      </c>
      <c r="J17" s="35">
        <f>COUNTIF('Raw Data'!$B$2:$B$878,$A17)+COUNTIF('Raw Data'!$B$2:$B$878,$A17&amp;"P")</f>
        <v>71</v>
      </c>
    </row>
    <row r="18" spans="1:10" x14ac:dyDescent="0.2">
      <c r="A18" s="33" t="s">
        <v>298</v>
      </c>
      <c r="B18" s="34" t="s">
        <v>283</v>
      </c>
      <c r="C18" s="34" t="str">
        <f>IF(ISNUMBER(SEARCH("HALF GALLON",$B18)),"Half Gallon",IF(ISNUMBER(SEARCH("GALLON",$B18)),"Gallon",IF(ISNUMBER(SEARCH("QUART",$B18)),"Quart",IF(ISNUMBER(SEARCH("PINT",$B18)),"Pint","Other"))))</f>
        <v>Other</v>
      </c>
      <c r="D18" s="35">
        <f>IFERROR(INDEX(Assumptions!$B$3:$B$7,MATCH($C18,Assumptions!$A$3:$A$7,0)),Assumptions!$B$7)</f>
        <v>1</v>
      </c>
      <c r="E18" s="35">
        <f>SUMIF('Raw Data'!$B$2:$B$878,$A18,'Raw Data'!$E$2:$E$878)</f>
        <v>128</v>
      </c>
      <c r="F18" s="35">
        <f>$E18*$D18</f>
        <v>128</v>
      </c>
      <c r="G18" s="35">
        <f>SUMIF('Raw Data'!$B$2:$B$878,$A18&amp;"P",'Raw Data'!$E$2:$E$878)</f>
        <v>190</v>
      </c>
      <c r="H18" s="35">
        <f>$F18+$G18</f>
        <v>318</v>
      </c>
      <c r="I18" s="36">
        <f>$H18/$H$24</f>
        <v>1.707125908588239E-3</v>
      </c>
      <c r="J18" s="35">
        <f>COUNTIF('Raw Data'!$B$2:$B$878,$A18)+COUNTIF('Raw Data'!$B$2:$B$878,$A18&amp;"P")</f>
        <v>18</v>
      </c>
    </row>
    <row r="19" spans="1:10" x14ac:dyDescent="0.2">
      <c r="A19" s="33" t="s">
        <v>399</v>
      </c>
      <c r="B19" s="34" t="s">
        <v>285</v>
      </c>
      <c r="C19" s="34" t="str">
        <f>IF(ISNUMBER(SEARCH("HALF GALLON",$B19)),"Half Gallon",IF(ISNUMBER(SEARCH("GALLON",$B19)),"Gallon",IF(ISNUMBER(SEARCH("QUART",$B19)),"Quart",IF(ISNUMBER(SEARCH("PINT",$B19)),"Pint","Other"))))</f>
        <v>Other</v>
      </c>
      <c r="D19" s="35">
        <f>IFERROR(INDEX(Assumptions!$B$3:$B$7,MATCH($C19,Assumptions!$A$3:$A$7,0)),Assumptions!$B$7)</f>
        <v>1</v>
      </c>
      <c r="E19" s="35">
        <f>SUMIF('Raw Data'!$B$2:$B$878,$A19,'Raw Data'!$E$2:$E$878)</f>
        <v>0</v>
      </c>
      <c r="F19" s="35">
        <f>$E19*$D19</f>
        <v>0</v>
      </c>
      <c r="G19" s="35">
        <f>SUMIF('Raw Data'!$B$2:$B$878,$A19&amp;"P",'Raw Data'!$E$2:$E$878)</f>
        <v>292</v>
      </c>
      <c r="H19" s="35">
        <f>$F19+$G19</f>
        <v>292</v>
      </c>
      <c r="I19" s="36">
        <f>$H19/$H$24</f>
        <v>1.5675495764395152E-3</v>
      </c>
      <c r="J19" s="35">
        <f>COUNTIF('Raw Data'!$B$2:$B$878,$A19)+COUNTIF('Raw Data'!$B$2:$B$878,$A19&amp;"P")</f>
        <v>26</v>
      </c>
    </row>
    <row r="20" spans="1:10" x14ac:dyDescent="0.2">
      <c r="A20" s="33" t="s">
        <v>297</v>
      </c>
      <c r="B20" s="34" t="s">
        <v>254</v>
      </c>
      <c r="C20" s="34" t="str">
        <f>IF(ISNUMBER(SEARCH("HALF GALLON",$B20)),"Half Gallon",IF(ISNUMBER(SEARCH("GALLON",$B20)),"Gallon",IF(ISNUMBER(SEARCH("QUART",$B20)),"Quart",IF(ISNUMBER(SEARCH("PINT",$B20)),"Pint","Other"))))</f>
        <v>Half Gallon</v>
      </c>
      <c r="D20" s="35">
        <f>IFERROR(INDEX(Assumptions!$B$3:$B$7,MATCH($C20,Assumptions!$A$3:$A$7,0)),Assumptions!$B$7)</f>
        <v>9</v>
      </c>
      <c r="E20" s="35">
        <f>SUMIF('Raw Data'!$B$2:$B$878,$A20,'Raw Data'!$E$2:$E$878)</f>
        <v>107</v>
      </c>
      <c r="F20" s="35">
        <f>$E20*$D20</f>
        <v>963</v>
      </c>
      <c r="G20" s="35">
        <f>SUMIF('Raw Data'!$B$2:$B$878,$A20&amp;"P",'Raw Data'!$E$2:$E$878)</f>
        <v>171</v>
      </c>
      <c r="H20" s="35">
        <f>$F20+$G20</f>
        <v>1134</v>
      </c>
      <c r="I20" s="36">
        <f>$H20/$H$24</f>
        <v>6.0876754098712679E-3</v>
      </c>
      <c r="J20" s="35">
        <f>COUNTIF('Raw Data'!$B$2:$B$878,$A20)+COUNTIF('Raw Data'!$B$2:$B$878,$A20&amp;"P")</f>
        <v>32</v>
      </c>
    </row>
    <row r="21" spans="1:10" x14ac:dyDescent="0.2">
      <c r="A21" s="33" t="s">
        <v>286</v>
      </c>
      <c r="B21" s="34" t="s">
        <v>287</v>
      </c>
      <c r="C21" s="34" t="str">
        <f>IF(ISNUMBER(SEARCH("HALF GALLON",$B21)),"Half Gallon",IF(ISNUMBER(SEARCH("GALLON",$B21)),"Gallon",IF(ISNUMBER(SEARCH("QUART",$B21)),"Quart",IF(ISNUMBER(SEARCH("PINT",$B21)),"Pint","Other"))))</f>
        <v>Quart</v>
      </c>
      <c r="D21" s="35">
        <f>IFERROR(INDEX(Assumptions!$B$3:$B$7,MATCH($C21,Assumptions!$A$3:$A$7,0)),Assumptions!$B$7)</f>
        <v>9</v>
      </c>
      <c r="E21" s="35">
        <f>SUMIF('Raw Data'!$B$2:$B$878,$A21,'Raw Data'!$E$2:$E$878)</f>
        <v>359</v>
      </c>
      <c r="F21" s="35">
        <f>$E21*$D21</f>
        <v>3231</v>
      </c>
      <c r="G21" s="35">
        <f>SUMIF('Raw Data'!$B$2:$B$878,$A21&amp;"P",'Raw Data'!$E$2:$E$878)</f>
        <v>2612</v>
      </c>
      <c r="H21" s="35">
        <f>$F21+$G21</f>
        <v>5843</v>
      </c>
      <c r="I21" s="36">
        <f>$H21/$H$24</f>
        <v>3.1367096490192078E-2</v>
      </c>
      <c r="J21" s="35">
        <f>COUNTIF('Raw Data'!$B$2:$B$878,$A21)+COUNTIF('Raw Data'!$B$2:$B$878,$A21&amp;"P")</f>
        <v>33</v>
      </c>
    </row>
    <row r="22" spans="1:10" x14ac:dyDescent="0.2">
      <c r="A22" s="33" t="s">
        <v>255</v>
      </c>
      <c r="B22" s="34" t="s">
        <v>256</v>
      </c>
      <c r="C22" s="34" t="str">
        <f>IF(ISNUMBER(SEARCH("HALF GALLON",$B22)),"Half Gallon",IF(ISNUMBER(SEARCH("GALLON",$B22)),"Gallon",IF(ISNUMBER(SEARCH("QUART",$B22)),"Quart",IF(ISNUMBER(SEARCH("PINT",$B22)),"Pint","Other"))))</f>
        <v>Pint</v>
      </c>
      <c r="D22" s="35">
        <f>IFERROR(INDEX(Assumptions!$B$3:$B$7,MATCH($C22,Assumptions!$A$3:$A$7,0)),Assumptions!$B$7)</f>
        <v>20</v>
      </c>
      <c r="E22" s="35">
        <f>SUMIF('Raw Data'!$B$2:$B$878,$A22,'Raw Data'!$E$2:$E$878)</f>
        <v>4336</v>
      </c>
      <c r="F22" s="35">
        <f>$E22*$D22</f>
        <v>86720</v>
      </c>
      <c r="G22" s="35">
        <f>SUMIF('Raw Data'!$B$2:$B$878,$A22&amp;"P",'Raw Data'!$E$2:$E$878)</f>
        <v>6493</v>
      </c>
      <c r="H22" s="35">
        <f>$F22+$G22</f>
        <v>93213</v>
      </c>
      <c r="I22" s="36">
        <f>$H22/$H$24</f>
        <v>0.50039725571457716</v>
      </c>
      <c r="J22" s="35">
        <f>COUNTIF('Raw Data'!$B$2:$B$878,$A22)+COUNTIF('Raw Data'!$B$2:$B$878,$A22&amp;"P")</f>
        <v>102</v>
      </c>
    </row>
    <row r="23" spans="1:10" x14ac:dyDescent="0.2">
      <c r="A23" s="33" t="s">
        <v>300</v>
      </c>
      <c r="B23" s="34" t="s">
        <v>301</v>
      </c>
      <c r="C23" s="34" t="str">
        <f>IF(ISNUMBER(SEARCH("HALF GALLON",$B23)),"Half Gallon",IF(ISNUMBER(SEARCH("GALLON",$B23)),"Gallon",IF(ISNUMBER(SEARCH("QUART",$B23)),"Quart",IF(ISNUMBER(SEARCH("PINT",$B23)),"Pint","Other"))))</f>
        <v>Other</v>
      </c>
      <c r="D23" s="35">
        <f>IFERROR(INDEX(Assumptions!$B$3:$B$7,MATCH($C23,Assumptions!$A$3:$A$7,0)),Assumptions!$B$7)</f>
        <v>1</v>
      </c>
      <c r="E23" s="35">
        <f>SUMIF('Raw Data'!$B$2:$B$878,$A23,'Raw Data'!$E$2:$E$878)</f>
        <v>20</v>
      </c>
      <c r="F23" s="35">
        <f>$E23*$D23</f>
        <v>20</v>
      </c>
      <c r="G23" s="35">
        <f>SUMIF('Raw Data'!$B$2:$B$878,$A23&amp;"P",'Raw Data'!$E$2:$E$878)</f>
        <v>0</v>
      </c>
      <c r="H23" s="35">
        <f>$F23+$G23</f>
        <v>20</v>
      </c>
      <c r="I23" s="36">
        <f>$H23/$H$24</f>
        <v>1.0736640934517228E-4</v>
      </c>
      <c r="J23" s="35">
        <f>COUNTIF('Raw Data'!$B$2:$B$878,$A23)+COUNTIF('Raw Data'!$B$2:$B$878,$A23&amp;"P")</f>
        <v>20</v>
      </c>
    </row>
    <row r="24" spans="1:10" x14ac:dyDescent="0.2">
      <c r="A24" s="37" t="s">
        <v>400</v>
      </c>
      <c r="B24" s="38"/>
      <c r="C24" s="38"/>
      <c r="D24" s="38"/>
      <c r="E24" s="39">
        <f>SUM(E2:E23)</f>
        <v>11394</v>
      </c>
      <c r="F24" s="39">
        <f>SUM(F2:F23)</f>
        <v>159670</v>
      </c>
      <c r="G24" s="39">
        <f>SUM(G2:G23)</f>
        <v>26608</v>
      </c>
      <c r="H24" s="39">
        <f>SUM(H2:H23)</f>
        <v>186278</v>
      </c>
      <c r="I24" s="40">
        <f>SUM(I2:I23)</f>
        <v>1</v>
      </c>
      <c r="J24" s="39">
        <f>SUM(J2:J23)</f>
        <v>877</v>
      </c>
    </row>
    <row r="26" spans="1:10" x14ac:dyDescent="0.2">
      <c r="A26" s="41" t="s">
        <v>401</v>
      </c>
    </row>
  </sheetData>
  <autoFilter ref="A1:J23" xr:uid="{24492844-3EAB-9749-95F5-CCC28551696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zoomScaleNormal="100" workbookViewId="0">
      <pane ySplit="1" topLeftCell="A2" activePane="bottomLeft" state="frozen"/>
      <selection pane="bottomLeft" activeCell="D33" sqref="D33"/>
    </sheetView>
  </sheetViews>
  <sheetFormatPr baseColWidth="10" defaultColWidth="8.6640625" defaultRowHeight="15" x14ac:dyDescent="0.2"/>
  <cols>
    <col min="1" max="1" width="26" customWidth="1"/>
    <col min="2" max="2" width="20" customWidth="1"/>
    <col min="3" max="3" width="12" customWidth="1"/>
    <col min="4" max="4" width="18" customWidth="1"/>
    <col min="5" max="5" width="24" customWidth="1"/>
  </cols>
  <sheetData>
    <row r="1" spans="1:5" ht="28" x14ac:dyDescent="0.2">
      <c r="A1" s="2" t="s">
        <v>0</v>
      </c>
      <c r="B1" s="2" t="s">
        <v>394</v>
      </c>
      <c r="C1" s="2" t="s">
        <v>1</v>
      </c>
      <c r="D1" s="2" t="s">
        <v>2</v>
      </c>
      <c r="E1" s="2" t="s">
        <v>3</v>
      </c>
    </row>
    <row r="2" spans="1:5" x14ac:dyDescent="0.2">
      <c r="A2" s="3" t="s">
        <v>4</v>
      </c>
      <c r="B2" s="28">
        <f>SUMIF('Raw Data'!$A$2:$A$878,$A2,'Raw Data'!$I$2:$I$878)</f>
        <v>1830</v>
      </c>
      <c r="C2" s="3">
        <f>COUNTIF('Raw Data'!$A:$A,$A2)</f>
        <v>83</v>
      </c>
      <c r="D2" s="3">
        <f>SUMPRODUCT((('Raw Data'!$A$2:$A$878=$A2)*1)/COUNTIFS('Raw Data'!$A$2:$A$878,'Raw Data'!$A$2:$A$878,'Raw Data'!$D$2:$D$878,'Raw Data'!$D$2:$D$878))</f>
        <v>5.9999999999999982</v>
      </c>
      <c r="E2" s="5" t="str">
        <f>IFERROR(3958.8*ACOS(MIN(1,MAX(-1,SIN(RADIANS('ZIP Coordinates'!$C$2))*SIN(RADIANS(INDEX('ZIP Coordinates'!$C:$C,MATCH($A2,'ZIP Coordinates'!$A:$A,0))))+COS(RADIANS('ZIP Coordinates'!$C$2))*COS(RADIANS(INDEX('ZIP Coordinates'!$C:$C,MATCH($A2,'ZIP Coordinates'!$A:$A,0))))*COS(RADIANS(INDEX('ZIP Coordinates'!$D:$D,MATCH($A2,'ZIP Coordinates'!$A:$A,0))-'ZIP Coordinates'!$D$2))))),"N/A")</f>
        <v>N/A</v>
      </c>
    </row>
    <row r="3" spans="1:5" x14ac:dyDescent="0.2">
      <c r="A3" s="3" t="s">
        <v>5</v>
      </c>
      <c r="B3" s="28">
        <f>SUMIF('Raw Data'!$A$2:$A$878,$A3,'Raw Data'!$I$2:$I$878)</f>
        <v>4478</v>
      </c>
      <c r="C3" s="3">
        <f>COUNTIF('Raw Data'!$A:$A,$A3)</f>
        <v>28</v>
      </c>
      <c r="D3" s="3">
        <f>SUMPRODUCT((('Raw Data'!$A$2:$A$878=$A3)*1)/COUNTIFS('Raw Data'!$A$2:$A$878,'Raw Data'!$A$2:$A$878,'Raw Data'!$D$2:$D$878,'Raw Data'!$D$2:$D$878))</f>
        <v>2.9999999999999987</v>
      </c>
      <c r="E3" s="5">
        <f>IFERROR(3958.8*ACOS(MIN(1,MAX(-1,SIN(RADIANS('ZIP Coordinates'!$C$2))*SIN(RADIANS(INDEX('ZIP Coordinates'!$C:$C,MATCH($A3,'ZIP Coordinates'!$A:$A,0))))+COS(RADIANS('ZIP Coordinates'!$C$2))*COS(RADIANS(INDEX('ZIP Coordinates'!$C:$C,MATCH($A3,'ZIP Coordinates'!$A:$A,0))))*COS(RADIANS(INDEX('ZIP Coordinates'!$D:$D,MATCH($A3,'ZIP Coordinates'!$A:$A,0))-'ZIP Coordinates'!$D$2))))),"N/A")</f>
        <v>174.0800745988588</v>
      </c>
    </row>
    <row r="4" spans="1:5" x14ac:dyDescent="0.2">
      <c r="A4" s="3" t="s">
        <v>6</v>
      </c>
      <c r="B4" s="28">
        <f>SUMIF('Raw Data'!$A$2:$A$878,$A4,'Raw Data'!$I$2:$I$878)</f>
        <v>3746</v>
      </c>
      <c r="C4" s="3">
        <f>COUNTIF('Raw Data'!$A:$A,$A4)</f>
        <v>25</v>
      </c>
      <c r="D4" s="3">
        <f>SUMPRODUCT((('Raw Data'!$A$2:$A$878=$A4)*1)/COUNTIFS('Raw Data'!$A$2:$A$878,'Raw Data'!$A$2:$A$878,'Raw Data'!$D$2:$D$878,'Raw Data'!$D$2:$D$878))</f>
        <v>2.9999999999999987</v>
      </c>
      <c r="E4" s="5">
        <f>IFERROR(3958.8*ACOS(MIN(1,MAX(-1,SIN(RADIANS('ZIP Coordinates'!$C$2))*SIN(RADIANS(INDEX('ZIP Coordinates'!$C:$C,MATCH($A4,'ZIP Coordinates'!$A:$A,0))))+COS(RADIANS('ZIP Coordinates'!$C$2))*COS(RADIANS(INDEX('ZIP Coordinates'!$C:$C,MATCH($A4,'ZIP Coordinates'!$A:$A,0))))*COS(RADIANS(INDEX('ZIP Coordinates'!$D:$D,MATCH($A4,'ZIP Coordinates'!$A:$A,0))-'ZIP Coordinates'!$D$2))))),"N/A")</f>
        <v>170.00670451695677</v>
      </c>
    </row>
    <row r="5" spans="1:5" x14ac:dyDescent="0.2">
      <c r="A5" s="3" t="s">
        <v>7</v>
      </c>
      <c r="B5" s="28">
        <f>SUMIF('Raw Data'!$A$2:$A$878,$A5,'Raw Data'!$I$2:$I$878)</f>
        <v>105435</v>
      </c>
      <c r="C5" s="3">
        <f>COUNTIF('Raw Data'!$A:$A,$A5)</f>
        <v>19</v>
      </c>
      <c r="D5" s="3">
        <f>SUMPRODUCT((('Raw Data'!$A$2:$A$878=$A5)*1)/COUNTIFS('Raw Data'!$A$2:$A$878,'Raw Data'!$A$2:$A$878,'Raw Data'!$D$2:$D$878,'Raw Data'!$D$2:$D$878))</f>
        <v>5.9999999999999982</v>
      </c>
      <c r="E5" s="5">
        <f>IFERROR(3958.8*ACOS(MIN(1,MAX(-1,SIN(RADIANS('ZIP Coordinates'!$C$2))*SIN(RADIANS(INDEX('ZIP Coordinates'!$C:$C,MATCH($A5,'ZIP Coordinates'!$A:$A,0))))+COS(RADIANS('ZIP Coordinates'!$C$2))*COS(RADIANS(INDEX('ZIP Coordinates'!$C:$C,MATCH($A5,'ZIP Coordinates'!$A:$A,0))))*COS(RADIANS(INDEX('ZIP Coordinates'!$D:$D,MATCH($A5,'ZIP Coordinates'!$A:$A,0))-'ZIP Coordinates'!$D$2))))),"N/A")</f>
        <v>186.92635409257193</v>
      </c>
    </row>
    <row r="6" spans="1:5" x14ac:dyDescent="0.2">
      <c r="A6" s="3" t="s">
        <v>8</v>
      </c>
      <c r="B6" s="28">
        <f>SUMIF('Raw Data'!$A$2:$A$878,$A6,'Raw Data'!$I$2:$I$878)</f>
        <v>1351</v>
      </c>
      <c r="C6" s="3">
        <f>COUNTIF('Raw Data'!$A:$A,$A6)</f>
        <v>19</v>
      </c>
      <c r="D6" s="3">
        <f>SUMPRODUCT((('Raw Data'!$A$2:$A$878=$A6)*1)/COUNTIFS('Raw Data'!$A$2:$A$878,'Raw Data'!$A$2:$A$878,'Raw Data'!$D$2:$D$878,'Raw Data'!$D$2:$D$878))</f>
        <v>0.99999999999999956</v>
      </c>
      <c r="E6" s="5">
        <f>IFERROR(3958.8*ACOS(MIN(1,MAX(-1,SIN(RADIANS('ZIP Coordinates'!$C$2))*SIN(RADIANS(INDEX('ZIP Coordinates'!$C:$C,MATCH($A6,'ZIP Coordinates'!$A:$A,0))))+COS(RADIANS('ZIP Coordinates'!$C$2))*COS(RADIANS(INDEX('ZIP Coordinates'!$C:$C,MATCH($A6,'ZIP Coordinates'!$A:$A,0))))*COS(RADIANS(INDEX('ZIP Coordinates'!$D:$D,MATCH($A6,'ZIP Coordinates'!$A:$A,0))-'ZIP Coordinates'!$D$2))))),"N/A")</f>
        <v>167.45112096307793</v>
      </c>
    </row>
    <row r="7" spans="1:5" x14ac:dyDescent="0.2">
      <c r="A7" s="3" t="s">
        <v>9</v>
      </c>
      <c r="B7" s="28">
        <f>SUMIF('Raw Data'!$A$2:$A$878,$A7,'Raw Data'!$I$2:$I$878)</f>
        <v>1497</v>
      </c>
      <c r="C7" s="3">
        <f>COUNTIF('Raw Data'!$A:$A,$A7)</f>
        <v>15</v>
      </c>
      <c r="D7" s="3">
        <f>SUMPRODUCT((('Raw Data'!$A$2:$A$878=$A7)*1)/COUNTIFS('Raw Data'!$A$2:$A$878,'Raw Data'!$A$2:$A$878,'Raw Data'!$D$2:$D$878,'Raw Data'!$D$2:$D$878))</f>
        <v>1.9999999999999996</v>
      </c>
      <c r="E7" s="5">
        <f>IFERROR(3958.8*ACOS(MIN(1,MAX(-1,SIN(RADIANS('ZIP Coordinates'!$C$2))*SIN(RADIANS(INDEX('ZIP Coordinates'!$C:$C,MATCH($A7,'ZIP Coordinates'!$A:$A,0))))+COS(RADIANS('ZIP Coordinates'!$C$2))*COS(RADIANS(INDEX('ZIP Coordinates'!$C:$C,MATCH($A7,'ZIP Coordinates'!$A:$A,0))))*COS(RADIANS(INDEX('ZIP Coordinates'!$D:$D,MATCH($A7,'ZIP Coordinates'!$A:$A,0))-'ZIP Coordinates'!$D$2))))),"N/A")</f>
        <v>158.36354605751467</v>
      </c>
    </row>
    <row r="8" spans="1:5" x14ac:dyDescent="0.2">
      <c r="A8" s="3" t="s">
        <v>10</v>
      </c>
      <c r="B8" s="28">
        <f>SUMIF('Raw Data'!$A$2:$A$878,$A8,'Raw Data'!$I$2:$I$878)</f>
        <v>2739</v>
      </c>
      <c r="C8" s="3">
        <f>COUNTIF('Raw Data'!$A:$A,$A8)</f>
        <v>26</v>
      </c>
      <c r="D8" s="3">
        <f>SUMPRODUCT((('Raw Data'!$A$2:$A$878=$A8)*1)/COUNTIFS('Raw Data'!$A$2:$A$878,'Raw Data'!$A$2:$A$878,'Raw Data'!$D$2:$D$878,'Raw Data'!$D$2:$D$878))</f>
        <v>3.0000000000000004</v>
      </c>
      <c r="E8" s="5">
        <f>IFERROR(3958.8*ACOS(MIN(1,MAX(-1,SIN(RADIANS('ZIP Coordinates'!$C$2))*SIN(RADIANS(INDEX('ZIP Coordinates'!$C:$C,MATCH($A8,'ZIP Coordinates'!$A:$A,0))))+COS(RADIANS('ZIP Coordinates'!$C$2))*COS(RADIANS(INDEX('ZIP Coordinates'!$C:$C,MATCH($A8,'ZIP Coordinates'!$A:$A,0))))*COS(RADIANS(INDEX('ZIP Coordinates'!$D:$D,MATCH($A8,'ZIP Coordinates'!$A:$A,0))-'ZIP Coordinates'!$D$2))))),"N/A")</f>
        <v>165.79391068473419</v>
      </c>
    </row>
    <row r="9" spans="1:5" x14ac:dyDescent="0.2">
      <c r="A9" s="3" t="s">
        <v>11</v>
      </c>
      <c r="B9" s="28">
        <f>SUMIF('Raw Data'!$A$2:$A$878,$A9,'Raw Data'!$I$2:$I$878)</f>
        <v>1855</v>
      </c>
      <c r="C9" s="3">
        <f>COUNTIF('Raw Data'!$A:$A,$A9)</f>
        <v>17</v>
      </c>
      <c r="D9" s="3">
        <f>SUMPRODUCT((('Raw Data'!$A$2:$A$878=$A9)*1)/COUNTIFS('Raw Data'!$A$2:$A$878,'Raw Data'!$A$2:$A$878,'Raw Data'!$D$2:$D$878,'Raw Data'!$D$2:$D$878))</f>
        <v>1</v>
      </c>
      <c r="E9" s="5">
        <f>IFERROR(3958.8*ACOS(MIN(1,MAX(-1,SIN(RADIANS('ZIP Coordinates'!$C$2))*SIN(RADIANS(INDEX('ZIP Coordinates'!$C:$C,MATCH($A9,'ZIP Coordinates'!$A:$A,0))))+COS(RADIANS('ZIP Coordinates'!$C$2))*COS(RADIANS(INDEX('ZIP Coordinates'!$C:$C,MATCH($A9,'ZIP Coordinates'!$A:$A,0))))*COS(RADIANS(INDEX('ZIP Coordinates'!$D:$D,MATCH($A9,'ZIP Coordinates'!$A:$A,0))-'ZIP Coordinates'!$D$2))))),"N/A")</f>
        <v>199.33243106906986</v>
      </c>
    </row>
    <row r="10" spans="1:5" x14ac:dyDescent="0.2">
      <c r="A10" s="3" t="s">
        <v>12</v>
      </c>
      <c r="B10" s="28">
        <f>SUMIF('Raw Data'!$A$2:$A$878,$A10,'Raw Data'!$I$2:$I$878)</f>
        <v>610</v>
      </c>
      <c r="C10" s="3">
        <f>COUNTIF('Raw Data'!$A:$A,$A10)</f>
        <v>13</v>
      </c>
      <c r="D10" s="3">
        <f>SUMPRODUCT((('Raw Data'!$A$2:$A$878=$A10)*1)/COUNTIFS('Raw Data'!$A$2:$A$878,'Raw Data'!$A$2:$A$878,'Raw Data'!$D$2:$D$878,'Raw Data'!$D$2:$D$878))</f>
        <v>3</v>
      </c>
      <c r="E10" s="5">
        <f>IFERROR(3958.8*ACOS(MIN(1,MAX(-1,SIN(RADIANS('ZIP Coordinates'!$C$2))*SIN(RADIANS(INDEX('ZIP Coordinates'!$C:$C,MATCH($A10,'ZIP Coordinates'!$A:$A,0))))+COS(RADIANS('ZIP Coordinates'!$C$2))*COS(RADIANS(INDEX('ZIP Coordinates'!$C:$C,MATCH($A10,'ZIP Coordinates'!$A:$A,0))))*COS(RADIANS(INDEX('ZIP Coordinates'!$D:$D,MATCH($A10,'ZIP Coordinates'!$A:$A,0))-'ZIP Coordinates'!$D$2))))),"N/A")</f>
        <v>175.36797212753649</v>
      </c>
    </row>
    <row r="11" spans="1:5" x14ac:dyDescent="0.2">
      <c r="A11" s="3" t="s">
        <v>13</v>
      </c>
      <c r="B11" s="28">
        <f>SUMIF('Raw Data'!$A$2:$A$878,$A11,'Raw Data'!$I$2:$I$878)</f>
        <v>9</v>
      </c>
      <c r="C11" s="3">
        <f>COUNTIF('Raw Data'!$A:$A,$A11)</f>
        <v>1</v>
      </c>
      <c r="D11" s="3">
        <f>SUMPRODUCT((('Raw Data'!$A$2:$A$878=$A11)*1)/COUNTIFS('Raw Data'!$A$2:$A$878,'Raw Data'!$A$2:$A$878,'Raw Data'!$D$2:$D$878,'Raw Data'!$D$2:$D$878))</f>
        <v>1</v>
      </c>
      <c r="E11" s="5">
        <f>IFERROR(3958.8*ACOS(MIN(1,MAX(-1,SIN(RADIANS('ZIP Coordinates'!$C$2))*SIN(RADIANS(INDEX('ZIP Coordinates'!$C:$C,MATCH($A11,'ZIP Coordinates'!$A:$A,0))))+COS(RADIANS('ZIP Coordinates'!$C$2))*COS(RADIANS(INDEX('ZIP Coordinates'!$C:$C,MATCH($A11,'ZIP Coordinates'!$A:$A,0))))*COS(RADIANS(INDEX('ZIP Coordinates'!$D:$D,MATCH($A11,'ZIP Coordinates'!$A:$A,0))-'ZIP Coordinates'!$D$2))))),"N/A")</f>
        <v>188.62928727380364</v>
      </c>
    </row>
    <row r="12" spans="1:5" x14ac:dyDescent="0.2">
      <c r="A12" s="3" t="s">
        <v>14</v>
      </c>
      <c r="B12" s="28">
        <f>SUMIF('Raw Data'!$A$2:$A$878,$A12,'Raw Data'!$I$2:$I$878)</f>
        <v>277</v>
      </c>
      <c r="C12" s="3">
        <f>COUNTIF('Raw Data'!$A:$A,$A12)</f>
        <v>11</v>
      </c>
      <c r="D12" s="3">
        <f>SUMPRODUCT((('Raw Data'!$A$2:$A$878=$A12)*1)/COUNTIFS('Raw Data'!$A$2:$A$878,'Raw Data'!$A$2:$A$878,'Raw Data'!$D$2:$D$878,'Raw Data'!$D$2:$D$878))</f>
        <v>1.0000000000000002</v>
      </c>
      <c r="E12" s="5">
        <f>IFERROR(3958.8*ACOS(MIN(1,MAX(-1,SIN(RADIANS('ZIP Coordinates'!$C$2))*SIN(RADIANS(INDEX('ZIP Coordinates'!$C:$C,MATCH($A12,'ZIP Coordinates'!$A:$A,0))))+COS(RADIANS('ZIP Coordinates'!$C$2))*COS(RADIANS(INDEX('ZIP Coordinates'!$C:$C,MATCH($A12,'ZIP Coordinates'!$A:$A,0))))*COS(RADIANS(INDEX('ZIP Coordinates'!$D:$D,MATCH($A12,'ZIP Coordinates'!$A:$A,0))-'ZIP Coordinates'!$D$2))))),"N/A")</f>
        <v>188.5979879790994</v>
      </c>
    </row>
    <row r="13" spans="1:5" x14ac:dyDescent="0.2">
      <c r="A13" s="3" t="s">
        <v>15</v>
      </c>
      <c r="B13" s="28">
        <f>SUMIF('Raw Data'!$A$2:$A$878,$A13,'Raw Data'!$I$2:$I$878)</f>
        <v>1683</v>
      </c>
      <c r="C13" s="3">
        <f>COUNTIF('Raw Data'!$A:$A,$A13)</f>
        <v>76</v>
      </c>
      <c r="D13" s="3">
        <f>SUMPRODUCT((('Raw Data'!$A$2:$A$878=$A13)*1)/COUNTIFS('Raw Data'!$A$2:$A$878,'Raw Data'!$A$2:$A$878,'Raw Data'!$D$2:$D$878,'Raw Data'!$D$2:$D$878))</f>
        <v>2.0000000000000004</v>
      </c>
      <c r="E13" s="5">
        <f>IFERROR(3958.8*ACOS(MIN(1,MAX(-1,SIN(RADIANS('ZIP Coordinates'!$C$2))*SIN(RADIANS(INDEX('ZIP Coordinates'!$C:$C,MATCH($A13,'ZIP Coordinates'!$A:$A,0))))+COS(RADIANS('ZIP Coordinates'!$C$2))*COS(RADIANS(INDEX('ZIP Coordinates'!$C:$C,MATCH($A13,'ZIP Coordinates'!$A:$A,0))))*COS(RADIANS(INDEX('ZIP Coordinates'!$D:$D,MATCH($A13,'ZIP Coordinates'!$A:$A,0))-'ZIP Coordinates'!$D$2))))),"N/A")</f>
        <v>173.39844145979413</v>
      </c>
    </row>
    <row r="14" spans="1:5" x14ac:dyDescent="0.2">
      <c r="A14" s="3" t="s">
        <v>16</v>
      </c>
      <c r="B14" s="28">
        <f>SUMIF('Raw Data'!$A$2:$A$878,$A14,'Raw Data'!$I$2:$I$878)</f>
        <v>876</v>
      </c>
      <c r="C14" s="3">
        <f>COUNTIF('Raw Data'!$A:$A,$A14)</f>
        <v>16</v>
      </c>
      <c r="D14" s="3">
        <f>SUMPRODUCT((('Raw Data'!$A$2:$A$878=$A14)*1)/COUNTIFS('Raw Data'!$A$2:$A$878,'Raw Data'!$A$2:$A$878,'Raw Data'!$D$2:$D$878,'Raw Data'!$D$2:$D$878))</f>
        <v>1</v>
      </c>
      <c r="E14" s="5">
        <f>IFERROR(3958.8*ACOS(MIN(1,MAX(-1,SIN(RADIANS('ZIP Coordinates'!$C$2))*SIN(RADIANS(INDEX('ZIP Coordinates'!$C:$C,MATCH($A14,'ZIP Coordinates'!$A:$A,0))))+COS(RADIANS('ZIP Coordinates'!$C$2))*COS(RADIANS(INDEX('ZIP Coordinates'!$C:$C,MATCH($A14,'ZIP Coordinates'!$A:$A,0))))*COS(RADIANS(INDEX('ZIP Coordinates'!$D:$D,MATCH($A14,'ZIP Coordinates'!$A:$A,0))-'ZIP Coordinates'!$D$2))))),"N/A")</f>
        <v>177.87377120840873</v>
      </c>
    </row>
    <row r="15" spans="1:5" x14ac:dyDescent="0.2">
      <c r="A15" s="3" t="s">
        <v>17</v>
      </c>
      <c r="B15" s="28">
        <f>SUMIF('Raw Data'!$A$2:$A$878,$A15,'Raw Data'!$I$2:$I$878)</f>
        <v>2362</v>
      </c>
      <c r="C15" s="3">
        <f>COUNTIF('Raw Data'!$A:$A,$A15)</f>
        <v>15</v>
      </c>
      <c r="D15" s="3">
        <f>SUMPRODUCT((('Raw Data'!$A$2:$A$878=$A15)*1)/COUNTIFS('Raw Data'!$A$2:$A$878,'Raw Data'!$A$2:$A$878,'Raw Data'!$D$2:$D$878,'Raw Data'!$D$2:$D$878))</f>
        <v>1.9999999999999996</v>
      </c>
      <c r="E15" s="5">
        <f>IFERROR(3958.8*ACOS(MIN(1,MAX(-1,SIN(RADIANS('ZIP Coordinates'!$C$2))*SIN(RADIANS(INDEX('ZIP Coordinates'!$C:$C,MATCH($A15,'ZIP Coordinates'!$A:$A,0))))+COS(RADIANS('ZIP Coordinates'!$C$2))*COS(RADIANS(INDEX('ZIP Coordinates'!$C:$C,MATCH($A15,'ZIP Coordinates'!$A:$A,0))))*COS(RADIANS(INDEX('ZIP Coordinates'!$D:$D,MATCH($A15,'ZIP Coordinates'!$A:$A,0))-'ZIP Coordinates'!$D$2))))),"N/A")</f>
        <v>161.35890377274785</v>
      </c>
    </row>
    <row r="16" spans="1:5" x14ac:dyDescent="0.2">
      <c r="A16" s="3" t="s">
        <v>18</v>
      </c>
      <c r="B16" s="28">
        <f>SUMIF('Raw Data'!$A$2:$A$878,$A16,'Raw Data'!$I$2:$I$878)</f>
        <v>3995</v>
      </c>
      <c r="C16" s="3">
        <f>COUNTIF('Raw Data'!$A:$A,$A16)</f>
        <v>33</v>
      </c>
      <c r="D16" s="3">
        <f>SUMPRODUCT((('Raw Data'!$A$2:$A$878=$A16)*1)/COUNTIFS('Raw Data'!$A$2:$A$878,'Raw Data'!$A$2:$A$878,'Raw Data'!$D$2:$D$878,'Raw Data'!$D$2:$D$878))</f>
        <v>3.0000000000000009</v>
      </c>
      <c r="E16" s="5">
        <f>IFERROR(3958.8*ACOS(MIN(1,MAX(-1,SIN(RADIANS('ZIP Coordinates'!$C$2))*SIN(RADIANS(INDEX('ZIP Coordinates'!$C:$C,MATCH($A16,'ZIP Coordinates'!$A:$A,0))))+COS(RADIANS('ZIP Coordinates'!$C$2))*COS(RADIANS(INDEX('ZIP Coordinates'!$C:$C,MATCH($A16,'ZIP Coordinates'!$A:$A,0))))*COS(RADIANS(INDEX('ZIP Coordinates'!$D:$D,MATCH($A16,'ZIP Coordinates'!$A:$A,0))-'ZIP Coordinates'!$D$2))))),"N/A")</f>
        <v>186.95026739463992</v>
      </c>
    </row>
    <row r="17" spans="1:5" x14ac:dyDescent="0.2">
      <c r="A17" s="3" t="s">
        <v>19</v>
      </c>
      <c r="B17" s="28">
        <f>SUMIF('Raw Data'!$A$2:$A$878,$A17,'Raw Data'!$I$2:$I$878)</f>
        <v>3027</v>
      </c>
      <c r="C17" s="3">
        <f>COUNTIF('Raw Data'!$A:$A,$A17)</f>
        <v>27</v>
      </c>
      <c r="D17" s="3">
        <f>SUMPRODUCT((('Raw Data'!$A$2:$A$878=$A17)*1)/COUNTIFS('Raw Data'!$A$2:$A$878,'Raw Data'!$A$2:$A$878,'Raw Data'!$D$2:$D$878,'Raw Data'!$D$2:$D$878))</f>
        <v>1.9999999999999993</v>
      </c>
      <c r="E17" s="5">
        <f>IFERROR(3958.8*ACOS(MIN(1,MAX(-1,SIN(RADIANS('ZIP Coordinates'!$C$2))*SIN(RADIANS(INDEX('ZIP Coordinates'!$C:$C,MATCH($A17,'ZIP Coordinates'!$A:$A,0))))+COS(RADIANS('ZIP Coordinates'!$C$2))*COS(RADIANS(INDEX('ZIP Coordinates'!$C:$C,MATCH($A17,'ZIP Coordinates'!$A:$A,0))))*COS(RADIANS(INDEX('ZIP Coordinates'!$D:$D,MATCH($A17,'ZIP Coordinates'!$A:$A,0))-'ZIP Coordinates'!$D$2))))),"N/A")</f>
        <v>159.71109490437146</v>
      </c>
    </row>
    <row r="18" spans="1:5" x14ac:dyDescent="0.2">
      <c r="A18" s="3" t="s">
        <v>20</v>
      </c>
      <c r="B18" s="28">
        <f>SUMIF('Raw Data'!$A$2:$A$878,$A18,'Raw Data'!$I$2:$I$878)</f>
        <v>4</v>
      </c>
      <c r="C18" s="3">
        <f>COUNTIF('Raw Data'!$A:$A,$A18)</f>
        <v>1</v>
      </c>
      <c r="D18" s="3">
        <f>SUMPRODUCT((('Raw Data'!$A$2:$A$878=$A18)*1)/COUNTIFS('Raw Data'!$A$2:$A$878,'Raw Data'!$A$2:$A$878,'Raw Data'!$D$2:$D$878,'Raw Data'!$D$2:$D$878))</f>
        <v>1</v>
      </c>
      <c r="E18" s="5">
        <f>IFERROR(3958.8*ACOS(MIN(1,MAX(-1,SIN(RADIANS('ZIP Coordinates'!$C$2))*SIN(RADIANS(INDEX('ZIP Coordinates'!$C:$C,MATCH($A18,'ZIP Coordinates'!$A:$A,0))))+COS(RADIANS('ZIP Coordinates'!$C$2))*COS(RADIANS(INDEX('ZIP Coordinates'!$C:$C,MATCH($A18,'ZIP Coordinates'!$A:$A,0))))*COS(RADIANS(INDEX('ZIP Coordinates'!$D:$D,MATCH($A18,'ZIP Coordinates'!$A:$A,0))-'ZIP Coordinates'!$D$2))))),"N/A")</f>
        <v>181.26827089160921</v>
      </c>
    </row>
    <row r="19" spans="1:5" x14ac:dyDescent="0.2">
      <c r="A19" s="3" t="s">
        <v>21</v>
      </c>
      <c r="B19" s="28">
        <f>SUMIF('Raw Data'!$A$2:$A$878,$A19,'Raw Data'!$I$2:$I$878)</f>
        <v>1238</v>
      </c>
      <c r="C19" s="3">
        <f>COUNTIF('Raw Data'!$A:$A,$A19)</f>
        <v>16</v>
      </c>
      <c r="D19" s="3">
        <f>SUMPRODUCT((('Raw Data'!$A$2:$A$878=$A19)*1)/COUNTIFS('Raw Data'!$A$2:$A$878,'Raw Data'!$A$2:$A$878,'Raw Data'!$D$2:$D$878,'Raw Data'!$D$2:$D$878))</f>
        <v>1.9999999999999996</v>
      </c>
      <c r="E19" s="5">
        <f>IFERROR(3958.8*ACOS(MIN(1,MAX(-1,SIN(RADIANS('ZIP Coordinates'!$C$2))*SIN(RADIANS(INDEX('ZIP Coordinates'!$C:$C,MATCH($A19,'ZIP Coordinates'!$A:$A,0))))+COS(RADIANS('ZIP Coordinates'!$C$2))*COS(RADIANS(INDEX('ZIP Coordinates'!$C:$C,MATCH($A19,'ZIP Coordinates'!$A:$A,0))))*COS(RADIANS(INDEX('ZIP Coordinates'!$D:$D,MATCH($A19,'ZIP Coordinates'!$A:$A,0))-'ZIP Coordinates'!$D$2))))),"N/A")</f>
        <v>173.66928069538093</v>
      </c>
    </row>
    <row r="20" spans="1:5" x14ac:dyDescent="0.2">
      <c r="A20" s="3" t="s">
        <v>22</v>
      </c>
      <c r="B20" s="28">
        <f>SUMIF('Raw Data'!$A$2:$A$878,$A20,'Raw Data'!$I$2:$I$878)</f>
        <v>2245</v>
      </c>
      <c r="C20" s="3">
        <f>COUNTIF('Raw Data'!$A:$A,$A20)</f>
        <v>16</v>
      </c>
      <c r="D20" s="3">
        <f>SUMPRODUCT((('Raw Data'!$A$2:$A$878=$A20)*1)/COUNTIFS('Raw Data'!$A$2:$A$878,'Raw Data'!$A$2:$A$878,'Raw Data'!$D$2:$D$878,'Raw Data'!$D$2:$D$878))</f>
        <v>1.9999999999999998</v>
      </c>
      <c r="E20" s="5">
        <f>IFERROR(3958.8*ACOS(MIN(1,MAX(-1,SIN(RADIANS('ZIP Coordinates'!$C$2))*SIN(RADIANS(INDEX('ZIP Coordinates'!$C:$C,MATCH($A20,'ZIP Coordinates'!$A:$A,0))))+COS(RADIANS('ZIP Coordinates'!$C$2))*COS(RADIANS(INDEX('ZIP Coordinates'!$C:$C,MATCH($A20,'ZIP Coordinates'!$A:$A,0))))*COS(RADIANS(INDEX('ZIP Coordinates'!$D:$D,MATCH($A20,'ZIP Coordinates'!$A:$A,0))-'ZIP Coordinates'!$D$2))))),"N/A")</f>
        <v>167.59263571775259</v>
      </c>
    </row>
    <row r="21" spans="1:5" x14ac:dyDescent="0.2">
      <c r="A21" s="3" t="s">
        <v>23</v>
      </c>
      <c r="B21" s="28">
        <f>SUMIF('Raw Data'!$A$2:$A$878,$A21,'Raw Data'!$I$2:$I$878)</f>
        <v>801</v>
      </c>
      <c r="C21" s="3">
        <f>COUNTIF('Raw Data'!$A:$A,$A21)</f>
        <v>14</v>
      </c>
      <c r="D21" s="3">
        <f>SUMPRODUCT((('Raw Data'!$A$2:$A$878=$A21)*1)/COUNTIFS('Raw Data'!$A$2:$A$878,'Raw Data'!$A$2:$A$878,'Raw Data'!$D$2:$D$878,'Raw Data'!$D$2:$D$878))</f>
        <v>0.99999999999999967</v>
      </c>
      <c r="E21" s="5">
        <f>IFERROR(3958.8*ACOS(MIN(1,MAX(-1,SIN(RADIANS('ZIP Coordinates'!$C$2))*SIN(RADIANS(INDEX('ZIP Coordinates'!$C:$C,MATCH($A21,'ZIP Coordinates'!$A:$A,0))))+COS(RADIANS('ZIP Coordinates'!$C$2))*COS(RADIANS(INDEX('ZIP Coordinates'!$C:$C,MATCH($A21,'ZIP Coordinates'!$A:$A,0))))*COS(RADIANS(INDEX('ZIP Coordinates'!$D:$D,MATCH($A21,'ZIP Coordinates'!$A:$A,0))-'ZIP Coordinates'!$D$2))))),"N/A")</f>
        <v>200.09402060306726</v>
      </c>
    </row>
    <row r="22" spans="1:5" x14ac:dyDescent="0.2">
      <c r="A22" s="3" t="s">
        <v>24</v>
      </c>
      <c r="B22" s="28">
        <f>SUMIF('Raw Data'!$A$2:$A$878,$A22,'Raw Data'!$I$2:$I$878)</f>
        <v>602</v>
      </c>
      <c r="C22" s="3">
        <f>COUNTIF('Raw Data'!$A:$A,$A22)</f>
        <v>7</v>
      </c>
      <c r="D22" s="3">
        <f>SUMPRODUCT((('Raw Data'!$A$2:$A$878=$A22)*1)/COUNTIFS('Raw Data'!$A$2:$A$878,'Raw Data'!$A$2:$A$878,'Raw Data'!$D$2:$D$878,'Raw Data'!$D$2:$D$878))</f>
        <v>2.0000000000000004</v>
      </c>
      <c r="E22" s="5">
        <f>IFERROR(3958.8*ACOS(MIN(1,MAX(-1,SIN(RADIANS('ZIP Coordinates'!$C$2))*SIN(RADIANS(INDEX('ZIP Coordinates'!$C:$C,MATCH($A22,'ZIP Coordinates'!$A:$A,0))))+COS(RADIANS('ZIP Coordinates'!$C$2))*COS(RADIANS(INDEX('ZIP Coordinates'!$C:$C,MATCH($A22,'ZIP Coordinates'!$A:$A,0))))*COS(RADIANS(INDEX('ZIP Coordinates'!$D:$D,MATCH($A22,'ZIP Coordinates'!$A:$A,0))-'ZIP Coordinates'!$D$2))))),"N/A")</f>
        <v>128.90650428006145</v>
      </c>
    </row>
    <row r="23" spans="1:5" x14ac:dyDescent="0.2">
      <c r="A23" s="3" t="s">
        <v>25</v>
      </c>
      <c r="B23" s="28">
        <f>SUMIF('Raw Data'!$A$2:$A$878,$A23,'Raw Data'!$I$2:$I$878)</f>
        <v>112</v>
      </c>
      <c r="C23" s="3">
        <f>COUNTIF('Raw Data'!$A:$A,$A23)</f>
        <v>23</v>
      </c>
      <c r="D23" s="3">
        <f>SUMPRODUCT((('Raw Data'!$A$2:$A$878=$A23)*1)/COUNTIFS('Raw Data'!$A$2:$A$878,'Raw Data'!$A$2:$A$878,'Raw Data'!$D$2:$D$878,'Raw Data'!$D$2:$D$878))</f>
        <v>0.99999999999999956</v>
      </c>
      <c r="E23" s="5">
        <f>IFERROR(3958.8*ACOS(MIN(1,MAX(-1,SIN(RADIANS('ZIP Coordinates'!$C$2))*SIN(RADIANS(INDEX('ZIP Coordinates'!$C:$C,MATCH($A23,'ZIP Coordinates'!$A:$A,0))))+COS(RADIANS('ZIP Coordinates'!$C$2))*COS(RADIANS(INDEX('ZIP Coordinates'!$C:$C,MATCH($A23,'ZIP Coordinates'!$A:$A,0))))*COS(RADIANS(INDEX('ZIP Coordinates'!$D:$D,MATCH($A23,'ZIP Coordinates'!$A:$A,0))-'ZIP Coordinates'!$D$2))))),"N/A")</f>
        <v>133.2296450053272</v>
      </c>
    </row>
    <row r="24" spans="1:5" x14ac:dyDescent="0.2">
      <c r="A24" s="3" t="s">
        <v>26</v>
      </c>
      <c r="B24" s="28">
        <f>SUMIF('Raw Data'!$A$2:$A$878,$A24,'Raw Data'!$I$2:$I$878)</f>
        <v>15</v>
      </c>
      <c r="C24" s="3">
        <f>COUNTIF('Raw Data'!$A:$A,$A24)</f>
        <v>2</v>
      </c>
      <c r="D24" s="3">
        <f>SUMPRODUCT((('Raw Data'!$A$2:$A$878=$A24)*1)/COUNTIFS('Raw Data'!$A$2:$A$878,'Raw Data'!$A$2:$A$878,'Raw Data'!$D$2:$D$878,'Raw Data'!$D$2:$D$878))</f>
        <v>1</v>
      </c>
      <c r="E24" s="5">
        <f>IFERROR(3958.8*ACOS(MIN(1,MAX(-1,SIN(RADIANS('ZIP Coordinates'!$C$2))*SIN(RADIANS(INDEX('ZIP Coordinates'!$C:$C,MATCH($A24,'ZIP Coordinates'!$A:$A,0))))+COS(RADIANS('ZIP Coordinates'!$C$2))*COS(RADIANS(INDEX('ZIP Coordinates'!$C:$C,MATCH($A24,'ZIP Coordinates'!$A:$A,0))))*COS(RADIANS(INDEX('ZIP Coordinates'!$D:$D,MATCH($A24,'ZIP Coordinates'!$A:$A,0))-'ZIP Coordinates'!$D$2))))),"N/A")</f>
        <v>125.68759292675206</v>
      </c>
    </row>
    <row r="25" spans="1:5" x14ac:dyDescent="0.2">
      <c r="A25" s="3" t="s">
        <v>27</v>
      </c>
      <c r="B25" s="28">
        <f>SUMIF('Raw Data'!$A$2:$A$878,$A25,'Raw Data'!$I$2:$I$878)</f>
        <v>483</v>
      </c>
      <c r="C25" s="3">
        <f>COUNTIF('Raw Data'!$A:$A,$A25)</f>
        <v>9</v>
      </c>
      <c r="D25" s="3">
        <f>SUMPRODUCT((('Raw Data'!$A$2:$A$878=$A25)*1)/COUNTIFS('Raw Data'!$A$2:$A$878,'Raw Data'!$A$2:$A$878,'Raw Data'!$D$2:$D$878,'Raw Data'!$D$2:$D$878))</f>
        <v>4.0000000000000009</v>
      </c>
      <c r="E25" s="5">
        <f>IFERROR(3958.8*ACOS(MIN(1,MAX(-1,SIN(RADIANS('ZIP Coordinates'!$C$2))*SIN(RADIANS(INDEX('ZIP Coordinates'!$C:$C,MATCH($A25,'ZIP Coordinates'!$A:$A,0))))+COS(RADIANS('ZIP Coordinates'!$C$2))*COS(RADIANS(INDEX('ZIP Coordinates'!$C:$C,MATCH($A25,'ZIP Coordinates'!$A:$A,0))))*COS(RADIANS(INDEX('ZIP Coordinates'!$D:$D,MATCH($A25,'ZIP Coordinates'!$A:$A,0))-'ZIP Coordinates'!$D$2))))),"N/A")</f>
        <v>133.84218480102859</v>
      </c>
    </row>
    <row r="26" spans="1:5" x14ac:dyDescent="0.2">
      <c r="A26" s="3" t="s">
        <v>28</v>
      </c>
      <c r="B26" s="28">
        <f>SUMIF('Raw Data'!$A$2:$A$878,$A26,'Raw Data'!$I$2:$I$878)</f>
        <v>567</v>
      </c>
      <c r="C26" s="3">
        <f>COUNTIF('Raw Data'!$A:$A,$A26)</f>
        <v>11</v>
      </c>
      <c r="D26" s="3">
        <f>SUMPRODUCT((('Raw Data'!$A$2:$A$878=$A26)*1)/COUNTIFS('Raw Data'!$A$2:$A$878,'Raw Data'!$A$2:$A$878,'Raw Data'!$D$2:$D$878,'Raw Data'!$D$2:$D$878))</f>
        <v>2.0000000000000009</v>
      </c>
      <c r="E26" s="5">
        <f>IFERROR(3958.8*ACOS(MIN(1,MAX(-1,SIN(RADIANS('ZIP Coordinates'!$C$2))*SIN(RADIANS(INDEX('ZIP Coordinates'!$C:$C,MATCH($A26,'ZIP Coordinates'!$A:$A,0))))+COS(RADIANS('ZIP Coordinates'!$C$2))*COS(RADIANS(INDEX('ZIP Coordinates'!$C:$C,MATCH($A26,'ZIP Coordinates'!$A:$A,0))))*COS(RADIANS(INDEX('ZIP Coordinates'!$D:$D,MATCH($A26,'ZIP Coordinates'!$A:$A,0))-'ZIP Coordinates'!$D$2))))),"N/A")</f>
        <v>146.62233132851182</v>
      </c>
    </row>
    <row r="27" spans="1:5" x14ac:dyDescent="0.2">
      <c r="A27" s="3" t="s">
        <v>29</v>
      </c>
      <c r="B27" s="28">
        <f>SUMIF('Raw Data'!$A$2:$A$878,$A27,'Raw Data'!$I$2:$I$878)</f>
        <v>60</v>
      </c>
      <c r="C27" s="3">
        <f>COUNTIF('Raw Data'!$A:$A,$A27)</f>
        <v>1</v>
      </c>
      <c r="D27" s="3">
        <f>SUMPRODUCT((('Raw Data'!$A$2:$A$878=$A27)*1)/COUNTIFS('Raw Data'!$A$2:$A$878,'Raw Data'!$A$2:$A$878,'Raw Data'!$D$2:$D$878,'Raw Data'!$D$2:$D$878))</f>
        <v>1</v>
      </c>
      <c r="E27" s="5">
        <f>IFERROR(3958.8*ACOS(MIN(1,MAX(-1,SIN(RADIANS('ZIP Coordinates'!$C$2))*SIN(RADIANS(INDEX('ZIP Coordinates'!$C:$C,MATCH($A27,'ZIP Coordinates'!$A:$A,0))))+COS(RADIANS('ZIP Coordinates'!$C$2))*COS(RADIANS(INDEX('ZIP Coordinates'!$C:$C,MATCH($A27,'ZIP Coordinates'!$A:$A,0))))*COS(RADIANS(INDEX('ZIP Coordinates'!$D:$D,MATCH($A27,'ZIP Coordinates'!$A:$A,0))-'ZIP Coordinates'!$D$2))))),"N/A")</f>
        <v>143.73270700152293</v>
      </c>
    </row>
    <row r="28" spans="1:5" x14ac:dyDescent="0.2">
      <c r="A28" s="3" t="s">
        <v>30</v>
      </c>
      <c r="B28" s="28">
        <f>SUMIF('Raw Data'!$A$2:$A$878,$A28,'Raw Data'!$I$2:$I$878)</f>
        <v>644</v>
      </c>
      <c r="C28" s="3">
        <f>COUNTIF('Raw Data'!$A:$A,$A28)</f>
        <v>4</v>
      </c>
      <c r="D28" s="3">
        <f>SUMPRODUCT((('Raw Data'!$A$2:$A$878=$A28)*1)/COUNTIFS('Raw Data'!$A$2:$A$878,'Raw Data'!$A$2:$A$878,'Raw Data'!$D$2:$D$878,'Raw Data'!$D$2:$D$878))</f>
        <v>1</v>
      </c>
      <c r="E28" s="5">
        <f>IFERROR(3958.8*ACOS(MIN(1,MAX(-1,SIN(RADIANS('ZIP Coordinates'!$C$2))*SIN(RADIANS(INDEX('ZIP Coordinates'!$C:$C,MATCH($A28,'ZIP Coordinates'!$A:$A,0))))+COS(RADIANS('ZIP Coordinates'!$C$2))*COS(RADIANS(INDEX('ZIP Coordinates'!$C:$C,MATCH($A28,'ZIP Coordinates'!$A:$A,0))))*COS(RADIANS(INDEX('ZIP Coordinates'!$D:$D,MATCH($A28,'ZIP Coordinates'!$A:$A,0))-'ZIP Coordinates'!$D$2))))),"N/A")</f>
        <v>158.91789379300721</v>
      </c>
    </row>
    <row r="29" spans="1:5" x14ac:dyDescent="0.2">
      <c r="A29" s="3" t="s">
        <v>31</v>
      </c>
      <c r="B29" s="28">
        <f>SUMIF('Raw Data'!$A$2:$A$878,$A29,'Raw Data'!$I$2:$I$878)</f>
        <v>898</v>
      </c>
      <c r="C29" s="3">
        <f>COUNTIF('Raw Data'!$A:$A,$A29)</f>
        <v>12</v>
      </c>
      <c r="D29" s="3">
        <f>SUMPRODUCT((('Raw Data'!$A$2:$A$878=$A29)*1)/COUNTIFS('Raw Data'!$A$2:$A$878,'Raw Data'!$A$2:$A$878,'Raw Data'!$D$2:$D$878,'Raw Data'!$D$2:$D$878))</f>
        <v>2</v>
      </c>
      <c r="E29" s="5">
        <f>IFERROR(3958.8*ACOS(MIN(1,MAX(-1,SIN(RADIANS('ZIP Coordinates'!$C$2))*SIN(RADIANS(INDEX('ZIP Coordinates'!$C:$C,MATCH($A29,'ZIP Coordinates'!$A:$A,0))))+COS(RADIANS('ZIP Coordinates'!$C$2))*COS(RADIANS(INDEX('ZIP Coordinates'!$C:$C,MATCH($A29,'ZIP Coordinates'!$A:$A,0))))*COS(RADIANS(INDEX('ZIP Coordinates'!$D:$D,MATCH($A29,'ZIP Coordinates'!$A:$A,0))-'ZIP Coordinates'!$D$2))))),"N/A")</f>
        <v>147.51382379737242</v>
      </c>
    </row>
    <row r="30" spans="1:5" x14ac:dyDescent="0.2">
      <c r="A30" s="3" t="s">
        <v>32</v>
      </c>
      <c r="B30" s="28">
        <f>SUMIF('Raw Data'!$A$2:$A$878,$A30,'Raw Data'!$I$2:$I$878)</f>
        <v>797</v>
      </c>
      <c r="C30" s="3">
        <f>COUNTIF('Raw Data'!$A:$A,$A30)</f>
        <v>5</v>
      </c>
      <c r="D30" s="3">
        <f>SUMPRODUCT((('Raw Data'!$A$2:$A$878=$A30)*1)/COUNTIFS('Raw Data'!$A$2:$A$878,'Raw Data'!$A$2:$A$878,'Raw Data'!$D$2:$D$878,'Raw Data'!$D$2:$D$878))</f>
        <v>2</v>
      </c>
      <c r="E30" s="5">
        <f>IFERROR(3958.8*ACOS(MIN(1,MAX(-1,SIN(RADIANS('ZIP Coordinates'!$C$2))*SIN(RADIANS(INDEX('ZIP Coordinates'!$C:$C,MATCH($A30,'ZIP Coordinates'!$A:$A,0))))+COS(RADIANS('ZIP Coordinates'!$C$2))*COS(RADIANS(INDEX('ZIP Coordinates'!$C:$C,MATCH($A30,'ZIP Coordinates'!$A:$A,0))))*COS(RADIANS(INDEX('ZIP Coordinates'!$D:$D,MATCH($A30,'ZIP Coordinates'!$A:$A,0))-'ZIP Coordinates'!$D$2))))),"N/A")</f>
        <v>165.56237092425968</v>
      </c>
    </row>
    <row r="31" spans="1:5" x14ac:dyDescent="0.2">
      <c r="A31" s="3" t="s">
        <v>33</v>
      </c>
      <c r="B31" s="28">
        <f>SUMIF('Raw Data'!$A$2:$A$878,$A31,'Raw Data'!$I$2:$I$878)</f>
        <v>1552</v>
      </c>
      <c r="C31" s="3">
        <f>COUNTIF('Raw Data'!$A:$A,$A31)</f>
        <v>13</v>
      </c>
      <c r="D31" s="3">
        <f>SUMPRODUCT((('Raw Data'!$A$2:$A$878=$A31)*1)/COUNTIFS('Raw Data'!$A$2:$A$878,'Raw Data'!$A$2:$A$878,'Raw Data'!$D$2:$D$878,'Raw Data'!$D$2:$D$878))</f>
        <v>0.99999999999999978</v>
      </c>
      <c r="E31" s="5">
        <f>IFERROR(3958.8*ACOS(MIN(1,MAX(-1,SIN(RADIANS('ZIP Coordinates'!$C$2))*SIN(RADIANS(INDEX('ZIP Coordinates'!$C:$C,MATCH($A31,'ZIP Coordinates'!$A:$A,0))))+COS(RADIANS('ZIP Coordinates'!$C$2))*COS(RADIANS(INDEX('ZIP Coordinates'!$C:$C,MATCH($A31,'ZIP Coordinates'!$A:$A,0))))*COS(RADIANS(INDEX('ZIP Coordinates'!$D:$D,MATCH($A31,'ZIP Coordinates'!$A:$A,0))-'ZIP Coordinates'!$D$2))))),"N/A")</f>
        <v>164.84247716245491</v>
      </c>
    </row>
    <row r="32" spans="1:5" x14ac:dyDescent="0.2">
      <c r="A32" s="3" t="s">
        <v>34</v>
      </c>
      <c r="B32" s="28">
        <f>SUMIF('Raw Data'!$A$2:$A$878,$A32,'Raw Data'!$I$2:$I$878)</f>
        <v>345</v>
      </c>
      <c r="C32" s="3">
        <f>COUNTIF('Raw Data'!$A:$A,$A32)</f>
        <v>4</v>
      </c>
      <c r="D32" s="3">
        <f>SUMPRODUCT((('Raw Data'!$A$2:$A$878=$A32)*1)/COUNTIFS('Raw Data'!$A$2:$A$878,'Raw Data'!$A$2:$A$878,'Raw Data'!$D$2:$D$878,'Raw Data'!$D$2:$D$878))</f>
        <v>2</v>
      </c>
      <c r="E32" s="5">
        <f>IFERROR(3958.8*ACOS(MIN(1,MAX(-1,SIN(RADIANS('ZIP Coordinates'!$C$2))*SIN(RADIANS(INDEX('ZIP Coordinates'!$C:$C,MATCH($A32,'ZIP Coordinates'!$A:$A,0))))+COS(RADIANS('ZIP Coordinates'!$C$2))*COS(RADIANS(INDEX('ZIP Coordinates'!$C:$C,MATCH($A32,'ZIP Coordinates'!$A:$A,0))))*COS(RADIANS(INDEX('ZIP Coordinates'!$D:$D,MATCH($A32,'ZIP Coordinates'!$A:$A,0))-'ZIP Coordinates'!$D$2))))),"N/A")</f>
        <v>168.97312266710628</v>
      </c>
    </row>
    <row r="33" spans="1:5" x14ac:dyDescent="0.2">
      <c r="A33" s="3" t="s">
        <v>35</v>
      </c>
      <c r="B33" s="28">
        <f>SUMIF('Raw Data'!$A$2:$A$878,$A33,'Raw Data'!$I$2:$I$878)</f>
        <v>2891</v>
      </c>
      <c r="C33" s="3">
        <f>COUNTIF('Raw Data'!$A:$A,$A33)</f>
        <v>12</v>
      </c>
      <c r="D33" s="3">
        <f>SUMPRODUCT((('Raw Data'!$A$2:$A$878=$A33)*1)/COUNTIFS('Raw Data'!$A$2:$A$878,'Raw Data'!$A$2:$A$878,'Raw Data'!$D$2:$D$878,'Raw Data'!$D$2:$D$878))</f>
        <v>1</v>
      </c>
      <c r="E33" s="5">
        <f>IFERROR(3958.8*ACOS(MIN(1,MAX(-1,SIN(RADIANS('ZIP Coordinates'!$C$2))*SIN(RADIANS(INDEX('ZIP Coordinates'!$C:$C,MATCH($A33,'ZIP Coordinates'!$A:$A,0))))+COS(RADIANS('ZIP Coordinates'!$C$2))*COS(RADIANS(INDEX('ZIP Coordinates'!$C:$C,MATCH($A33,'ZIP Coordinates'!$A:$A,0))))*COS(RADIANS(INDEX('ZIP Coordinates'!$D:$D,MATCH($A33,'ZIP Coordinates'!$A:$A,0))-'ZIP Coordinates'!$D$2))))),"N/A")</f>
        <v>144.62058702086327</v>
      </c>
    </row>
    <row r="34" spans="1:5" x14ac:dyDescent="0.2">
      <c r="A34" s="3" t="s">
        <v>36</v>
      </c>
      <c r="B34" s="28">
        <f>SUMIF('Raw Data'!$A$2:$A$878,$A34,'Raw Data'!$I$2:$I$878)</f>
        <v>8</v>
      </c>
      <c r="C34" s="3">
        <f>COUNTIF('Raw Data'!$A:$A,$A34)</f>
        <v>1</v>
      </c>
      <c r="D34" s="3">
        <f>SUMPRODUCT((('Raw Data'!$A$2:$A$878=$A34)*1)/COUNTIFS('Raw Data'!$A$2:$A$878,'Raw Data'!$A$2:$A$878,'Raw Data'!$D$2:$D$878,'Raw Data'!$D$2:$D$878))</f>
        <v>1</v>
      </c>
      <c r="E34" s="5">
        <f>IFERROR(3958.8*ACOS(MIN(1,MAX(-1,SIN(RADIANS('ZIP Coordinates'!$C$2))*SIN(RADIANS(INDEX('ZIP Coordinates'!$C:$C,MATCH($A34,'ZIP Coordinates'!$A:$A,0))))+COS(RADIANS('ZIP Coordinates'!$C$2))*COS(RADIANS(INDEX('ZIP Coordinates'!$C:$C,MATCH($A34,'ZIP Coordinates'!$A:$A,0))))*COS(RADIANS(INDEX('ZIP Coordinates'!$D:$D,MATCH($A34,'ZIP Coordinates'!$A:$A,0))-'ZIP Coordinates'!$D$2))))),"N/A")</f>
        <v>177.14727978591571</v>
      </c>
    </row>
    <row r="35" spans="1:5" x14ac:dyDescent="0.2">
      <c r="A35" s="3" t="s">
        <v>37</v>
      </c>
      <c r="B35" s="28">
        <f>SUMIF('Raw Data'!$A$2:$A$878,$A35,'Raw Data'!$I$2:$I$878)</f>
        <v>886</v>
      </c>
      <c r="C35" s="3">
        <f>COUNTIF('Raw Data'!$A:$A,$A35)</f>
        <v>4</v>
      </c>
      <c r="D35" s="3">
        <f>SUMPRODUCT((('Raw Data'!$A$2:$A$878=$A35)*1)/COUNTIFS('Raw Data'!$A$2:$A$878,'Raw Data'!$A$2:$A$878,'Raw Data'!$D$2:$D$878,'Raw Data'!$D$2:$D$878))</f>
        <v>1</v>
      </c>
      <c r="E35" s="5">
        <f>IFERROR(3958.8*ACOS(MIN(1,MAX(-1,SIN(RADIANS('ZIP Coordinates'!$C$2))*SIN(RADIANS(INDEX('ZIP Coordinates'!$C:$C,MATCH($A35,'ZIP Coordinates'!$A:$A,0))))+COS(RADIANS('ZIP Coordinates'!$C$2))*COS(RADIANS(INDEX('ZIP Coordinates'!$C:$C,MATCH($A35,'ZIP Coordinates'!$A:$A,0))))*COS(RADIANS(INDEX('ZIP Coordinates'!$D:$D,MATCH($A35,'ZIP Coordinates'!$A:$A,0))-'ZIP Coordinates'!$D$2))))),"N/A")</f>
        <v>178.20658975537148</v>
      </c>
    </row>
    <row r="36" spans="1:5" x14ac:dyDescent="0.2">
      <c r="A36" s="3" t="s">
        <v>38</v>
      </c>
      <c r="B36" s="28">
        <f>SUMIF('Raw Data'!$A$2:$A$878,$A36,'Raw Data'!$I$2:$I$878)</f>
        <v>448</v>
      </c>
      <c r="C36" s="3">
        <f>COUNTIF('Raw Data'!$A:$A,$A36)</f>
        <v>10</v>
      </c>
      <c r="D36" s="3">
        <f>SUMPRODUCT((('Raw Data'!$A$2:$A$878=$A36)*1)/COUNTIFS('Raw Data'!$A$2:$A$878,'Raw Data'!$A$2:$A$878,'Raw Data'!$D$2:$D$878,'Raw Data'!$D$2:$D$878))</f>
        <v>0.99999999999999989</v>
      </c>
      <c r="E36" s="5">
        <f>IFERROR(3958.8*ACOS(MIN(1,MAX(-1,SIN(RADIANS('ZIP Coordinates'!$C$2))*SIN(RADIANS(INDEX('ZIP Coordinates'!$C:$C,MATCH($A36,'ZIP Coordinates'!$A:$A,0))))+COS(RADIANS('ZIP Coordinates'!$C$2))*COS(RADIANS(INDEX('ZIP Coordinates'!$C:$C,MATCH($A36,'ZIP Coordinates'!$A:$A,0))))*COS(RADIANS(INDEX('ZIP Coordinates'!$D:$D,MATCH($A36,'ZIP Coordinates'!$A:$A,0))-'ZIP Coordinates'!$D$2))))),"N/A")</f>
        <v>133.78845252056198</v>
      </c>
    </row>
    <row r="37" spans="1:5" x14ac:dyDescent="0.2">
      <c r="A37" s="3" t="s">
        <v>39</v>
      </c>
      <c r="B37" s="28">
        <f>SUMIF('Raw Data'!$A$2:$A$878,$A37,'Raw Data'!$I$2:$I$878)</f>
        <v>81</v>
      </c>
      <c r="C37" s="3">
        <f>COUNTIF('Raw Data'!$A:$A,$A37)</f>
        <v>1</v>
      </c>
      <c r="D37" s="3">
        <f>SUMPRODUCT((('Raw Data'!$A$2:$A$878=$A37)*1)/COUNTIFS('Raw Data'!$A$2:$A$878,'Raw Data'!$A$2:$A$878,'Raw Data'!$D$2:$D$878,'Raw Data'!$D$2:$D$878))</f>
        <v>1</v>
      </c>
      <c r="E37" s="5">
        <f>IFERROR(3958.8*ACOS(MIN(1,MAX(-1,SIN(RADIANS('ZIP Coordinates'!$C$2))*SIN(RADIANS(INDEX('ZIP Coordinates'!$C:$C,MATCH($A37,'ZIP Coordinates'!$A:$A,0))))+COS(RADIANS('ZIP Coordinates'!$C$2))*COS(RADIANS(INDEX('ZIP Coordinates'!$C:$C,MATCH($A37,'ZIP Coordinates'!$A:$A,0))))*COS(RADIANS(INDEX('ZIP Coordinates'!$D:$D,MATCH($A37,'ZIP Coordinates'!$A:$A,0))-'ZIP Coordinates'!$D$2))))),"N/A")</f>
        <v>170.94938011735448</v>
      </c>
    </row>
    <row r="38" spans="1:5" x14ac:dyDescent="0.2">
      <c r="A38" s="3" t="s">
        <v>40</v>
      </c>
      <c r="B38" s="28">
        <f>SUMIF('Raw Data'!$A$2:$A$878,$A38,'Raw Data'!$I$2:$I$878)</f>
        <v>1133</v>
      </c>
      <c r="C38" s="3">
        <f>COUNTIF('Raw Data'!$A:$A,$A38)</f>
        <v>3</v>
      </c>
      <c r="D38" s="3">
        <f>SUMPRODUCT((('Raw Data'!$A$2:$A$878=$A38)*1)/COUNTIFS('Raw Data'!$A$2:$A$878,'Raw Data'!$A$2:$A$878,'Raw Data'!$D$2:$D$878,'Raw Data'!$D$2:$D$878))</f>
        <v>2</v>
      </c>
      <c r="E38" s="5">
        <f>IFERROR(3958.8*ACOS(MIN(1,MAX(-1,SIN(RADIANS('ZIP Coordinates'!$C$2))*SIN(RADIANS(INDEX('ZIP Coordinates'!$C:$C,MATCH($A38,'ZIP Coordinates'!$A:$A,0))))+COS(RADIANS('ZIP Coordinates'!$C$2))*COS(RADIANS(INDEX('ZIP Coordinates'!$C:$C,MATCH($A38,'ZIP Coordinates'!$A:$A,0))))*COS(RADIANS(INDEX('ZIP Coordinates'!$D:$D,MATCH($A38,'ZIP Coordinates'!$A:$A,0))-'ZIP Coordinates'!$D$2))))),"N/A")</f>
        <v>184.75352368035988</v>
      </c>
    </row>
    <row r="39" spans="1:5" x14ac:dyDescent="0.2">
      <c r="A39" s="3" t="s">
        <v>41</v>
      </c>
      <c r="B39" s="28">
        <f>SUMIF('Raw Data'!$A$2:$A$878,$A39,'Raw Data'!$I$2:$I$878)</f>
        <v>93</v>
      </c>
      <c r="C39" s="3">
        <f>COUNTIF('Raw Data'!$A:$A,$A39)</f>
        <v>3</v>
      </c>
      <c r="D39" s="3">
        <f>SUMPRODUCT((('Raw Data'!$A$2:$A$878=$A39)*1)/COUNTIFS('Raw Data'!$A$2:$A$878,'Raw Data'!$A$2:$A$878,'Raw Data'!$D$2:$D$878,'Raw Data'!$D$2:$D$878))</f>
        <v>1</v>
      </c>
      <c r="E39" s="5">
        <f>IFERROR(3958.8*ACOS(MIN(1,MAX(-1,SIN(RADIANS('ZIP Coordinates'!$C$2))*SIN(RADIANS(INDEX('ZIP Coordinates'!$C:$C,MATCH($A39,'ZIP Coordinates'!$A:$A,0))))+COS(RADIANS('ZIP Coordinates'!$C$2))*COS(RADIANS(INDEX('ZIP Coordinates'!$C:$C,MATCH($A39,'ZIP Coordinates'!$A:$A,0))))*COS(RADIANS(INDEX('ZIP Coordinates'!$D:$D,MATCH($A39,'ZIP Coordinates'!$A:$A,0))-'ZIP Coordinates'!$D$2))))),"N/A")</f>
        <v>140.01135394009708</v>
      </c>
    </row>
    <row r="40" spans="1:5" x14ac:dyDescent="0.2">
      <c r="A40" s="3" t="s">
        <v>42</v>
      </c>
      <c r="B40" s="28">
        <f>SUMIF('Raw Data'!$A$2:$A$878,$A40,'Raw Data'!$I$2:$I$878)</f>
        <v>286</v>
      </c>
      <c r="C40" s="3">
        <f>COUNTIF('Raw Data'!$A:$A,$A40)</f>
        <v>8</v>
      </c>
      <c r="D40" s="3">
        <f>SUMPRODUCT((('Raw Data'!$A$2:$A$878=$A40)*1)/COUNTIFS('Raw Data'!$A$2:$A$878,'Raw Data'!$A$2:$A$878,'Raw Data'!$D$2:$D$878,'Raw Data'!$D$2:$D$878))</f>
        <v>1</v>
      </c>
      <c r="E40" s="5">
        <f>IFERROR(3958.8*ACOS(MIN(1,MAX(-1,SIN(RADIANS('ZIP Coordinates'!$C$2))*SIN(RADIANS(INDEX('ZIP Coordinates'!$C:$C,MATCH($A40,'ZIP Coordinates'!$A:$A,0))))+COS(RADIANS('ZIP Coordinates'!$C$2))*COS(RADIANS(INDEX('ZIP Coordinates'!$C:$C,MATCH($A40,'ZIP Coordinates'!$A:$A,0))))*COS(RADIANS(INDEX('ZIP Coordinates'!$D:$D,MATCH($A40,'ZIP Coordinates'!$A:$A,0))-'ZIP Coordinates'!$D$2))))),"N/A")</f>
        <v>175.57136889679089</v>
      </c>
    </row>
    <row r="41" spans="1:5" x14ac:dyDescent="0.2">
      <c r="A41" s="3" t="s">
        <v>43</v>
      </c>
      <c r="B41" s="28">
        <f>SUMIF('Raw Data'!$A$2:$A$878,$A41,'Raw Data'!$I$2:$I$878)</f>
        <v>113</v>
      </c>
      <c r="C41" s="3">
        <f>COUNTIF('Raw Data'!$A:$A,$A41)</f>
        <v>3</v>
      </c>
      <c r="D41" s="3">
        <f>SUMPRODUCT((('Raw Data'!$A$2:$A$878=$A41)*1)/COUNTIFS('Raw Data'!$A$2:$A$878,'Raw Data'!$A$2:$A$878,'Raw Data'!$D$2:$D$878,'Raw Data'!$D$2:$D$878))</f>
        <v>2</v>
      </c>
      <c r="E41" s="5">
        <f>IFERROR(3958.8*ACOS(MIN(1,MAX(-1,SIN(RADIANS('ZIP Coordinates'!$C$2))*SIN(RADIANS(INDEX('ZIP Coordinates'!$C:$C,MATCH($A41,'ZIP Coordinates'!$A:$A,0))))+COS(RADIANS('ZIP Coordinates'!$C$2))*COS(RADIANS(INDEX('ZIP Coordinates'!$C:$C,MATCH($A41,'ZIP Coordinates'!$A:$A,0))))*COS(RADIANS(INDEX('ZIP Coordinates'!$D:$D,MATCH($A41,'ZIP Coordinates'!$A:$A,0))-'ZIP Coordinates'!$D$2))))),"N/A")</f>
        <v>147.69997820459258</v>
      </c>
    </row>
    <row r="42" spans="1:5" x14ac:dyDescent="0.2">
      <c r="A42" s="3" t="s">
        <v>44</v>
      </c>
      <c r="B42" s="28">
        <f>SUMIF('Raw Data'!$A$2:$A$878,$A42,'Raw Data'!$I$2:$I$878)</f>
        <v>226</v>
      </c>
      <c r="C42" s="3">
        <f>COUNTIF('Raw Data'!$A:$A,$A42)</f>
        <v>2</v>
      </c>
      <c r="D42" s="3">
        <f>SUMPRODUCT((('Raw Data'!$A$2:$A$878=$A42)*1)/COUNTIFS('Raw Data'!$A$2:$A$878,'Raw Data'!$A$2:$A$878,'Raw Data'!$D$2:$D$878,'Raw Data'!$D$2:$D$878))</f>
        <v>1</v>
      </c>
      <c r="E42" s="5">
        <f>IFERROR(3958.8*ACOS(MIN(1,MAX(-1,SIN(RADIANS('ZIP Coordinates'!$C$2))*SIN(RADIANS(INDEX('ZIP Coordinates'!$C:$C,MATCH($A42,'ZIP Coordinates'!$A:$A,0))))+COS(RADIANS('ZIP Coordinates'!$C$2))*COS(RADIANS(INDEX('ZIP Coordinates'!$C:$C,MATCH($A42,'ZIP Coordinates'!$A:$A,0))))*COS(RADIANS(INDEX('ZIP Coordinates'!$D:$D,MATCH($A42,'ZIP Coordinates'!$A:$A,0))-'ZIP Coordinates'!$D$2))))),"N/A")</f>
        <v>182.14260247917136</v>
      </c>
    </row>
    <row r="43" spans="1:5" x14ac:dyDescent="0.2">
      <c r="A43" s="3" t="s">
        <v>45</v>
      </c>
      <c r="B43" s="28">
        <f>SUMIF('Raw Data'!$A$2:$A$878,$A43,'Raw Data'!$I$2:$I$878)</f>
        <v>1370</v>
      </c>
      <c r="C43" s="3">
        <f>COUNTIF('Raw Data'!$A:$A,$A43)</f>
        <v>4</v>
      </c>
      <c r="D43" s="3">
        <f>SUMPRODUCT((('Raw Data'!$A$2:$A$878=$A43)*1)/COUNTIFS('Raw Data'!$A$2:$A$878,'Raw Data'!$A$2:$A$878,'Raw Data'!$D$2:$D$878,'Raw Data'!$D$2:$D$878))</f>
        <v>1</v>
      </c>
      <c r="E43" s="5">
        <f>IFERROR(3958.8*ACOS(MIN(1,MAX(-1,SIN(RADIANS('ZIP Coordinates'!$C$2))*SIN(RADIANS(INDEX('ZIP Coordinates'!$C:$C,MATCH($A43,'ZIP Coordinates'!$A:$A,0))))+COS(RADIANS('ZIP Coordinates'!$C$2))*COS(RADIANS(INDEX('ZIP Coordinates'!$C:$C,MATCH($A43,'ZIP Coordinates'!$A:$A,0))))*COS(RADIANS(INDEX('ZIP Coordinates'!$D:$D,MATCH($A43,'ZIP Coordinates'!$A:$A,0))-'ZIP Coordinates'!$D$2))))),"N/A")</f>
        <v>183.03432908103485</v>
      </c>
    </row>
    <row r="44" spans="1:5" x14ac:dyDescent="0.2">
      <c r="A44" s="3" t="s">
        <v>46</v>
      </c>
      <c r="B44" s="28">
        <f>SUMIF('Raw Data'!$A$2:$A$878,$A44,'Raw Data'!$I$2:$I$878)</f>
        <v>845</v>
      </c>
      <c r="C44" s="3">
        <f>COUNTIF('Raw Data'!$A:$A,$A44)</f>
        <v>8</v>
      </c>
      <c r="D44" s="3">
        <f>SUMPRODUCT((('Raw Data'!$A$2:$A$878=$A44)*1)/COUNTIFS('Raw Data'!$A$2:$A$878,'Raw Data'!$A$2:$A$878,'Raw Data'!$D$2:$D$878,'Raw Data'!$D$2:$D$878))</f>
        <v>2.0000000000000004</v>
      </c>
      <c r="E44" s="5">
        <f>IFERROR(3958.8*ACOS(MIN(1,MAX(-1,SIN(RADIANS('ZIP Coordinates'!$C$2))*SIN(RADIANS(INDEX('ZIP Coordinates'!$C:$C,MATCH($A44,'ZIP Coordinates'!$A:$A,0))))+COS(RADIANS('ZIP Coordinates'!$C$2))*COS(RADIANS(INDEX('ZIP Coordinates'!$C:$C,MATCH($A44,'ZIP Coordinates'!$A:$A,0))))*COS(RADIANS(INDEX('ZIP Coordinates'!$D:$D,MATCH($A44,'ZIP Coordinates'!$A:$A,0))-'ZIP Coordinates'!$D$2))))),"N/A")</f>
        <v>181.78593363749806</v>
      </c>
    </row>
    <row r="45" spans="1:5" x14ac:dyDescent="0.2">
      <c r="A45" s="3" t="s">
        <v>47</v>
      </c>
      <c r="B45" s="28">
        <f>SUMIF('Raw Data'!$A$2:$A$878,$A45,'Raw Data'!$I$2:$I$878)</f>
        <v>7</v>
      </c>
      <c r="C45" s="3">
        <f>COUNTIF('Raw Data'!$A:$A,$A45)</f>
        <v>1</v>
      </c>
      <c r="D45" s="3">
        <f>SUMPRODUCT((('Raw Data'!$A$2:$A$878=$A45)*1)/COUNTIFS('Raw Data'!$A$2:$A$878,'Raw Data'!$A$2:$A$878,'Raw Data'!$D$2:$D$878,'Raw Data'!$D$2:$D$878))</f>
        <v>1</v>
      </c>
      <c r="E45" s="5">
        <f>IFERROR(3958.8*ACOS(MIN(1,MAX(-1,SIN(RADIANS('ZIP Coordinates'!$C$2))*SIN(RADIANS(INDEX('ZIP Coordinates'!$C:$C,MATCH($A45,'ZIP Coordinates'!$A:$A,0))))+COS(RADIANS('ZIP Coordinates'!$C$2))*COS(RADIANS(INDEX('ZIP Coordinates'!$C:$C,MATCH($A45,'ZIP Coordinates'!$A:$A,0))))*COS(RADIANS(INDEX('ZIP Coordinates'!$D:$D,MATCH($A45,'ZIP Coordinates'!$A:$A,0))-'ZIP Coordinates'!$D$2))))),"N/A")</f>
        <v>180.99820964938351</v>
      </c>
    </row>
    <row r="46" spans="1:5" x14ac:dyDescent="0.2">
      <c r="A46" s="3" t="s">
        <v>48</v>
      </c>
      <c r="B46" s="28">
        <f>SUMIF('Raw Data'!$A$2:$A$878,$A46,'Raw Data'!$I$2:$I$878)</f>
        <v>171</v>
      </c>
      <c r="C46" s="3">
        <f>COUNTIF('Raw Data'!$A:$A,$A46)</f>
        <v>3</v>
      </c>
      <c r="D46" s="3">
        <f>SUMPRODUCT((('Raw Data'!$A$2:$A$878=$A46)*1)/COUNTIFS('Raw Data'!$A$2:$A$878,'Raw Data'!$A$2:$A$878,'Raw Data'!$D$2:$D$878,'Raw Data'!$D$2:$D$878))</f>
        <v>1</v>
      </c>
      <c r="E46" s="5">
        <f>IFERROR(3958.8*ACOS(MIN(1,MAX(-1,SIN(RADIANS('ZIP Coordinates'!$C$2))*SIN(RADIANS(INDEX('ZIP Coordinates'!$C:$C,MATCH($A46,'ZIP Coordinates'!$A:$A,0))))+COS(RADIANS('ZIP Coordinates'!$C$2))*COS(RADIANS(INDEX('ZIP Coordinates'!$C:$C,MATCH($A46,'ZIP Coordinates'!$A:$A,0))))*COS(RADIANS(INDEX('ZIP Coordinates'!$D:$D,MATCH($A46,'ZIP Coordinates'!$A:$A,0))-'ZIP Coordinates'!$D$2))))),"N/A")</f>
        <v>180.49502404811059</v>
      </c>
    </row>
    <row r="47" spans="1:5" x14ac:dyDescent="0.2">
      <c r="A47" s="3" t="s">
        <v>49</v>
      </c>
      <c r="B47" s="28">
        <f>SUMIF('Raw Data'!$A$2:$A$878,$A47,'Raw Data'!$I$2:$I$878)</f>
        <v>195</v>
      </c>
      <c r="C47" s="3">
        <f>COUNTIF('Raw Data'!$A:$A,$A47)</f>
        <v>2</v>
      </c>
      <c r="D47" s="3">
        <f>SUMPRODUCT((('Raw Data'!$A$2:$A$878=$A47)*1)/COUNTIFS('Raw Data'!$A$2:$A$878,'Raw Data'!$A$2:$A$878,'Raw Data'!$D$2:$D$878,'Raw Data'!$D$2:$D$878))</f>
        <v>1</v>
      </c>
      <c r="E47" s="5">
        <f>IFERROR(3958.8*ACOS(MIN(1,MAX(-1,SIN(RADIANS('ZIP Coordinates'!$C$2))*SIN(RADIANS(INDEX('ZIP Coordinates'!$C:$C,MATCH($A47,'ZIP Coordinates'!$A:$A,0))))+COS(RADIANS('ZIP Coordinates'!$C$2))*COS(RADIANS(INDEX('ZIP Coordinates'!$C:$C,MATCH($A47,'ZIP Coordinates'!$A:$A,0))))*COS(RADIANS(INDEX('ZIP Coordinates'!$D:$D,MATCH($A47,'ZIP Coordinates'!$A:$A,0))-'ZIP Coordinates'!$D$2))))),"N/A")</f>
        <v>184.6196203096971</v>
      </c>
    </row>
    <row r="48" spans="1:5" x14ac:dyDescent="0.2">
      <c r="A48" s="3" t="s">
        <v>50</v>
      </c>
      <c r="B48" s="28">
        <f>SUMIF('Raw Data'!$A$2:$A$878,$A48,'Raw Data'!$I$2:$I$878)</f>
        <v>1693</v>
      </c>
      <c r="C48" s="3">
        <f>COUNTIF('Raw Data'!$A:$A,$A48)</f>
        <v>7</v>
      </c>
      <c r="D48" s="3">
        <f>SUMPRODUCT((('Raw Data'!$A$2:$A$878=$A48)*1)/COUNTIFS('Raw Data'!$A$2:$A$878,'Raw Data'!$A$2:$A$878,'Raw Data'!$D$2:$D$878,'Raw Data'!$D$2:$D$878))</f>
        <v>3</v>
      </c>
      <c r="E48" s="5">
        <f>IFERROR(3958.8*ACOS(MIN(1,MAX(-1,SIN(RADIANS('ZIP Coordinates'!$C$2))*SIN(RADIANS(INDEX('ZIP Coordinates'!$C:$C,MATCH($A48,'ZIP Coordinates'!$A:$A,0))))+COS(RADIANS('ZIP Coordinates'!$C$2))*COS(RADIANS(INDEX('ZIP Coordinates'!$C:$C,MATCH($A48,'ZIP Coordinates'!$A:$A,0))))*COS(RADIANS(INDEX('ZIP Coordinates'!$D:$D,MATCH($A48,'ZIP Coordinates'!$A:$A,0))-'ZIP Coordinates'!$D$2))))),"N/A")</f>
        <v>177.75290744808345</v>
      </c>
    </row>
    <row r="49" spans="1:5" x14ac:dyDescent="0.2">
      <c r="A49" s="3" t="s">
        <v>51</v>
      </c>
      <c r="B49" s="28">
        <f>SUMIF('Raw Data'!$A$2:$A$878,$A49,'Raw Data'!$I$2:$I$878)</f>
        <v>144</v>
      </c>
      <c r="C49" s="3">
        <f>COUNTIF('Raw Data'!$A:$A,$A49)</f>
        <v>1</v>
      </c>
      <c r="D49" s="3">
        <f>SUMPRODUCT((('Raw Data'!$A$2:$A$878=$A49)*1)/COUNTIFS('Raw Data'!$A$2:$A$878,'Raw Data'!$A$2:$A$878,'Raw Data'!$D$2:$D$878,'Raw Data'!$D$2:$D$878))</f>
        <v>1</v>
      </c>
      <c r="E49" s="5">
        <f>IFERROR(3958.8*ACOS(MIN(1,MAX(-1,SIN(RADIANS('ZIP Coordinates'!$C$2))*SIN(RADIANS(INDEX('ZIP Coordinates'!$C:$C,MATCH($A49,'ZIP Coordinates'!$A:$A,0))))+COS(RADIANS('ZIP Coordinates'!$C$2))*COS(RADIANS(INDEX('ZIP Coordinates'!$C:$C,MATCH($A49,'ZIP Coordinates'!$A:$A,0))))*COS(RADIANS(INDEX('ZIP Coordinates'!$D:$D,MATCH($A49,'ZIP Coordinates'!$A:$A,0))-'ZIP Coordinates'!$D$2))))),"N/A")</f>
        <v>172.14937957926466</v>
      </c>
    </row>
    <row r="50" spans="1:5" x14ac:dyDescent="0.2">
      <c r="A50" s="3" t="s">
        <v>52</v>
      </c>
      <c r="B50" s="28">
        <f>SUMIF('Raw Data'!$A$2:$A$878,$A50,'Raw Data'!$I$2:$I$878)</f>
        <v>86</v>
      </c>
      <c r="C50" s="3">
        <f>COUNTIF('Raw Data'!$A:$A,$A50)</f>
        <v>3</v>
      </c>
      <c r="D50" s="3">
        <f>SUMPRODUCT((('Raw Data'!$A$2:$A$878=$A50)*1)/COUNTIFS('Raw Data'!$A$2:$A$878,'Raw Data'!$A$2:$A$878,'Raw Data'!$D$2:$D$878,'Raw Data'!$D$2:$D$878))</f>
        <v>1</v>
      </c>
      <c r="E50" s="5">
        <f>IFERROR(3958.8*ACOS(MIN(1,MAX(-1,SIN(RADIANS('ZIP Coordinates'!$C$2))*SIN(RADIANS(INDEX('ZIP Coordinates'!$C:$C,MATCH($A50,'ZIP Coordinates'!$A:$A,0))))+COS(RADIANS('ZIP Coordinates'!$C$2))*COS(RADIANS(INDEX('ZIP Coordinates'!$C:$C,MATCH($A50,'ZIP Coordinates'!$A:$A,0))))*COS(RADIANS(INDEX('ZIP Coordinates'!$D:$D,MATCH($A50,'ZIP Coordinates'!$A:$A,0))-'ZIP Coordinates'!$D$2))))),"N/A")</f>
        <v>195.93313963779019</v>
      </c>
    </row>
    <row r="51" spans="1:5" x14ac:dyDescent="0.2">
      <c r="A51" s="3" t="s">
        <v>53</v>
      </c>
      <c r="B51" s="28">
        <f>SUMIF('Raw Data'!$A$2:$A$878,$A51,'Raw Data'!$I$2:$I$878)</f>
        <v>128</v>
      </c>
      <c r="C51" s="3">
        <f>COUNTIF('Raw Data'!$A:$A,$A51)</f>
        <v>1</v>
      </c>
      <c r="D51" s="3">
        <f>SUMPRODUCT((('Raw Data'!$A$2:$A$878=$A51)*1)/COUNTIFS('Raw Data'!$A$2:$A$878,'Raw Data'!$A$2:$A$878,'Raw Data'!$D$2:$D$878,'Raw Data'!$D$2:$D$878))</f>
        <v>1</v>
      </c>
      <c r="E51" s="5">
        <f>IFERROR(3958.8*ACOS(MIN(1,MAX(-1,SIN(RADIANS('ZIP Coordinates'!$C$2))*SIN(RADIANS(INDEX('ZIP Coordinates'!$C:$C,MATCH($A51,'ZIP Coordinates'!$A:$A,0))))+COS(RADIANS('ZIP Coordinates'!$C$2))*COS(RADIANS(INDEX('ZIP Coordinates'!$C:$C,MATCH($A51,'ZIP Coordinates'!$A:$A,0))))*COS(RADIANS(INDEX('ZIP Coordinates'!$D:$D,MATCH($A51,'ZIP Coordinates'!$A:$A,0))-'ZIP Coordinates'!$D$2))))),"N/A")</f>
        <v>162.02492213116182</v>
      </c>
    </row>
    <row r="52" spans="1:5" x14ac:dyDescent="0.2">
      <c r="A52" s="3" t="s">
        <v>54</v>
      </c>
      <c r="B52" s="28">
        <f>SUMIF('Raw Data'!$A$2:$A$878,$A52,'Raw Data'!$I$2:$I$878)</f>
        <v>461</v>
      </c>
      <c r="C52" s="3">
        <f>COUNTIF('Raw Data'!$A:$A,$A52)</f>
        <v>5</v>
      </c>
      <c r="D52" s="3">
        <f>SUMPRODUCT((('Raw Data'!$A$2:$A$878=$A52)*1)/COUNTIFS('Raw Data'!$A$2:$A$878,'Raw Data'!$A$2:$A$878,'Raw Data'!$D$2:$D$878,'Raw Data'!$D$2:$D$878))</f>
        <v>1</v>
      </c>
      <c r="E52" s="5">
        <f>IFERROR(3958.8*ACOS(MIN(1,MAX(-1,SIN(RADIANS('ZIP Coordinates'!$C$2))*SIN(RADIANS(INDEX('ZIP Coordinates'!$C:$C,MATCH($A52,'ZIP Coordinates'!$A:$A,0))))+COS(RADIANS('ZIP Coordinates'!$C$2))*COS(RADIANS(INDEX('ZIP Coordinates'!$C:$C,MATCH($A52,'ZIP Coordinates'!$A:$A,0))))*COS(RADIANS(INDEX('ZIP Coordinates'!$D:$D,MATCH($A52,'ZIP Coordinates'!$A:$A,0))-'ZIP Coordinates'!$D$2))))),"N/A")</f>
        <v>148.74266117765734</v>
      </c>
    </row>
    <row r="53" spans="1:5" x14ac:dyDescent="0.2">
      <c r="A53" s="3" t="s">
        <v>55</v>
      </c>
      <c r="B53" s="28">
        <f>SUMIF('Raw Data'!$A$2:$A$878,$A53,'Raw Data'!$I$2:$I$878)</f>
        <v>40</v>
      </c>
      <c r="C53" s="3">
        <f>COUNTIF('Raw Data'!$A:$A,$A53)</f>
        <v>2</v>
      </c>
      <c r="D53" s="3">
        <f>SUMPRODUCT((('Raw Data'!$A$2:$A$878=$A53)*1)/COUNTIFS('Raw Data'!$A$2:$A$878,'Raw Data'!$A$2:$A$878,'Raw Data'!$D$2:$D$878,'Raw Data'!$D$2:$D$878))</f>
        <v>1</v>
      </c>
      <c r="E53" s="5">
        <f>IFERROR(3958.8*ACOS(MIN(1,MAX(-1,SIN(RADIANS('ZIP Coordinates'!$C$2))*SIN(RADIANS(INDEX('ZIP Coordinates'!$C:$C,MATCH($A53,'ZIP Coordinates'!$A:$A,0))))+COS(RADIANS('ZIP Coordinates'!$C$2))*COS(RADIANS(INDEX('ZIP Coordinates'!$C:$C,MATCH($A53,'ZIP Coordinates'!$A:$A,0))))*COS(RADIANS(INDEX('ZIP Coordinates'!$D:$D,MATCH($A53,'ZIP Coordinates'!$A:$A,0))-'ZIP Coordinates'!$D$2))))),"N/A")</f>
        <v>151.86786425731927</v>
      </c>
    </row>
    <row r="54" spans="1:5" x14ac:dyDescent="0.2">
      <c r="A54" s="3" t="s">
        <v>56</v>
      </c>
      <c r="B54" s="28">
        <f>SUMIF('Raw Data'!$A$2:$A$878,$A54,'Raw Data'!$I$2:$I$878)</f>
        <v>34</v>
      </c>
      <c r="C54" s="3">
        <f>COUNTIF('Raw Data'!$A:$A,$A54)</f>
        <v>1</v>
      </c>
      <c r="D54" s="3">
        <f>SUMPRODUCT((('Raw Data'!$A$2:$A$878=$A54)*1)/COUNTIFS('Raw Data'!$A$2:$A$878,'Raw Data'!$A$2:$A$878,'Raw Data'!$D$2:$D$878,'Raw Data'!$D$2:$D$878))</f>
        <v>1</v>
      </c>
      <c r="E54" s="5">
        <f>IFERROR(3958.8*ACOS(MIN(1,MAX(-1,SIN(RADIANS('ZIP Coordinates'!$C$2))*SIN(RADIANS(INDEX('ZIP Coordinates'!$C:$C,MATCH($A54,'ZIP Coordinates'!$A:$A,0))))+COS(RADIANS('ZIP Coordinates'!$C$2))*COS(RADIANS(INDEX('ZIP Coordinates'!$C:$C,MATCH($A54,'ZIP Coordinates'!$A:$A,0))))*COS(RADIANS(INDEX('ZIP Coordinates'!$D:$D,MATCH($A54,'ZIP Coordinates'!$A:$A,0))-'ZIP Coordinates'!$D$2))))),"N/A")</f>
        <v>175.37326227537039</v>
      </c>
    </row>
    <row r="55" spans="1:5" x14ac:dyDescent="0.2">
      <c r="A55" s="3" t="s">
        <v>57</v>
      </c>
      <c r="B55" s="28">
        <f>SUMIF('Raw Data'!$A$2:$A$878,$A55,'Raw Data'!$I$2:$I$878)</f>
        <v>25</v>
      </c>
      <c r="C55" s="3">
        <f>COUNTIF('Raw Data'!$A:$A,$A55)</f>
        <v>21</v>
      </c>
      <c r="D55" s="3">
        <f>SUMPRODUCT((('Raw Data'!$A$2:$A$878=$A55)*1)/COUNTIFS('Raw Data'!$A$2:$A$878,'Raw Data'!$A$2:$A$878,'Raw Data'!$D$2:$D$878,'Raw Data'!$D$2:$D$878))</f>
        <v>1.0000000000000004</v>
      </c>
      <c r="E55" s="5">
        <f>IFERROR(3958.8*ACOS(MIN(1,MAX(-1,SIN(RADIANS('ZIP Coordinates'!$C$2))*SIN(RADIANS(INDEX('ZIP Coordinates'!$C:$C,MATCH($A55,'ZIP Coordinates'!$A:$A,0))))+COS(RADIANS('ZIP Coordinates'!$C$2))*COS(RADIANS(INDEX('ZIP Coordinates'!$C:$C,MATCH($A55,'ZIP Coordinates'!$A:$A,0))))*COS(RADIANS(INDEX('ZIP Coordinates'!$D:$D,MATCH($A55,'ZIP Coordinates'!$A:$A,0))-'ZIP Coordinates'!$D$2))))),"N/A")</f>
        <v>174.1512936930711</v>
      </c>
    </row>
    <row r="56" spans="1:5" x14ac:dyDescent="0.2">
      <c r="A56" s="3" t="s">
        <v>58</v>
      </c>
      <c r="B56" s="28">
        <f>SUMIF('Raw Data'!$A$2:$A$878,$A56,'Raw Data'!$I$2:$I$878)</f>
        <v>7</v>
      </c>
      <c r="C56" s="3">
        <f>COUNTIF('Raw Data'!$A:$A,$A56)</f>
        <v>1</v>
      </c>
      <c r="D56" s="3">
        <f>SUMPRODUCT((('Raw Data'!$A$2:$A$878=$A56)*1)/COUNTIFS('Raw Data'!$A$2:$A$878,'Raw Data'!$A$2:$A$878,'Raw Data'!$D$2:$D$878,'Raw Data'!$D$2:$D$878))</f>
        <v>1</v>
      </c>
      <c r="E56" s="5">
        <f>IFERROR(3958.8*ACOS(MIN(1,MAX(-1,SIN(RADIANS('ZIP Coordinates'!$C$2))*SIN(RADIANS(INDEX('ZIP Coordinates'!$C:$C,MATCH($A56,'ZIP Coordinates'!$A:$A,0))))+COS(RADIANS('ZIP Coordinates'!$C$2))*COS(RADIANS(INDEX('ZIP Coordinates'!$C:$C,MATCH($A56,'ZIP Coordinates'!$A:$A,0))))*COS(RADIANS(INDEX('ZIP Coordinates'!$D:$D,MATCH($A56,'ZIP Coordinates'!$A:$A,0))-'ZIP Coordinates'!$D$2))))),"N/A")</f>
        <v>172.43982522423505</v>
      </c>
    </row>
    <row r="57" spans="1:5" x14ac:dyDescent="0.2">
      <c r="A57" s="3" t="s">
        <v>59</v>
      </c>
      <c r="B57" s="28">
        <f>SUMIF('Raw Data'!$A$2:$A$878,$A57,'Raw Data'!$I$2:$I$878)</f>
        <v>36</v>
      </c>
      <c r="C57" s="3">
        <f>COUNTIF('Raw Data'!$A:$A,$A57)</f>
        <v>11</v>
      </c>
      <c r="D57" s="3">
        <f>SUMPRODUCT((('Raw Data'!$A$2:$A$878=$A57)*1)/COUNTIFS('Raw Data'!$A$2:$A$878,'Raw Data'!$A$2:$A$878,'Raw Data'!$D$2:$D$878,'Raw Data'!$D$2:$D$878))</f>
        <v>1.0000000000000002</v>
      </c>
      <c r="E57" s="5">
        <f>IFERROR(3958.8*ACOS(MIN(1,MAX(-1,SIN(RADIANS('ZIP Coordinates'!$C$2))*SIN(RADIANS(INDEX('ZIP Coordinates'!$C:$C,MATCH($A57,'ZIP Coordinates'!$A:$A,0))))+COS(RADIANS('ZIP Coordinates'!$C$2))*COS(RADIANS(INDEX('ZIP Coordinates'!$C:$C,MATCH($A57,'ZIP Coordinates'!$A:$A,0))))*COS(RADIANS(INDEX('ZIP Coordinates'!$D:$D,MATCH($A57,'ZIP Coordinates'!$A:$A,0))-'ZIP Coordinates'!$D$2))))),"N/A")</f>
        <v>154.5408375886781</v>
      </c>
    </row>
    <row r="58" spans="1:5" x14ac:dyDescent="0.2">
      <c r="A58" s="3" t="s">
        <v>60</v>
      </c>
      <c r="B58" s="28">
        <f>SUMIF('Raw Data'!$A$2:$A$878,$A58,'Raw Data'!$I$2:$I$878)</f>
        <v>9</v>
      </c>
      <c r="C58" s="3">
        <f>COUNTIF('Raw Data'!$A:$A,$A58)</f>
        <v>1</v>
      </c>
      <c r="D58" s="3">
        <f>SUMPRODUCT((('Raw Data'!$A$2:$A$878=$A58)*1)/COUNTIFS('Raw Data'!$A$2:$A$878,'Raw Data'!$A$2:$A$878,'Raw Data'!$D$2:$D$878,'Raw Data'!$D$2:$D$878))</f>
        <v>1</v>
      </c>
      <c r="E58" s="5">
        <f>IFERROR(3958.8*ACOS(MIN(1,MAX(-1,SIN(RADIANS('ZIP Coordinates'!$C$2))*SIN(RADIANS(INDEX('ZIP Coordinates'!$C:$C,MATCH($A58,'ZIP Coordinates'!$A:$A,0))))+COS(RADIANS('ZIP Coordinates'!$C$2))*COS(RADIANS(INDEX('ZIP Coordinates'!$C:$C,MATCH($A58,'ZIP Coordinates'!$A:$A,0))))*COS(RADIANS(INDEX('ZIP Coordinates'!$D:$D,MATCH($A58,'ZIP Coordinates'!$A:$A,0))-'ZIP Coordinates'!$D$2))))),"N/A")</f>
        <v>192.69987686056965</v>
      </c>
    </row>
    <row r="59" spans="1:5" x14ac:dyDescent="0.2">
      <c r="A59" s="3" t="s">
        <v>61</v>
      </c>
      <c r="B59" s="28">
        <f>SUMIF('Raw Data'!$A$2:$A$878,$A59,'Raw Data'!$I$2:$I$878)</f>
        <v>136</v>
      </c>
      <c r="C59" s="3">
        <f>COUNTIF('Raw Data'!$A:$A,$A59)</f>
        <v>11</v>
      </c>
      <c r="D59" s="3">
        <f>SUMPRODUCT((('Raw Data'!$A$2:$A$878=$A59)*1)/COUNTIFS('Raw Data'!$A$2:$A$878,'Raw Data'!$A$2:$A$878,'Raw Data'!$D$2:$D$878,'Raw Data'!$D$2:$D$878))</f>
        <v>2.0000000000000004</v>
      </c>
      <c r="E59" s="5">
        <f>IFERROR(3958.8*ACOS(MIN(1,MAX(-1,SIN(RADIANS('ZIP Coordinates'!$C$2))*SIN(RADIANS(INDEX('ZIP Coordinates'!$C:$C,MATCH($A59,'ZIP Coordinates'!$A:$A,0))))+COS(RADIANS('ZIP Coordinates'!$C$2))*COS(RADIANS(INDEX('ZIP Coordinates'!$C:$C,MATCH($A59,'ZIP Coordinates'!$A:$A,0))))*COS(RADIANS(INDEX('ZIP Coordinates'!$D:$D,MATCH($A59,'ZIP Coordinates'!$A:$A,0))-'ZIP Coordinates'!$D$2))))),"N/A")</f>
        <v>131.53687522349895</v>
      </c>
    </row>
    <row r="60" spans="1:5" x14ac:dyDescent="0.2">
      <c r="A60" s="3" t="s">
        <v>62</v>
      </c>
      <c r="B60" s="28">
        <f>SUMIF('Raw Data'!$A$2:$A$878,$A60,'Raw Data'!$I$2:$I$878)</f>
        <v>7</v>
      </c>
      <c r="C60" s="3">
        <f>COUNTIF('Raw Data'!$A:$A,$A60)</f>
        <v>1</v>
      </c>
      <c r="D60" s="3">
        <f>SUMPRODUCT((('Raw Data'!$A$2:$A$878=$A60)*1)/COUNTIFS('Raw Data'!$A$2:$A$878,'Raw Data'!$A$2:$A$878,'Raw Data'!$D$2:$D$878,'Raw Data'!$D$2:$D$878))</f>
        <v>1</v>
      </c>
      <c r="E60" s="5">
        <f>IFERROR(3958.8*ACOS(MIN(1,MAX(-1,SIN(RADIANS('ZIP Coordinates'!$C$2))*SIN(RADIANS(INDEX('ZIP Coordinates'!$C:$C,MATCH($A60,'ZIP Coordinates'!$A:$A,0))))+COS(RADIANS('ZIP Coordinates'!$C$2))*COS(RADIANS(INDEX('ZIP Coordinates'!$C:$C,MATCH($A60,'ZIP Coordinates'!$A:$A,0))))*COS(RADIANS(INDEX('ZIP Coordinates'!$D:$D,MATCH($A60,'ZIP Coordinates'!$A:$A,0))-'ZIP Coordinates'!$D$2))))),"N/A")</f>
        <v>101.19831716833082</v>
      </c>
    </row>
    <row r="61" spans="1:5" x14ac:dyDescent="0.2">
      <c r="A61" s="3" t="s">
        <v>63</v>
      </c>
      <c r="B61" s="28">
        <f>SUMIF('Raw Data'!$A$2:$A$878,$A61,'Raw Data'!$I$2:$I$878)</f>
        <v>56</v>
      </c>
      <c r="C61" s="3">
        <f>COUNTIF('Raw Data'!$A:$A,$A61)</f>
        <v>1</v>
      </c>
      <c r="D61" s="3">
        <f>SUMPRODUCT((('Raw Data'!$A$2:$A$878=$A61)*1)/COUNTIFS('Raw Data'!$A$2:$A$878,'Raw Data'!$A$2:$A$878,'Raw Data'!$D$2:$D$878,'Raw Data'!$D$2:$D$878))</f>
        <v>1</v>
      </c>
      <c r="E61" s="5">
        <f>IFERROR(3958.8*ACOS(MIN(1,MAX(-1,SIN(RADIANS('ZIP Coordinates'!$C$2))*SIN(RADIANS(INDEX('ZIP Coordinates'!$C:$C,MATCH($A61,'ZIP Coordinates'!$A:$A,0))))+COS(RADIANS('ZIP Coordinates'!$C$2))*COS(RADIANS(INDEX('ZIP Coordinates'!$C:$C,MATCH($A61,'ZIP Coordinates'!$A:$A,0))))*COS(RADIANS(INDEX('ZIP Coordinates'!$D:$D,MATCH($A61,'ZIP Coordinates'!$A:$A,0))-'ZIP Coordinates'!$D$2))))),"N/A")</f>
        <v>100.27052265518994</v>
      </c>
    </row>
    <row r="62" spans="1:5" x14ac:dyDescent="0.2">
      <c r="A62" s="3" t="s">
        <v>64</v>
      </c>
      <c r="B62" s="28">
        <f>SUMIF('Raw Data'!$A$2:$A$878,$A62,'Raw Data'!$I$2:$I$878)</f>
        <v>539</v>
      </c>
      <c r="C62" s="3">
        <f>COUNTIF('Raw Data'!$A:$A,$A62)</f>
        <v>6</v>
      </c>
      <c r="D62" s="3">
        <f>SUMPRODUCT((('Raw Data'!$A$2:$A$878=$A62)*1)/COUNTIFS('Raw Data'!$A$2:$A$878,'Raw Data'!$A$2:$A$878,'Raw Data'!$D$2:$D$878,'Raw Data'!$D$2:$D$878))</f>
        <v>0.99999999999999989</v>
      </c>
      <c r="E62" s="5">
        <f>IFERROR(3958.8*ACOS(MIN(1,MAX(-1,SIN(RADIANS('ZIP Coordinates'!$C$2))*SIN(RADIANS(INDEX('ZIP Coordinates'!$C:$C,MATCH($A62,'ZIP Coordinates'!$A:$A,0))))+COS(RADIANS('ZIP Coordinates'!$C$2))*COS(RADIANS(INDEX('ZIP Coordinates'!$C:$C,MATCH($A62,'ZIP Coordinates'!$A:$A,0))))*COS(RADIANS(INDEX('ZIP Coordinates'!$D:$D,MATCH($A62,'ZIP Coordinates'!$A:$A,0))-'ZIP Coordinates'!$D$2))))),"N/A")</f>
        <v>113.08185114459924</v>
      </c>
    </row>
    <row r="63" spans="1:5" x14ac:dyDescent="0.2">
      <c r="A63" s="3" t="s">
        <v>65</v>
      </c>
      <c r="B63" s="28">
        <f>SUMIF('Raw Data'!$A$2:$A$878,$A63,'Raw Data'!$I$2:$I$878)</f>
        <v>149</v>
      </c>
      <c r="C63" s="3">
        <f>COUNTIF('Raw Data'!$A:$A,$A63)</f>
        <v>7</v>
      </c>
      <c r="D63" s="3">
        <f>SUMPRODUCT((('Raw Data'!$A$2:$A$878=$A63)*1)/COUNTIFS('Raw Data'!$A$2:$A$878,'Raw Data'!$A$2:$A$878,'Raw Data'!$D$2:$D$878,'Raw Data'!$D$2:$D$878))</f>
        <v>0.99999999999999978</v>
      </c>
      <c r="E63" s="5">
        <f>IFERROR(3958.8*ACOS(MIN(1,MAX(-1,SIN(RADIANS('ZIP Coordinates'!$C$2))*SIN(RADIANS(INDEX('ZIP Coordinates'!$C:$C,MATCH($A63,'ZIP Coordinates'!$A:$A,0))))+COS(RADIANS('ZIP Coordinates'!$C$2))*COS(RADIANS(INDEX('ZIP Coordinates'!$C:$C,MATCH($A63,'ZIP Coordinates'!$A:$A,0))))*COS(RADIANS(INDEX('ZIP Coordinates'!$D:$D,MATCH($A63,'ZIP Coordinates'!$A:$A,0))-'ZIP Coordinates'!$D$2))))),"N/A")</f>
        <v>133.74935355530641</v>
      </c>
    </row>
    <row r="64" spans="1:5" x14ac:dyDescent="0.2">
      <c r="A64" s="3" t="s">
        <v>66</v>
      </c>
      <c r="B64" s="28">
        <f>SUMIF('Raw Data'!$A$2:$A$878,$A64,'Raw Data'!$I$2:$I$878)</f>
        <v>134</v>
      </c>
      <c r="C64" s="3">
        <f>COUNTIF('Raw Data'!$A:$A,$A64)</f>
        <v>3</v>
      </c>
      <c r="D64" s="3">
        <f>SUMPRODUCT((('Raw Data'!$A$2:$A$878=$A64)*1)/COUNTIFS('Raw Data'!$A$2:$A$878,'Raw Data'!$A$2:$A$878,'Raw Data'!$D$2:$D$878,'Raw Data'!$D$2:$D$878))</f>
        <v>2</v>
      </c>
      <c r="E64" s="5">
        <f>IFERROR(3958.8*ACOS(MIN(1,MAX(-1,SIN(RADIANS('ZIP Coordinates'!$C$2))*SIN(RADIANS(INDEX('ZIP Coordinates'!$C:$C,MATCH($A64,'ZIP Coordinates'!$A:$A,0))))+COS(RADIANS('ZIP Coordinates'!$C$2))*COS(RADIANS(INDEX('ZIP Coordinates'!$C:$C,MATCH($A64,'ZIP Coordinates'!$A:$A,0))))*COS(RADIANS(INDEX('ZIP Coordinates'!$D:$D,MATCH($A64,'ZIP Coordinates'!$A:$A,0))-'ZIP Coordinates'!$D$2))))),"N/A")</f>
        <v>79.693533145307541</v>
      </c>
    </row>
    <row r="65" spans="1:5" x14ac:dyDescent="0.2">
      <c r="A65" s="3" t="s">
        <v>67</v>
      </c>
      <c r="B65" s="28">
        <f>SUMIF('Raw Data'!$A$2:$A$878,$A65,'Raw Data'!$I$2:$I$878)</f>
        <v>4</v>
      </c>
      <c r="C65" s="3">
        <f>COUNTIF('Raw Data'!$A:$A,$A65)</f>
        <v>2</v>
      </c>
      <c r="D65" s="3">
        <f>SUMPRODUCT((('Raw Data'!$A$2:$A$878=$A65)*1)/COUNTIFS('Raw Data'!$A$2:$A$878,'Raw Data'!$A$2:$A$878,'Raw Data'!$D$2:$D$878,'Raw Data'!$D$2:$D$878))</f>
        <v>1</v>
      </c>
      <c r="E65" s="5">
        <f>IFERROR(3958.8*ACOS(MIN(1,MAX(-1,SIN(RADIANS('ZIP Coordinates'!$C$2))*SIN(RADIANS(INDEX('ZIP Coordinates'!$C:$C,MATCH($A65,'ZIP Coordinates'!$A:$A,0))))+COS(RADIANS('ZIP Coordinates'!$C$2))*COS(RADIANS(INDEX('ZIP Coordinates'!$C:$C,MATCH($A65,'ZIP Coordinates'!$A:$A,0))))*COS(RADIANS(INDEX('ZIP Coordinates'!$D:$D,MATCH($A65,'ZIP Coordinates'!$A:$A,0))-'ZIP Coordinates'!$D$2))))),"N/A")</f>
        <v>111.07664671588832</v>
      </c>
    </row>
    <row r="66" spans="1:5" x14ac:dyDescent="0.2">
      <c r="A66" s="3" t="s">
        <v>68</v>
      </c>
      <c r="B66" s="28">
        <f>SUMIF('Raw Data'!$A$2:$A$878,$A66,'Raw Data'!$I$2:$I$878)</f>
        <v>163</v>
      </c>
      <c r="C66" s="3">
        <f>COUNTIF('Raw Data'!$A:$A,$A66)</f>
        <v>3</v>
      </c>
      <c r="D66" s="3">
        <f>SUMPRODUCT((('Raw Data'!$A$2:$A$878=$A66)*1)/COUNTIFS('Raw Data'!$A$2:$A$878,'Raw Data'!$A$2:$A$878,'Raw Data'!$D$2:$D$878,'Raw Data'!$D$2:$D$878))</f>
        <v>1</v>
      </c>
      <c r="E66" s="5">
        <f>IFERROR(3958.8*ACOS(MIN(1,MAX(-1,SIN(RADIANS('ZIP Coordinates'!$C$2))*SIN(RADIANS(INDEX('ZIP Coordinates'!$C:$C,MATCH($A66,'ZIP Coordinates'!$A:$A,0))))+COS(RADIANS('ZIP Coordinates'!$C$2))*COS(RADIANS(INDEX('ZIP Coordinates'!$C:$C,MATCH($A66,'ZIP Coordinates'!$A:$A,0))))*COS(RADIANS(INDEX('ZIP Coordinates'!$D:$D,MATCH($A66,'ZIP Coordinates'!$A:$A,0))-'ZIP Coordinates'!$D$2))))),"N/A")</f>
        <v>132.56534466927377</v>
      </c>
    </row>
    <row r="67" spans="1:5" x14ac:dyDescent="0.2">
      <c r="A67" s="3" t="s">
        <v>69</v>
      </c>
      <c r="B67" s="28">
        <f>SUMIF('Raw Data'!$A$2:$A$878,$A67,'Raw Data'!$I$2:$I$878)</f>
        <v>4117</v>
      </c>
      <c r="C67" s="3">
        <f>COUNTIF('Raw Data'!$A:$A,$A67)</f>
        <v>17</v>
      </c>
      <c r="D67" s="3">
        <f>SUMPRODUCT((('Raw Data'!$A$2:$A$878=$A67)*1)/COUNTIFS('Raw Data'!$A$2:$A$878,'Raw Data'!$A$2:$A$878,'Raw Data'!$D$2:$D$878,'Raw Data'!$D$2:$D$878))</f>
        <v>6</v>
      </c>
      <c r="E67" s="5">
        <f>IFERROR(3958.8*ACOS(MIN(1,MAX(-1,SIN(RADIANS('ZIP Coordinates'!$C$2))*SIN(RADIANS(INDEX('ZIP Coordinates'!$C:$C,MATCH($A67,'ZIP Coordinates'!$A:$A,0))))+COS(RADIANS('ZIP Coordinates'!$C$2))*COS(RADIANS(INDEX('ZIP Coordinates'!$C:$C,MATCH($A67,'ZIP Coordinates'!$A:$A,0))))*COS(RADIANS(INDEX('ZIP Coordinates'!$D:$D,MATCH($A67,'ZIP Coordinates'!$A:$A,0))-'ZIP Coordinates'!$D$2))))),"N/A")</f>
        <v>163.41175188277882</v>
      </c>
    </row>
    <row r="68" spans="1:5" x14ac:dyDescent="0.2">
      <c r="A68" s="3" t="s">
        <v>70</v>
      </c>
      <c r="B68" s="28">
        <f>SUMIF('Raw Data'!$A$2:$A$878,$A68,'Raw Data'!$I$2:$I$878)</f>
        <v>116</v>
      </c>
      <c r="C68" s="3">
        <f>COUNTIF('Raw Data'!$A:$A,$A68)</f>
        <v>2</v>
      </c>
      <c r="D68" s="3">
        <f>SUMPRODUCT((('Raw Data'!$A$2:$A$878=$A68)*1)/COUNTIFS('Raw Data'!$A$2:$A$878,'Raw Data'!$A$2:$A$878,'Raw Data'!$D$2:$D$878,'Raw Data'!$D$2:$D$878))</f>
        <v>1</v>
      </c>
      <c r="E68" s="5">
        <f>IFERROR(3958.8*ACOS(MIN(1,MAX(-1,SIN(RADIANS('ZIP Coordinates'!$C$2))*SIN(RADIANS(INDEX('ZIP Coordinates'!$C:$C,MATCH($A68,'ZIP Coordinates'!$A:$A,0))))+COS(RADIANS('ZIP Coordinates'!$C$2))*COS(RADIANS(INDEX('ZIP Coordinates'!$C:$C,MATCH($A68,'ZIP Coordinates'!$A:$A,0))))*COS(RADIANS(INDEX('ZIP Coordinates'!$D:$D,MATCH($A68,'ZIP Coordinates'!$A:$A,0))-'ZIP Coordinates'!$D$2))))),"N/A")</f>
        <v>146.32544314254309</v>
      </c>
    </row>
    <row r="69" spans="1:5" x14ac:dyDescent="0.2">
      <c r="A69" s="3" t="s">
        <v>71</v>
      </c>
      <c r="B69" s="28">
        <f>SUMIF('Raw Data'!$A$2:$A$878,$A69,'Raw Data'!$I$2:$I$878)</f>
        <v>1182</v>
      </c>
      <c r="C69" s="3">
        <f>COUNTIF('Raw Data'!$A:$A,$A69)</f>
        <v>19</v>
      </c>
      <c r="D69" s="3">
        <f>SUMPRODUCT((('Raw Data'!$A$2:$A$878=$A69)*1)/COUNTIFS('Raw Data'!$A$2:$A$878,'Raw Data'!$A$2:$A$878,'Raw Data'!$D$2:$D$878,'Raw Data'!$D$2:$D$878))</f>
        <v>4.0000000000000018</v>
      </c>
      <c r="E69" s="5">
        <f>IFERROR(3958.8*ACOS(MIN(1,MAX(-1,SIN(RADIANS('ZIP Coordinates'!$C$2))*SIN(RADIANS(INDEX('ZIP Coordinates'!$C:$C,MATCH($A69,'ZIP Coordinates'!$A:$A,0))))+COS(RADIANS('ZIP Coordinates'!$C$2))*COS(RADIANS(INDEX('ZIP Coordinates'!$C:$C,MATCH($A69,'ZIP Coordinates'!$A:$A,0))))*COS(RADIANS(INDEX('ZIP Coordinates'!$D:$D,MATCH($A69,'ZIP Coordinates'!$A:$A,0))-'ZIP Coordinates'!$D$2))))),"N/A")</f>
        <v>150.27844379053917</v>
      </c>
    </row>
    <row r="70" spans="1:5" x14ac:dyDescent="0.2">
      <c r="A70" s="3" t="s">
        <v>72</v>
      </c>
      <c r="B70" s="28">
        <f>SUMIF('Raw Data'!$A$2:$A$878,$A70,'Raw Data'!$I$2:$I$878)</f>
        <v>5</v>
      </c>
      <c r="C70" s="3">
        <f>COUNTIF('Raw Data'!$A:$A,$A70)</f>
        <v>6</v>
      </c>
      <c r="D70" s="3">
        <f>SUMPRODUCT((('Raw Data'!$A$2:$A$878=$A70)*1)/COUNTIFS('Raw Data'!$A$2:$A$878,'Raw Data'!$A$2:$A$878,'Raw Data'!$D$2:$D$878,'Raw Data'!$D$2:$D$878))</f>
        <v>0.99999999999999989</v>
      </c>
      <c r="E70" s="5">
        <f>IFERROR(3958.8*ACOS(MIN(1,MAX(-1,SIN(RADIANS('ZIP Coordinates'!$C$2))*SIN(RADIANS(INDEX('ZIP Coordinates'!$C:$C,MATCH($A70,'ZIP Coordinates'!$A:$A,0))))+COS(RADIANS('ZIP Coordinates'!$C$2))*COS(RADIANS(INDEX('ZIP Coordinates'!$C:$C,MATCH($A70,'ZIP Coordinates'!$A:$A,0))))*COS(RADIANS(INDEX('ZIP Coordinates'!$D:$D,MATCH($A70,'ZIP Coordinates'!$A:$A,0))-'ZIP Coordinates'!$D$2))))),"N/A")</f>
        <v>145.42497486930591</v>
      </c>
    </row>
    <row r="71" spans="1:5" x14ac:dyDescent="0.2">
      <c r="A71" s="3" t="s">
        <v>73</v>
      </c>
      <c r="B71" s="28">
        <f>SUMIF('Raw Data'!$A$2:$A$878,$A71,'Raw Data'!$I$2:$I$878)</f>
        <v>2157</v>
      </c>
      <c r="C71" s="3">
        <f>COUNTIF('Raw Data'!$A:$A,$A71)</f>
        <v>11</v>
      </c>
      <c r="D71" s="3">
        <f>SUMPRODUCT((('Raw Data'!$A$2:$A$878=$A71)*1)/COUNTIFS('Raw Data'!$A$2:$A$878,'Raw Data'!$A$2:$A$878,'Raw Data'!$D$2:$D$878,'Raw Data'!$D$2:$D$878))</f>
        <v>7</v>
      </c>
      <c r="E71" s="5">
        <f>IFERROR(3958.8*ACOS(MIN(1,MAX(-1,SIN(RADIANS('ZIP Coordinates'!$C$2))*SIN(RADIANS(INDEX('ZIP Coordinates'!$C:$C,MATCH($A71,'ZIP Coordinates'!$A:$A,0))))+COS(RADIANS('ZIP Coordinates'!$C$2))*COS(RADIANS(INDEX('ZIP Coordinates'!$C:$C,MATCH($A71,'ZIP Coordinates'!$A:$A,0))))*COS(RADIANS(INDEX('ZIP Coordinates'!$D:$D,MATCH($A71,'ZIP Coordinates'!$A:$A,0))-'ZIP Coordinates'!$D$2))))),"N/A")</f>
        <v>142.69042239079656</v>
      </c>
    </row>
    <row r="72" spans="1:5" x14ac:dyDescent="0.2">
      <c r="A72" s="3" t="s">
        <v>74</v>
      </c>
      <c r="B72" s="28">
        <f>SUMIF('Raw Data'!$A$2:$A$878,$A72,'Raw Data'!$I$2:$I$878)</f>
        <v>175</v>
      </c>
      <c r="C72" s="3">
        <f>COUNTIF('Raw Data'!$A:$A,$A72)</f>
        <v>2</v>
      </c>
      <c r="D72" s="3">
        <f>SUMPRODUCT((('Raw Data'!$A$2:$A$878=$A72)*1)/COUNTIFS('Raw Data'!$A$2:$A$878,'Raw Data'!$A$2:$A$878,'Raw Data'!$D$2:$D$878,'Raw Data'!$D$2:$D$878))</f>
        <v>2</v>
      </c>
      <c r="E72" s="5">
        <f>IFERROR(3958.8*ACOS(MIN(1,MAX(-1,SIN(RADIANS('ZIP Coordinates'!$C$2))*SIN(RADIANS(INDEX('ZIP Coordinates'!$C:$C,MATCH($A72,'ZIP Coordinates'!$A:$A,0))))+COS(RADIANS('ZIP Coordinates'!$C$2))*COS(RADIANS(INDEX('ZIP Coordinates'!$C:$C,MATCH($A72,'ZIP Coordinates'!$A:$A,0))))*COS(RADIANS(INDEX('ZIP Coordinates'!$D:$D,MATCH($A72,'ZIP Coordinates'!$A:$A,0))-'ZIP Coordinates'!$D$2))))),"N/A")</f>
        <v>155.35376445370031</v>
      </c>
    </row>
    <row r="73" spans="1:5" x14ac:dyDescent="0.2">
      <c r="A73" s="3" t="s">
        <v>75</v>
      </c>
      <c r="B73" s="28">
        <f>SUMIF('Raw Data'!$A$2:$A$878,$A73,'Raw Data'!$I$2:$I$878)</f>
        <v>572</v>
      </c>
      <c r="C73" s="3">
        <f>COUNTIF('Raw Data'!$A:$A,$A73)</f>
        <v>17</v>
      </c>
      <c r="D73" s="3">
        <f>SUMPRODUCT((('Raw Data'!$A$2:$A$878=$A73)*1)/COUNTIFS('Raw Data'!$A$2:$A$878,'Raw Data'!$A$2:$A$878,'Raw Data'!$D$2:$D$878,'Raw Data'!$D$2:$D$878))</f>
        <v>2</v>
      </c>
      <c r="E73" s="5">
        <f>IFERROR(3958.8*ACOS(MIN(1,MAX(-1,SIN(RADIANS('ZIP Coordinates'!$C$2))*SIN(RADIANS(INDEX('ZIP Coordinates'!$C:$C,MATCH($A73,'ZIP Coordinates'!$A:$A,0))))+COS(RADIANS('ZIP Coordinates'!$C$2))*COS(RADIANS(INDEX('ZIP Coordinates'!$C:$C,MATCH($A73,'ZIP Coordinates'!$A:$A,0))))*COS(RADIANS(INDEX('ZIP Coordinates'!$D:$D,MATCH($A73,'ZIP Coordinates'!$A:$A,0))-'ZIP Coordinates'!$D$2))))),"N/A")</f>
        <v>138.87185285994119</v>
      </c>
    </row>
    <row r="74" spans="1:5" x14ac:dyDescent="0.2">
      <c r="A74" s="3" t="s">
        <v>76</v>
      </c>
      <c r="B74" s="28">
        <f>SUMIF('Raw Data'!$A$2:$A$878,$A74,'Raw Data'!$I$2:$I$878)</f>
        <v>897</v>
      </c>
      <c r="C74" s="3">
        <f>COUNTIF('Raw Data'!$A:$A,$A74)</f>
        <v>7</v>
      </c>
      <c r="D74" s="3">
        <f>SUMPRODUCT((('Raw Data'!$A$2:$A$878=$A74)*1)/COUNTIFS('Raw Data'!$A$2:$A$878,'Raw Data'!$A$2:$A$878,'Raw Data'!$D$2:$D$878,'Raw Data'!$D$2:$D$878))</f>
        <v>0.99999999999999978</v>
      </c>
      <c r="E74" s="5">
        <f>IFERROR(3958.8*ACOS(MIN(1,MAX(-1,SIN(RADIANS('ZIP Coordinates'!$C$2))*SIN(RADIANS(INDEX('ZIP Coordinates'!$C:$C,MATCH($A74,'ZIP Coordinates'!$A:$A,0))))+COS(RADIANS('ZIP Coordinates'!$C$2))*COS(RADIANS(INDEX('ZIP Coordinates'!$C:$C,MATCH($A74,'ZIP Coordinates'!$A:$A,0))))*COS(RADIANS(INDEX('ZIP Coordinates'!$D:$D,MATCH($A74,'ZIP Coordinates'!$A:$A,0))-'ZIP Coordinates'!$D$2))))),"N/A")</f>
        <v>143.5354957173447</v>
      </c>
    </row>
    <row r="75" spans="1:5" x14ac:dyDescent="0.2">
      <c r="A75" s="3" t="s">
        <v>77</v>
      </c>
      <c r="B75" s="28">
        <f>SUMIF('Raw Data'!$A$2:$A$878,$A75,'Raw Data'!$I$2:$I$878)</f>
        <v>427</v>
      </c>
      <c r="C75" s="3">
        <f>COUNTIF('Raw Data'!$A:$A,$A75)</f>
        <v>3</v>
      </c>
      <c r="D75" s="3">
        <f>SUMPRODUCT((('Raw Data'!$A$2:$A$878=$A75)*1)/COUNTIFS('Raw Data'!$A$2:$A$878,'Raw Data'!$A$2:$A$878,'Raw Data'!$D$2:$D$878,'Raw Data'!$D$2:$D$878))</f>
        <v>1</v>
      </c>
      <c r="E75" s="5">
        <f>IFERROR(3958.8*ACOS(MIN(1,MAX(-1,SIN(RADIANS('ZIP Coordinates'!$C$2))*SIN(RADIANS(INDEX('ZIP Coordinates'!$C:$C,MATCH($A75,'ZIP Coordinates'!$A:$A,0))))+COS(RADIANS('ZIP Coordinates'!$C$2))*COS(RADIANS(INDEX('ZIP Coordinates'!$C:$C,MATCH($A75,'ZIP Coordinates'!$A:$A,0))))*COS(RADIANS(INDEX('ZIP Coordinates'!$D:$D,MATCH($A75,'ZIP Coordinates'!$A:$A,0))-'ZIP Coordinates'!$D$2))))),"N/A")</f>
        <v>165.61057241009127</v>
      </c>
    </row>
    <row r="76" spans="1:5" x14ac:dyDescent="0.2">
      <c r="A76" s="3" t="s">
        <v>78</v>
      </c>
      <c r="B76" s="28">
        <f>SUMIF('Raw Data'!$A$2:$A$878,$A76,'Raw Data'!$I$2:$I$878)</f>
        <v>16506</v>
      </c>
      <c r="C76" s="3">
        <f>COUNTIF('Raw Data'!$A:$A,$A76)</f>
        <v>16</v>
      </c>
      <c r="D76" s="3">
        <f>SUMPRODUCT((('Raw Data'!$A$2:$A$878=$A76)*1)/COUNTIFS('Raw Data'!$A$2:$A$878,'Raw Data'!$A$2:$A$878,'Raw Data'!$D$2:$D$878,'Raw Data'!$D$2:$D$878))</f>
        <v>4.0000000000000018</v>
      </c>
      <c r="E76" s="5">
        <f>IFERROR(3958.8*ACOS(MIN(1,MAX(-1,SIN(RADIANS('ZIP Coordinates'!$C$2))*SIN(RADIANS(INDEX('ZIP Coordinates'!$C:$C,MATCH($A76,'ZIP Coordinates'!$A:$A,0))))+COS(RADIANS('ZIP Coordinates'!$C$2))*COS(RADIANS(INDEX('ZIP Coordinates'!$C:$C,MATCH($A76,'ZIP Coordinates'!$A:$A,0))))*COS(RADIANS(INDEX('ZIP Coordinates'!$D:$D,MATCH($A76,'ZIP Coordinates'!$A:$A,0))-'ZIP Coordinates'!$D$2))))),"N/A")</f>
        <v>142.88957686050676</v>
      </c>
    </row>
    <row r="77" spans="1:5" x14ac:dyDescent="0.2">
      <c r="A77" s="3" t="s">
        <v>79</v>
      </c>
      <c r="B77" s="28">
        <f>SUMIF('Raw Data'!$A$2:$A$878,$A77,'Raw Data'!$I$2:$I$878)</f>
        <v>442</v>
      </c>
      <c r="C77" s="3">
        <f>COUNTIF('Raw Data'!$A:$A,$A77)</f>
        <v>10</v>
      </c>
      <c r="D77" s="3">
        <f>SUMPRODUCT((('Raw Data'!$A$2:$A$878=$A77)*1)/COUNTIFS('Raw Data'!$A$2:$A$878,'Raw Data'!$A$2:$A$878,'Raw Data'!$D$2:$D$878,'Raw Data'!$D$2:$D$878))</f>
        <v>0.99999999999999989</v>
      </c>
      <c r="E77" s="5">
        <f>IFERROR(3958.8*ACOS(MIN(1,MAX(-1,SIN(RADIANS('ZIP Coordinates'!$C$2))*SIN(RADIANS(INDEX('ZIP Coordinates'!$C:$C,MATCH($A77,'ZIP Coordinates'!$A:$A,0))))+COS(RADIANS('ZIP Coordinates'!$C$2))*COS(RADIANS(INDEX('ZIP Coordinates'!$C:$C,MATCH($A77,'ZIP Coordinates'!$A:$A,0))))*COS(RADIANS(INDEX('ZIP Coordinates'!$D:$D,MATCH($A77,'ZIP Coordinates'!$A:$A,0))-'ZIP Coordinates'!$D$2))))),"N/A")</f>
        <v>158.22480756180738</v>
      </c>
    </row>
    <row r="78" spans="1:5" x14ac:dyDescent="0.2">
      <c r="A78" s="3" t="s">
        <v>80</v>
      </c>
      <c r="B78" s="28">
        <f>SUMIF('Raw Data'!$A$2:$A$878,$A78,'Raw Data'!$I$2:$I$878)</f>
        <v>2</v>
      </c>
      <c r="C78" s="3">
        <f>COUNTIF('Raw Data'!$A:$A,$A78)</f>
        <v>1</v>
      </c>
      <c r="D78" s="3">
        <f>SUMPRODUCT((('Raw Data'!$A$2:$A$878=$A78)*1)/COUNTIFS('Raw Data'!$A$2:$A$878,'Raw Data'!$A$2:$A$878,'Raw Data'!$D$2:$D$878,'Raw Data'!$D$2:$D$878))</f>
        <v>1</v>
      </c>
      <c r="E78" s="5">
        <f>IFERROR(3958.8*ACOS(MIN(1,MAX(-1,SIN(RADIANS('ZIP Coordinates'!$C$2))*SIN(RADIANS(INDEX('ZIP Coordinates'!$C:$C,MATCH($A78,'ZIP Coordinates'!$A:$A,0))))+COS(RADIANS('ZIP Coordinates'!$C$2))*COS(RADIANS(INDEX('ZIP Coordinates'!$C:$C,MATCH($A78,'ZIP Coordinates'!$A:$A,0))))*COS(RADIANS(INDEX('ZIP Coordinates'!$D:$D,MATCH($A78,'ZIP Coordinates'!$A:$A,0))-'ZIP Coordinates'!$D$2))))),"N/A")</f>
        <v>54.327724837201501</v>
      </c>
    </row>
    <row r="79" spans="1:5" x14ac:dyDescent="0.2">
      <c r="A79" s="3" t="s">
        <v>81</v>
      </c>
      <c r="B79" s="28">
        <f>SUMIF('Raw Data'!$A$2:$A$878,$A79,'Raw Data'!$I$2:$I$878)</f>
        <v>1</v>
      </c>
      <c r="C79" s="3">
        <f>COUNTIF('Raw Data'!$A:$A,$A79)</f>
        <v>1</v>
      </c>
      <c r="D79" s="3">
        <f>SUMPRODUCT((('Raw Data'!$A$2:$A$878=$A79)*1)/COUNTIFS('Raw Data'!$A$2:$A$878,'Raw Data'!$A$2:$A$878,'Raw Data'!$D$2:$D$878,'Raw Data'!$D$2:$D$878))</f>
        <v>1</v>
      </c>
      <c r="E79" s="5">
        <f>IFERROR(3958.8*ACOS(MIN(1,MAX(-1,SIN(RADIANS('ZIP Coordinates'!$C$2))*SIN(RADIANS(INDEX('ZIP Coordinates'!$C:$C,MATCH($A79,'ZIP Coordinates'!$A:$A,0))))+COS(RADIANS('ZIP Coordinates'!$C$2))*COS(RADIANS(INDEX('ZIP Coordinates'!$C:$C,MATCH($A79,'ZIP Coordinates'!$A:$A,0))))*COS(RADIANS(INDEX('ZIP Coordinates'!$D:$D,MATCH($A79,'ZIP Coordinates'!$A:$A,0))-'ZIP Coordinates'!$D$2))))),"N/A")</f>
        <v>51.625328270759461</v>
      </c>
    </row>
    <row r="80" spans="1:5" x14ac:dyDescent="0.2">
      <c r="A80" s="3" t="s">
        <v>82</v>
      </c>
      <c r="B80" s="28">
        <f>SUMIF('Raw Data'!$A$2:$A$878,$A80,'Raw Data'!$I$2:$I$878)</f>
        <v>922</v>
      </c>
      <c r="C80" s="3">
        <f>COUNTIF('Raw Data'!$A:$A,$A80)</f>
        <v>30</v>
      </c>
      <c r="D80" s="3">
        <f>SUMPRODUCT((('Raw Data'!$A$2:$A$878=$A80)*1)/COUNTIFS('Raw Data'!$A$2:$A$878,'Raw Data'!$A$2:$A$878,'Raw Data'!$D$2:$D$878,'Raw Data'!$D$2:$D$878))</f>
        <v>0.99999999999999989</v>
      </c>
      <c r="E80" s="5" t="str">
        <f>IFERROR(3958.8*ACOS(MIN(1,MAX(-1,SIN(RADIANS('ZIP Coordinates'!$C$2))*SIN(RADIANS(INDEX('ZIP Coordinates'!$C:$C,MATCH($A80,'ZIP Coordinates'!$A:$A,0))))+COS(RADIANS('ZIP Coordinates'!$C$2))*COS(RADIANS(INDEX('ZIP Coordinates'!$C:$C,MATCH($A80,'ZIP Coordinates'!$A:$A,0))))*COS(RADIANS(INDEX('ZIP Coordinates'!$D:$D,MATCH($A80,'ZIP Coordinates'!$A:$A,0))-'ZIP Coordinates'!$D$2))))),"N/A")</f>
        <v>N/A</v>
      </c>
    </row>
    <row r="81" spans="1:5" x14ac:dyDescent="0.2">
      <c r="A81" s="3" t="s">
        <v>83</v>
      </c>
      <c r="B81" s="28">
        <f>SUMIF('Raw Data'!$A$2:$A$878,$A81,'Raw Data'!$I$2:$I$878)</f>
        <v>20</v>
      </c>
      <c r="C81" s="3">
        <f>COUNTIF('Raw Data'!$A:$A,$A81)</f>
        <v>20</v>
      </c>
      <c r="D81" s="3">
        <f>SUMPRODUCT((('Raw Data'!$A$2:$A$878=$A81)*1)/COUNTIFS('Raw Data'!$A$2:$A$878,'Raw Data'!$A$2:$A$878,'Raw Data'!$D$2:$D$878,'Raw Data'!$D$2:$D$878))</f>
        <v>1.0000000000000002</v>
      </c>
      <c r="E81" s="5">
        <f>IFERROR(3958.8*ACOS(MIN(1,MAX(-1,SIN(RADIANS('ZIP Coordinates'!$C$2))*SIN(RADIANS(INDEX('ZIP Coordinates'!$C:$C,MATCH($A81,'ZIP Coordinates'!$A:$A,0))))+COS(RADIANS('ZIP Coordinates'!$C$2))*COS(RADIANS(INDEX('ZIP Coordinates'!$C:$C,MATCH($A81,'ZIP Coordinates'!$A:$A,0))))*COS(RADIANS(INDEX('ZIP Coordinates'!$D:$D,MATCH($A81,'ZIP Coordinates'!$A:$A,0))-'ZIP Coordinates'!$D$2))))),"N/A")</f>
        <v>526.42488594533438</v>
      </c>
    </row>
    <row r="82" spans="1:5" x14ac:dyDescent="0.2">
      <c r="A82" s="6" t="s">
        <v>84</v>
      </c>
      <c r="B82" s="29">
        <f>SUMIF('Raw Data'!$A$2:$A$878,$A82,'Raw Data'!$I$2:$I$878)</f>
        <v>0</v>
      </c>
      <c r="C82" s="6">
        <f>SUM(C2:C81)</f>
        <v>877</v>
      </c>
      <c r="D82" s="8"/>
      <c r="E82" s="8"/>
    </row>
    <row r="83" spans="1:5" x14ac:dyDescent="0.2">
      <c r="B83" s="30">
        <f>SUMIF('Raw Data'!$A$2:$A$878,$A83,'Raw Data'!$I$2:$I$878)</f>
        <v>0</v>
      </c>
    </row>
    <row r="84" spans="1:5" x14ac:dyDescent="0.2">
      <c r="A84" s="1" t="s">
        <v>85</v>
      </c>
      <c r="B84" s="31"/>
      <c r="C84" s="1"/>
      <c r="D84" s="1"/>
      <c r="E84" s="1"/>
    </row>
  </sheetData>
  <autoFilter ref="A1:E81" xr:uid="{00000000-0009-0000-0000-000000000000}"/>
  <mergeCells count="1">
    <mergeCell ref="A84:E8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9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640625" defaultRowHeight="15" x14ac:dyDescent="0.2"/>
  <cols>
    <col min="1" max="1" width="20" customWidth="1"/>
    <col min="2" max="2" width="26" customWidth="1"/>
    <col min="3" max="3" width="20" customWidth="1"/>
    <col min="4" max="4" width="24" customWidth="1"/>
    <col min="5" max="5" width="62" customWidth="1"/>
  </cols>
  <sheetData>
    <row r="1" spans="1:5" ht="28" x14ac:dyDescent="0.2">
      <c r="A1" s="2" t="s">
        <v>86</v>
      </c>
      <c r="B1" s="2" t="s">
        <v>0</v>
      </c>
      <c r="C1" s="2" t="s">
        <v>394</v>
      </c>
      <c r="D1" s="2" t="s">
        <v>3</v>
      </c>
      <c r="E1" s="2" t="s">
        <v>87</v>
      </c>
    </row>
    <row r="2" spans="1:5" x14ac:dyDescent="0.2">
      <c r="A2" s="3" t="s">
        <v>88</v>
      </c>
      <c r="B2" s="3" t="s">
        <v>7</v>
      </c>
      <c r="C2" s="28">
        <f>SUMIF('Raw Data'!$D$2:$D$878,$A2,'Raw Data'!$I$2:$I$878)</f>
        <v>102577</v>
      </c>
      <c r="D2" s="5">
        <f>IFERROR(3958.8*ACOS(MIN(1,MAX(-1,SIN(RADIANS('ZIP Coordinates'!$C$2))*SIN(RADIANS(INDEX('ZIP Coordinates'!$C:$C,MATCH($B2,'ZIP Coordinates'!$A:$A,0))))+COS(RADIANS('ZIP Coordinates'!$C$2))*COS(RADIANS(INDEX('ZIP Coordinates'!$C:$C,MATCH($B2,'ZIP Coordinates'!$A:$A,0))))*COS(RADIANS(INDEX('ZIP Coordinates'!$D:$D,MATCH($B2,'ZIP Coordinates'!$A:$A,0))-'ZIP Coordinates'!$D$2))))),"N/A")</f>
        <v>186.92635409257193</v>
      </c>
      <c r="E2" s="10"/>
    </row>
    <row r="3" spans="1:5" x14ac:dyDescent="0.2">
      <c r="A3" s="3" t="s">
        <v>89</v>
      </c>
      <c r="B3" s="3" t="s">
        <v>17</v>
      </c>
      <c r="C3" s="28">
        <f>SUMIF('Raw Data'!$D$2:$D$878,$A3,'Raw Data'!$I$2:$I$878)</f>
        <v>2346</v>
      </c>
      <c r="D3" s="5">
        <f>IFERROR(3958.8*ACOS(MIN(1,MAX(-1,SIN(RADIANS('ZIP Coordinates'!$C$2))*SIN(RADIANS(INDEX('ZIP Coordinates'!$C:$C,MATCH($B3,'ZIP Coordinates'!$A:$A,0))))+COS(RADIANS('ZIP Coordinates'!$C$2))*COS(RADIANS(INDEX('ZIP Coordinates'!$C:$C,MATCH($B3,'ZIP Coordinates'!$A:$A,0))))*COS(RADIANS(INDEX('ZIP Coordinates'!$D:$D,MATCH($B3,'ZIP Coordinates'!$A:$A,0))-'ZIP Coordinates'!$D$2))))),"N/A")</f>
        <v>161.35890377274785</v>
      </c>
      <c r="E3" s="10"/>
    </row>
    <row r="4" spans="1:5" x14ac:dyDescent="0.2">
      <c r="A4" s="3" t="s">
        <v>90</v>
      </c>
      <c r="B4" s="3" t="s">
        <v>22</v>
      </c>
      <c r="C4" s="28">
        <f>SUMIF('Raw Data'!$D$2:$D$878,$A4,'Raw Data'!$I$2:$I$878)</f>
        <v>2138</v>
      </c>
      <c r="D4" s="5">
        <f>IFERROR(3958.8*ACOS(MIN(1,MAX(-1,SIN(RADIANS('ZIP Coordinates'!$C$2))*SIN(RADIANS(INDEX('ZIP Coordinates'!$C:$C,MATCH($B4,'ZIP Coordinates'!$A:$A,0))))+COS(RADIANS('ZIP Coordinates'!$C$2))*COS(RADIANS(INDEX('ZIP Coordinates'!$C:$C,MATCH($B4,'ZIP Coordinates'!$A:$A,0))))*COS(RADIANS(INDEX('ZIP Coordinates'!$D:$D,MATCH($B4,'ZIP Coordinates'!$A:$A,0))-'ZIP Coordinates'!$D$2))))),"N/A")</f>
        <v>167.59263571775259</v>
      </c>
      <c r="E4" s="10"/>
    </row>
    <row r="5" spans="1:5" x14ac:dyDescent="0.2">
      <c r="A5" s="3" t="s">
        <v>91</v>
      </c>
      <c r="B5" s="3" t="s">
        <v>33</v>
      </c>
      <c r="C5" s="28">
        <f>SUMIF('Raw Data'!$D$2:$D$878,$A5,'Raw Data'!$I$2:$I$878)</f>
        <v>1552</v>
      </c>
      <c r="D5" s="5">
        <f>IFERROR(3958.8*ACOS(MIN(1,MAX(-1,SIN(RADIANS('ZIP Coordinates'!$C$2))*SIN(RADIANS(INDEX('ZIP Coordinates'!$C:$C,MATCH($B5,'ZIP Coordinates'!$A:$A,0))))+COS(RADIANS('ZIP Coordinates'!$C$2))*COS(RADIANS(INDEX('ZIP Coordinates'!$C:$C,MATCH($B5,'ZIP Coordinates'!$A:$A,0))))*COS(RADIANS(INDEX('ZIP Coordinates'!$D:$D,MATCH($B5,'ZIP Coordinates'!$A:$A,0))-'ZIP Coordinates'!$D$2))))),"N/A")</f>
        <v>164.84247716245491</v>
      </c>
      <c r="E5" s="10"/>
    </row>
    <row r="6" spans="1:5" x14ac:dyDescent="0.2">
      <c r="A6" s="3" t="s">
        <v>92</v>
      </c>
      <c r="B6" s="3" t="s">
        <v>45</v>
      </c>
      <c r="C6" s="28">
        <f>SUMIF('Raw Data'!$D$2:$D$878,$A6,'Raw Data'!$I$2:$I$878)</f>
        <v>1370</v>
      </c>
      <c r="D6" s="5">
        <f>IFERROR(3958.8*ACOS(MIN(1,MAX(-1,SIN(RADIANS('ZIP Coordinates'!$C$2))*SIN(RADIANS(INDEX('ZIP Coordinates'!$C:$C,MATCH($B6,'ZIP Coordinates'!$A:$A,0))))+COS(RADIANS('ZIP Coordinates'!$C$2))*COS(RADIANS(INDEX('ZIP Coordinates'!$C:$C,MATCH($B6,'ZIP Coordinates'!$A:$A,0))))*COS(RADIANS(INDEX('ZIP Coordinates'!$D:$D,MATCH($B6,'ZIP Coordinates'!$A:$A,0))-'ZIP Coordinates'!$D$2))))),"N/A")</f>
        <v>183.03432908103485</v>
      </c>
      <c r="E6" s="10"/>
    </row>
    <row r="7" spans="1:5" x14ac:dyDescent="0.2">
      <c r="A7" s="3" t="s">
        <v>93</v>
      </c>
      <c r="B7" s="3" t="s">
        <v>15</v>
      </c>
      <c r="C7" s="28">
        <f>SUMIF('Raw Data'!$D$2:$D$878,$A7,'Raw Data'!$I$2:$I$878)</f>
        <v>1398</v>
      </c>
      <c r="D7" s="5">
        <f>IFERROR(3958.8*ACOS(MIN(1,MAX(-1,SIN(RADIANS('ZIP Coordinates'!$C$2))*SIN(RADIANS(INDEX('ZIP Coordinates'!$C:$C,MATCH($B7,'ZIP Coordinates'!$A:$A,0))))+COS(RADIANS('ZIP Coordinates'!$C$2))*COS(RADIANS(INDEX('ZIP Coordinates'!$C:$C,MATCH($B7,'ZIP Coordinates'!$A:$A,0))))*COS(RADIANS(INDEX('ZIP Coordinates'!$D:$D,MATCH($B7,'ZIP Coordinates'!$A:$A,0))-'ZIP Coordinates'!$D$2))))),"N/A")</f>
        <v>173.39844145979413</v>
      </c>
      <c r="E7" s="10"/>
    </row>
    <row r="8" spans="1:5" x14ac:dyDescent="0.2">
      <c r="A8" s="3" t="s">
        <v>94</v>
      </c>
      <c r="B8" s="3" t="s">
        <v>78</v>
      </c>
      <c r="C8" s="28">
        <f>SUMIF('Raw Data'!$D$2:$D$878,$A8,'Raw Data'!$I$2:$I$878)</f>
        <v>8830</v>
      </c>
      <c r="D8" s="5">
        <f>IFERROR(3958.8*ACOS(MIN(1,MAX(-1,SIN(RADIANS('ZIP Coordinates'!$C$2))*SIN(RADIANS(INDEX('ZIP Coordinates'!$C:$C,MATCH($B8,'ZIP Coordinates'!$A:$A,0))))+COS(RADIANS('ZIP Coordinates'!$C$2))*COS(RADIANS(INDEX('ZIP Coordinates'!$C:$C,MATCH($B8,'ZIP Coordinates'!$A:$A,0))))*COS(RADIANS(INDEX('ZIP Coordinates'!$D:$D,MATCH($B8,'ZIP Coordinates'!$A:$A,0))-'ZIP Coordinates'!$D$2))))),"N/A")</f>
        <v>142.88957686050676</v>
      </c>
      <c r="E8" s="10"/>
    </row>
    <row r="9" spans="1:5" x14ac:dyDescent="0.2">
      <c r="A9" s="3" t="s">
        <v>95</v>
      </c>
      <c r="B9" s="3" t="s">
        <v>19</v>
      </c>
      <c r="C9" s="28">
        <f>SUMIF('Raw Data'!$D$2:$D$878,$A9,'Raw Data'!$I$2:$I$878)</f>
        <v>2575</v>
      </c>
      <c r="D9" s="5">
        <f>IFERROR(3958.8*ACOS(MIN(1,MAX(-1,SIN(RADIANS('ZIP Coordinates'!$C$2))*SIN(RADIANS(INDEX('ZIP Coordinates'!$C:$C,MATCH($B9,'ZIP Coordinates'!$A:$A,0))))+COS(RADIANS('ZIP Coordinates'!$C$2))*COS(RADIANS(INDEX('ZIP Coordinates'!$C:$C,MATCH($B9,'ZIP Coordinates'!$A:$A,0))))*COS(RADIANS(INDEX('ZIP Coordinates'!$D:$D,MATCH($B9,'ZIP Coordinates'!$A:$A,0))-'ZIP Coordinates'!$D$2))))),"N/A")</f>
        <v>159.71109490437146</v>
      </c>
      <c r="E9" s="10"/>
    </row>
    <row r="10" spans="1:5" x14ac:dyDescent="0.2">
      <c r="A10" s="3" t="s">
        <v>96</v>
      </c>
      <c r="B10" s="3" t="s">
        <v>6</v>
      </c>
      <c r="C10" s="28">
        <f>SUMIF('Raw Data'!$D$2:$D$878,$A10,'Raw Data'!$I$2:$I$878)</f>
        <v>3149</v>
      </c>
      <c r="D10" s="5">
        <f>IFERROR(3958.8*ACOS(MIN(1,MAX(-1,SIN(RADIANS('ZIP Coordinates'!$C$2))*SIN(RADIANS(INDEX('ZIP Coordinates'!$C:$C,MATCH($B10,'ZIP Coordinates'!$A:$A,0))))+COS(RADIANS('ZIP Coordinates'!$C$2))*COS(RADIANS(INDEX('ZIP Coordinates'!$C:$C,MATCH($B10,'ZIP Coordinates'!$A:$A,0))))*COS(RADIANS(INDEX('ZIP Coordinates'!$D:$D,MATCH($B10,'ZIP Coordinates'!$A:$A,0))-'ZIP Coordinates'!$D$2))))),"N/A")</f>
        <v>170.00670451695677</v>
      </c>
      <c r="E10" s="10"/>
    </row>
    <row r="11" spans="1:5" x14ac:dyDescent="0.2">
      <c r="A11" s="3" t="s">
        <v>97</v>
      </c>
      <c r="B11" s="3" t="s">
        <v>10</v>
      </c>
      <c r="C11" s="28">
        <f>SUMIF('Raw Data'!$D$2:$D$878,$A11,'Raw Data'!$I$2:$I$878)</f>
        <v>1063</v>
      </c>
      <c r="D11" s="5">
        <f>IFERROR(3958.8*ACOS(MIN(1,MAX(-1,SIN(RADIANS('ZIP Coordinates'!$C$2))*SIN(RADIANS(INDEX('ZIP Coordinates'!$C:$C,MATCH($B11,'ZIP Coordinates'!$A:$A,0))))+COS(RADIANS('ZIP Coordinates'!$C$2))*COS(RADIANS(INDEX('ZIP Coordinates'!$C:$C,MATCH($B11,'ZIP Coordinates'!$A:$A,0))))*COS(RADIANS(INDEX('ZIP Coordinates'!$D:$D,MATCH($B11,'ZIP Coordinates'!$A:$A,0))-'ZIP Coordinates'!$D$2))))),"N/A")</f>
        <v>165.79391068473419</v>
      </c>
      <c r="E11" s="10"/>
    </row>
    <row r="12" spans="1:5" x14ac:dyDescent="0.2">
      <c r="A12" s="3" t="s">
        <v>98</v>
      </c>
      <c r="B12" s="3" t="s">
        <v>4</v>
      </c>
      <c r="C12" s="28">
        <f>SUMIF('Raw Data'!$D$2:$D$878,$A12,'Raw Data'!$I$2:$I$878)</f>
        <v>872</v>
      </c>
      <c r="D12" s="5" t="str">
        <f>IFERROR(3958.8*ACOS(MIN(1,MAX(-1,SIN(RADIANS('ZIP Coordinates'!$C$2))*SIN(RADIANS(INDEX('ZIP Coordinates'!$C:$C,MATCH($B12,'ZIP Coordinates'!$A:$A,0))))+COS(RADIANS('ZIP Coordinates'!$C$2))*COS(RADIANS(INDEX('ZIP Coordinates'!$C:$C,MATCH($B12,'ZIP Coordinates'!$A:$A,0))))*COS(RADIANS(INDEX('ZIP Coordinates'!$D:$D,MATCH($B12,'ZIP Coordinates'!$A:$A,0))-'ZIP Coordinates'!$D$2))))),"N/A")</f>
        <v>N/A</v>
      </c>
      <c r="E12" s="10"/>
    </row>
    <row r="13" spans="1:5" x14ac:dyDescent="0.2">
      <c r="A13" s="3" t="s">
        <v>99</v>
      </c>
      <c r="B13" s="3" t="s">
        <v>78</v>
      </c>
      <c r="C13" s="28">
        <f>SUMIF('Raw Data'!$D$2:$D$878,$A13,'Raw Data'!$I$2:$I$878)</f>
        <v>7524</v>
      </c>
      <c r="D13" s="5">
        <f>IFERROR(3958.8*ACOS(MIN(1,MAX(-1,SIN(RADIANS('ZIP Coordinates'!$C$2))*SIN(RADIANS(INDEX('ZIP Coordinates'!$C:$C,MATCH($B13,'ZIP Coordinates'!$A:$A,0))))+COS(RADIANS('ZIP Coordinates'!$C$2))*COS(RADIANS(INDEX('ZIP Coordinates'!$C:$C,MATCH($B13,'ZIP Coordinates'!$A:$A,0))))*COS(RADIANS(INDEX('ZIP Coordinates'!$D:$D,MATCH($B13,'ZIP Coordinates'!$A:$A,0))-'ZIP Coordinates'!$D$2))))),"N/A")</f>
        <v>142.88957686050676</v>
      </c>
      <c r="E13" s="10"/>
    </row>
    <row r="14" spans="1:5" x14ac:dyDescent="0.2">
      <c r="A14" s="3" t="s">
        <v>100</v>
      </c>
      <c r="B14" s="3" t="s">
        <v>35</v>
      </c>
      <c r="C14" s="28">
        <f>SUMIF('Raw Data'!$D$2:$D$878,$A14,'Raw Data'!$I$2:$I$878)</f>
        <v>2891</v>
      </c>
      <c r="D14" s="5">
        <f>IFERROR(3958.8*ACOS(MIN(1,MAX(-1,SIN(RADIANS('ZIP Coordinates'!$C$2))*SIN(RADIANS(INDEX('ZIP Coordinates'!$C:$C,MATCH($B14,'ZIP Coordinates'!$A:$A,0))))+COS(RADIANS('ZIP Coordinates'!$C$2))*COS(RADIANS(INDEX('ZIP Coordinates'!$C:$C,MATCH($B14,'ZIP Coordinates'!$A:$A,0))))*COS(RADIANS(INDEX('ZIP Coordinates'!$D:$D,MATCH($B14,'ZIP Coordinates'!$A:$A,0))-'ZIP Coordinates'!$D$2))))),"N/A")</f>
        <v>144.62058702086327</v>
      </c>
      <c r="E14" s="10"/>
    </row>
    <row r="15" spans="1:5" x14ac:dyDescent="0.2">
      <c r="A15" s="3" t="s">
        <v>101</v>
      </c>
      <c r="B15" s="3" t="s">
        <v>4</v>
      </c>
      <c r="C15" s="28">
        <f>SUMIF('Raw Data'!$D$2:$D$878,$A15,'Raw Data'!$I$2:$I$878)</f>
        <v>1337</v>
      </c>
      <c r="D15" s="5" t="str">
        <f>IFERROR(3958.8*ACOS(MIN(1,MAX(-1,SIN(RADIANS('ZIP Coordinates'!$C$2))*SIN(RADIANS(INDEX('ZIP Coordinates'!$C:$C,MATCH($B15,'ZIP Coordinates'!$A:$A,0))))+COS(RADIANS('ZIP Coordinates'!$C$2))*COS(RADIANS(INDEX('ZIP Coordinates'!$C:$C,MATCH($B15,'ZIP Coordinates'!$A:$A,0))))*COS(RADIANS(INDEX('ZIP Coordinates'!$D:$D,MATCH($B15,'ZIP Coordinates'!$A:$A,0))-'ZIP Coordinates'!$D$2))))),"N/A")</f>
        <v>N/A</v>
      </c>
      <c r="E15" s="10" t="s">
        <v>102</v>
      </c>
    </row>
    <row r="16" spans="1:5" x14ac:dyDescent="0.2">
      <c r="A16" s="3" t="s">
        <v>103</v>
      </c>
      <c r="B16" s="3" t="s">
        <v>31</v>
      </c>
      <c r="C16" s="28">
        <f>SUMIF('Raw Data'!$D$2:$D$878,$A16,'Raw Data'!$I$2:$I$878)</f>
        <v>726</v>
      </c>
      <c r="D16" s="5">
        <f>IFERROR(3958.8*ACOS(MIN(1,MAX(-1,SIN(RADIANS('ZIP Coordinates'!$C$2))*SIN(RADIANS(INDEX('ZIP Coordinates'!$C:$C,MATCH($B16,'ZIP Coordinates'!$A:$A,0))))+COS(RADIANS('ZIP Coordinates'!$C$2))*COS(RADIANS(INDEX('ZIP Coordinates'!$C:$C,MATCH($B16,'ZIP Coordinates'!$A:$A,0))))*COS(RADIANS(INDEX('ZIP Coordinates'!$D:$D,MATCH($B16,'ZIP Coordinates'!$A:$A,0))-'ZIP Coordinates'!$D$2))))),"N/A")</f>
        <v>147.51382379737242</v>
      </c>
      <c r="E16" s="10"/>
    </row>
    <row r="17" spans="1:5" x14ac:dyDescent="0.2">
      <c r="A17" s="3" t="s">
        <v>104</v>
      </c>
      <c r="B17" s="3" t="s">
        <v>21</v>
      </c>
      <c r="C17" s="28">
        <f>SUMIF('Raw Data'!$D$2:$D$878,$A17,'Raw Data'!$I$2:$I$878)</f>
        <v>663</v>
      </c>
      <c r="D17" s="5">
        <f>IFERROR(3958.8*ACOS(MIN(1,MAX(-1,SIN(RADIANS('ZIP Coordinates'!$C$2))*SIN(RADIANS(INDEX('ZIP Coordinates'!$C:$C,MATCH($B17,'ZIP Coordinates'!$A:$A,0))))+COS(RADIANS('ZIP Coordinates'!$C$2))*COS(RADIANS(INDEX('ZIP Coordinates'!$C:$C,MATCH($B17,'ZIP Coordinates'!$A:$A,0))))*COS(RADIANS(INDEX('ZIP Coordinates'!$D:$D,MATCH($B17,'ZIP Coordinates'!$A:$A,0))-'ZIP Coordinates'!$D$2))))),"N/A")</f>
        <v>173.66928069538093</v>
      </c>
      <c r="E17" s="10"/>
    </row>
    <row r="18" spans="1:5" x14ac:dyDescent="0.2">
      <c r="A18" s="3" t="s">
        <v>105</v>
      </c>
      <c r="B18" s="3" t="s">
        <v>11</v>
      </c>
      <c r="C18" s="28">
        <f>SUMIF('Raw Data'!$D$2:$D$878,$A18,'Raw Data'!$I$2:$I$878)</f>
        <v>1855</v>
      </c>
      <c r="D18" s="5">
        <f>IFERROR(3958.8*ACOS(MIN(1,MAX(-1,SIN(RADIANS('ZIP Coordinates'!$C$2))*SIN(RADIANS(INDEX('ZIP Coordinates'!$C:$C,MATCH($B18,'ZIP Coordinates'!$A:$A,0))))+COS(RADIANS('ZIP Coordinates'!$C$2))*COS(RADIANS(INDEX('ZIP Coordinates'!$C:$C,MATCH($B18,'ZIP Coordinates'!$A:$A,0))))*COS(RADIANS(INDEX('ZIP Coordinates'!$D:$D,MATCH($B18,'ZIP Coordinates'!$A:$A,0))-'ZIP Coordinates'!$D$2))))),"N/A")</f>
        <v>199.33243106906986</v>
      </c>
      <c r="E18" s="10"/>
    </row>
    <row r="19" spans="1:5" x14ac:dyDescent="0.2">
      <c r="A19" s="3" t="s">
        <v>106</v>
      </c>
      <c r="B19" s="3" t="s">
        <v>16</v>
      </c>
      <c r="C19" s="28">
        <f>SUMIF('Raw Data'!$D$2:$D$878,$A19,'Raw Data'!$I$2:$I$878)</f>
        <v>876</v>
      </c>
      <c r="D19" s="5">
        <f>IFERROR(3958.8*ACOS(MIN(1,MAX(-1,SIN(RADIANS('ZIP Coordinates'!$C$2))*SIN(RADIANS(INDEX('ZIP Coordinates'!$C:$C,MATCH($B19,'ZIP Coordinates'!$A:$A,0))))+COS(RADIANS('ZIP Coordinates'!$C$2))*COS(RADIANS(INDEX('ZIP Coordinates'!$C:$C,MATCH($B19,'ZIP Coordinates'!$A:$A,0))))*COS(RADIANS(INDEX('ZIP Coordinates'!$D:$D,MATCH($B19,'ZIP Coordinates'!$A:$A,0))-'ZIP Coordinates'!$D$2))))),"N/A")</f>
        <v>177.87377120840873</v>
      </c>
      <c r="E19" s="10"/>
    </row>
    <row r="20" spans="1:5" x14ac:dyDescent="0.2">
      <c r="A20" s="3" t="s">
        <v>107</v>
      </c>
      <c r="B20" s="3" t="s">
        <v>9</v>
      </c>
      <c r="C20" s="28">
        <f>SUMIF('Raw Data'!$D$2:$D$878,$A20,'Raw Data'!$I$2:$I$878)</f>
        <v>1049</v>
      </c>
      <c r="D20" s="5">
        <f>IFERROR(3958.8*ACOS(MIN(1,MAX(-1,SIN(RADIANS('ZIP Coordinates'!$C$2))*SIN(RADIANS(INDEX('ZIP Coordinates'!$C:$C,MATCH($B20,'ZIP Coordinates'!$A:$A,0))))+COS(RADIANS('ZIP Coordinates'!$C$2))*COS(RADIANS(INDEX('ZIP Coordinates'!$C:$C,MATCH($B20,'ZIP Coordinates'!$A:$A,0))))*COS(RADIANS(INDEX('ZIP Coordinates'!$D:$D,MATCH($B20,'ZIP Coordinates'!$A:$A,0))-'ZIP Coordinates'!$D$2))))),"N/A")</f>
        <v>158.36354605751467</v>
      </c>
      <c r="E20" s="10"/>
    </row>
    <row r="21" spans="1:5" x14ac:dyDescent="0.2">
      <c r="A21" s="3" t="s">
        <v>108</v>
      </c>
      <c r="B21" s="3" t="s">
        <v>21</v>
      </c>
      <c r="C21" s="28">
        <f>SUMIF('Raw Data'!$D$2:$D$878,$A21,'Raw Data'!$I$2:$I$878)</f>
        <v>575</v>
      </c>
      <c r="D21" s="5">
        <f>IFERROR(3958.8*ACOS(MIN(1,MAX(-1,SIN(RADIANS('ZIP Coordinates'!$C$2))*SIN(RADIANS(INDEX('ZIP Coordinates'!$C:$C,MATCH($B21,'ZIP Coordinates'!$A:$A,0))))+COS(RADIANS('ZIP Coordinates'!$C$2))*COS(RADIANS(INDEX('ZIP Coordinates'!$C:$C,MATCH($B21,'ZIP Coordinates'!$A:$A,0))))*COS(RADIANS(INDEX('ZIP Coordinates'!$D:$D,MATCH($B21,'ZIP Coordinates'!$A:$A,0))-'ZIP Coordinates'!$D$2))))),"N/A")</f>
        <v>173.66928069538093</v>
      </c>
      <c r="E21" s="10"/>
    </row>
    <row r="22" spans="1:5" x14ac:dyDescent="0.2">
      <c r="A22" s="3" t="s">
        <v>109</v>
      </c>
      <c r="B22" s="3" t="s">
        <v>82</v>
      </c>
      <c r="C22" s="28">
        <f>SUMIF('Raw Data'!$D$2:$D$878,$A22,'Raw Data'!$I$2:$I$878)</f>
        <v>1157</v>
      </c>
      <c r="D22" s="5" t="str">
        <f>IFERROR(3958.8*ACOS(MIN(1,MAX(-1,SIN(RADIANS('ZIP Coordinates'!$C$2))*SIN(RADIANS(INDEX('ZIP Coordinates'!$C:$C,MATCH($B22,'ZIP Coordinates'!$A:$A,0))))+COS(RADIANS('ZIP Coordinates'!$C$2))*COS(RADIANS(INDEX('ZIP Coordinates'!$C:$C,MATCH($B22,'ZIP Coordinates'!$A:$A,0))))*COS(RADIANS(INDEX('ZIP Coordinates'!$D:$D,MATCH($B22,'ZIP Coordinates'!$A:$A,0))-'ZIP Coordinates'!$D$2))))),"N/A")</f>
        <v>N/A</v>
      </c>
      <c r="E22" s="10" t="s">
        <v>110</v>
      </c>
    </row>
    <row r="23" spans="1:5" x14ac:dyDescent="0.2">
      <c r="A23" s="3" t="s">
        <v>111</v>
      </c>
      <c r="B23" s="3" t="s">
        <v>23</v>
      </c>
      <c r="C23" s="28">
        <f>SUMIF('Raw Data'!$D$2:$D$878,$A23,'Raw Data'!$I$2:$I$878)</f>
        <v>801</v>
      </c>
      <c r="D23" s="5">
        <f>IFERROR(3958.8*ACOS(MIN(1,MAX(-1,SIN(RADIANS('ZIP Coordinates'!$C$2))*SIN(RADIANS(INDEX('ZIP Coordinates'!$C:$C,MATCH($B23,'ZIP Coordinates'!$A:$A,0))))+COS(RADIANS('ZIP Coordinates'!$C$2))*COS(RADIANS(INDEX('ZIP Coordinates'!$C:$C,MATCH($B23,'ZIP Coordinates'!$A:$A,0))))*COS(RADIANS(INDEX('ZIP Coordinates'!$D:$D,MATCH($B23,'ZIP Coordinates'!$A:$A,0))-'ZIP Coordinates'!$D$2))))),"N/A")</f>
        <v>200.09402060306726</v>
      </c>
      <c r="E23" s="10"/>
    </row>
    <row r="24" spans="1:5" x14ac:dyDescent="0.2">
      <c r="A24" s="3" t="s">
        <v>112</v>
      </c>
      <c r="B24" s="3" t="s">
        <v>5</v>
      </c>
      <c r="C24" s="28">
        <f>SUMIF('Raw Data'!$D$2:$D$878,$A24,'Raw Data'!$I$2:$I$878)</f>
        <v>874</v>
      </c>
      <c r="D24" s="5">
        <f>IFERROR(3958.8*ACOS(MIN(1,MAX(-1,SIN(RADIANS('ZIP Coordinates'!$C$2))*SIN(RADIANS(INDEX('ZIP Coordinates'!$C:$C,MATCH($B24,'ZIP Coordinates'!$A:$A,0))))+COS(RADIANS('ZIP Coordinates'!$C$2))*COS(RADIANS(INDEX('ZIP Coordinates'!$C:$C,MATCH($B24,'ZIP Coordinates'!$A:$A,0))))*COS(RADIANS(INDEX('ZIP Coordinates'!$D:$D,MATCH($B24,'ZIP Coordinates'!$A:$A,0))-'ZIP Coordinates'!$D$2))))),"N/A")</f>
        <v>174.0800745988588</v>
      </c>
      <c r="E24" s="10"/>
    </row>
    <row r="25" spans="1:5" x14ac:dyDescent="0.2">
      <c r="A25" s="3" t="s">
        <v>113</v>
      </c>
      <c r="B25" s="3" t="s">
        <v>18</v>
      </c>
      <c r="C25" s="28">
        <f>SUMIF('Raw Data'!$D$2:$D$878,$A25,'Raw Data'!$I$2:$I$878)</f>
        <v>847</v>
      </c>
      <c r="D25" s="5">
        <f>IFERROR(3958.8*ACOS(MIN(1,MAX(-1,SIN(RADIANS('ZIP Coordinates'!$C$2))*SIN(RADIANS(INDEX('ZIP Coordinates'!$C:$C,MATCH($B25,'ZIP Coordinates'!$A:$A,0))))+COS(RADIANS('ZIP Coordinates'!$C$2))*COS(RADIANS(INDEX('ZIP Coordinates'!$C:$C,MATCH($B25,'ZIP Coordinates'!$A:$A,0))))*COS(RADIANS(INDEX('ZIP Coordinates'!$D:$D,MATCH($B25,'ZIP Coordinates'!$A:$A,0))-'ZIP Coordinates'!$D$2))))),"N/A")</f>
        <v>186.95026739463992</v>
      </c>
      <c r="E25" s="10"/>
    </row>
    <row r="26" spans="1:5" x14ac:dyDescent="0.2">
      <c r="A26" s="3" t="s">
        <v>114</v>
      </c>
      <c r="B26" s="3" t="s">
        <v>38</v>
      </c>
      <c r="C26" s="28">
        <f>SUMIF('Raw Data'!$D$2:$D$878,$A26,'Raw Data'!$I$2:$I$878)</f>
        <v>448</v>
      </c>
      <c r="D26" s="5">
        <f>IFERROR(3958.8*ACOS(MIN(1,MAX(-1,SIN(RADIANS('ZIP Coordinates'!$C$2))*SIN(RADIANS(INDEX('ZIP Coordinates'!$C:$C,MATCH($B26,'ZIP Coordinates'!$A:$A,0))))+COS(RADIANS('ZIP Coordinates'!$C$2))*COS(RADIANS(INDEX('ZIP Coordinates'!$C:$C,MATCH($B26,'ZIP Coordinates'!$A:$A,0))))*COS(RADIANS(INDEX('ZIP Coordinates'!$D:$D,MATCH($B26,'ZIP Coordinates'!$A:$A,0))-'ZIP Coordinates'!$D$2))))),"N/A")</f>
        <v>133.78845252056198</v>
      </c>
      <c r="E26" s="10"/>
    </row>
    <row r="27" spans="1:5" x14ac:dyDescent="0.2">
      <c r="A27" s="3" t="s">
        <v>115</v>
      </c>
      <c r="B27" s="3" t="s">
        <v>79</v>
      </c>
      <c r="C27" s="28">
        <f>SUMIF('Raw Data'!$D$2:$D$878,$A27,'Raw Data'!$I$2:$I$878)</f>
        <v>442</v>
      </c>
      <c r="D27" s="5">
        <f>IFERROR(3958.8*ACOS(MIN(1,MAX(-1,SIN(RADIANS('ZIP Coordinates'!$C$2))*SIN(RADIANS(INDEX('ZIP Coordinates'!$C:$C,MATCH($B27,'ZIP Coordinates'!$A:$A,0))))+COS(RADIANS('ZIP Coordinates'!$C$2))*COS(RADIANS(INDEX('ZIP Coordinates'!$C:$C,MATCH($B27,'ZIP Coordinates'!$A:$A,0))))*COS(RADIANS(INDEX('ZIP Coordinates'!$D:$D,MATCH($B27,'ZIP Coordinates'!$A:$A,0))-'ZIP Coordinates'!$D$2))))),"N/A")</f>
        <v>158.22480756180738</v>
      </c>
      <c r="E27" s="10"/>
    </row>
    <row r="28" spans="1:5" x14ac:dyDescent="0.2">
      <c r="A28" s="3" t="s">
        <v>116</v>
      </c>
      <c r="B28" s="3" t="s">
        <v>24</v>
      </c>
      <c r="C28" s="28">
        <f>SUMIF('Raw Data'!$D$2:$D$878,$A28,'Raw Data'!$I$2:$I$878)</f>
        <v>648</v>
      </c>
      <c r="D28" s="5">
        <f>IFERROR(3958.8*ACOS(MIN(1,MAX(-1,SIN(RADIANS('ZIP Coordinates'!$C$2))*SIN(RADIANS(INDEX('ZIP Coordinates'!$C:$C,MATCH($B28,'ZIP Coordinates'!$A:$A,0))))+COS(RADIANS('ZIP Coordinates'!$C$2))*COS(RADIANS(INDEX('ZIP Coordinates'!$C:$C,MATCH($B28,'ZIP Coordinates'!$A:$A,0))))*COS(RADIANS(INDEX('ZIP Coordinates'!$D:$D,MATCH($B28,'ZIP Coordinates'!$A:$A,0))-'ZIP Coordinates'!$D$2))))),"N/A")</f>
        <v>128.90650428006145</v>
      </c>
      <c r="E28" s="10" t="s">
        <v>117</v>
      </c>
    </row>
    <row r="29" spans="1:5" x14ac:dyDescent="0.2">
      <c r="A29" s="3" t="s">
        <v>118</v>
      </c>
      <c r="B29" s="3" t="s">
        <v>8</v>
      </c>
      <c r="C29" s="28">
        <f>SUMIF('Raw Data'!$D$2:$D$878,$A29,'Raw Data'!$I$2:$I$878)</f>
        <v>1351</v>
      </c>
      <c r="D29" s="5">
        <f>IFERROR(3958.8*ACOS(MIN(1,MAX(-1,SIN(RADIANS('ZIP Coordinates'!$C$2))*SIN(RADIANS(INDEX('ZIP Coordinates'!$C:$C,MATCH($B29,'ZIP Coordinates'!$A:$A,0))))+COS(RADIANS('ZIP Coordinates'!$C$2))*COS(RADIANS(INDEX('ZIP Coordinates'!$C:$C,MATCH($B29,'ZIP Coordinates'!$A:$A,0))))*COS(RADIANS(INDEX('ZIP Coordinates'!$D:$D,MATCH($B29,'ZIP Coordinates'!$A:$A,0))-'ZIP Coordinates'!$D$2))))),"N/A")</f>
        <v>167.45112096307793</v>
      </c>
      <c r="E29" s="10"/>
    </row>
    <row r="30" spans="1:5" x14ac:dyDescent="0.2">
      <c r="A30" s="3" t="s">
        <v>119</v>
      </c>
      <c r="B30" s="3" t="s">
        <v>28</v>
      </c>
      <c r="C30" s="28">
        <f>SUMIF('Raw Data'!$D$2:$D$878,$A30,'Raw Data'!$I$2:$I$878)</f>
        <v>556</v>
      </c>
      <c r="D30" s="5">
        <f>IFERROR(3958.8*ACOS(MIN(1,MAX(-1,SIN(RADIANS('ZIP Coordinates'!$C$2))*SIN(RADIANS(INDEX('ZIP Coordinates'!$C:$C,MATCH($B30,'ZIP Coordinates'!$A:$A,0))))+COS(RADIANS('ZIP Coordinates'!$C$2))*COS(RADIANS(INDEX('ZIP Coordinates'!$C:$C,MATCH($B30,'ZIP Coordinates'!$A:$A,0))))*COS(RADIANS(INDEX('ZIP Coordinates'!$D:$D,MATCH($B30,'ZIP Coordinates'!$A:$A,0))-'ZIP Coordinates'!$D$2))))),"N/A")</f>
        <v>146.62233132851182</v>
      </c>
      <c r="E30" s="10"/>
    </row>
    <row r="31" spans="1:5" x14ac:dyDescent="0.2">
      <c r="A31" s="3" t="s">
        <v>120</v>
      </c>
      <c r="B31" s="3" t="s">
        <v>73</v>
      </c>
      <c r="C31" s="28">
        <f>SUMIF('Raw Data'!$D$2:$D$878,$A31,'Raw Data'!$I$2:$I$878)</f>
        <v>378</v>
      </c>
      <c r="D31" s="5">
        <f>IFERROR(3958.8*ACOS(MIN(1,MAX(-1,SIN(RADIANS('ZIP Coordinates'!$C$2))*SIN(RADIANS(INDEX('ZIP Coordinates'!$C:$C,MATCH($B31,'ZIP Coordinates'!$A:$A,0))))+COS(RADIANS('ZIP Coordinates'!$C$2))*COS(RADIANS(INDEX('ZIP Coordinates'!$C:$C,MATCH($B31,'ZIP Coordinates'!$A:$A,0))))*COS(RADIANS(INDEX('ZIP Coordinates'!$D:$D,MATCH($B31,'ZIP Coordinates'!$A:$A,0))-'ZIP Coordinates'!$D$2))))),"N/A")</f>
        <v>142.69042239079656</v>
      </c>
      <c r="E31" s="10"/>
    </row>
    <row r="32" spans="1:5" x14ac:dyDescent="0.2">
      <c r="A32" s="3" t="s">
        <v>121</v>
      </c>
      <c r="B32" s="3" t="s">
        <v>7</v>
      </c>
      <c r="C32" s="28">
        <f>SUMIF('Raw Data'!$D$2:$D$878,$A32,'Raw Data'!$I$2:$I$878)</f>
        <v>1460</v>
      </c>
      <c r="D32" s="5">
        <f>IFERROR(3958.8*ACOS(MIN(1,MAX(-1,SIN(RADIANS('ZIP Coordinates'!$C$2))*SIN(RADIANS(INDEX('ZIP Coordinates'!$C:$C,MATCH($B32,'ZIP Coordinates'!$A:$A,0))))+COS(RADIANS('ZIP Coordinates'!$C$2))*COS(RADIANS(INDEX('ZIP Coordinates'!$C:$C,MATCH($B32,'ZIP Coordinates'!$A:$A,0))))*COS(RADIANS(INDEX('ZIP Coordinates'!$D:$D,MATCH($B32,'ZIP Coordinates'!$A:$A,0))-'ZIP Coordinates'!$D$2))))),"N/A")</f>
        <v>186.92635409257193</v>
      </c>
      <c r="E32" s="10"/>
    </row>
    <row r="33" spans="1:5" x14ac:dyDescent="0.2">
      <c r="A33" s="3" t="s">
        <v>122</v>
      </c>
      <c r="B33" s="3" t="s">
        <v>37</v>
      </c>
      <c r="C33" s="28">
        <f>SUMIF('Raw Data'!$D$2:$D$878,$A33,'Raw Data'!$I$2:$I$878)</f>
        <v>886</v>
      </c>
      <c r="D33" s="5">
        <f>IFERROR(3958.8*ACOS(MIN(1,MAX(-1,SIN(RADIANS('ZIP Coordinates'!$C$2))*SIN(RADIANS(INDEX('ZIP Coordinates'!$C:$C,MATCH($B33,'ZIP Coordinates'!$A:$A,0))))+COS(RADIANS('ZIP Coordinates'!$C$2))*COS(RADIANS(INDEX('ZIP Coordinates'!$C:$C,MATCH($B33,'ZIP Coordinates'!$A:$A,0))))*COS(RADIANS(INDEX('ZIP Coordinates'!$D:$D,MATCH($B33,'ZIP Coordinates'!$A:$A,0))-'ZIP Coordinates'!$D$2))))),"N/A")</f>
        <v>178.20658975537148</v>
      </c>
      <c r="E33" s="10"/>
    </row>
    <row r="34" spans="1:5" x14ac:dyDescent="0.2">
      <c r="A34" s="3" t="s">
        <v>123</v>
      </c>
      <c r="B34" s="3" t="s">
        <v>5</v>
      </c>
      <c r="C34" s="28">
        <f>SUMIF('Raw Data'!$D$2:$D$878,$A34,'Raw Data'!$I$2:$I$878)</f>
        <v>1077</v>
      </c>
      <c r="D34" s="5">
        <f>IFERROR(3958.8*ACOS(MIN(1,MAX(-1,SIN(RADIANS('ZIP Coordinates'!$C$2))*SIN(RADIANS(INDEX('ZIP Coordinates'!$C:$C,MATCH($B34,'ZIP Coordinates'!$A:$A,0))))+COS(RADIANS('ZIP Coordinates'!$C$2))*COS(RADIANS(INDEX('ZIP Coordinates'!$C:$C,MATCH($B34,'ZIP Coordinates'!$A:$A,0))))*COS(RADIANS(INDEX('ZIP Coordinates'!$D:$D,MATCH($B34,'ZIP Coordinates'!$A:$A,0))-'ZIP Coordinates'!$D$2))))),"N/A")</f>
        <v>174.0800745988588</v>
      </c>
      <c r="E34" s="10"/>
    </row>
    <row r="35" spans="1:5" x14ac:dyDescent="0.2">
      <c r="A35" s="3" t="s">
        <v>124</v>
      </c>
      <c r="B35" s="3" t="s">
        <v>71</v>
      </c>
      <c r="C35" s="28">
        <f>SUMIF('Raw Data'!$D$2:$D$878,$A35,'Raw Data'!$I$2:$I$878)</f>
        <v>1007</v>
      </c>
      <c r="D35" s="5">
        <f>IFERROR(3958.8*ACOS(MIN(1,MAX(-1,SIN(RADIANS('ZIP Coordinates'!$C$2))*SIN(RADIANS(INDEX('ZIP Coordinates'!$C:$C,MATCH($B35,'ZIP Coordinates'!$A:$A,0))))+COS(RADIANS('ZIP Coordinates'!$C$2))*COS(RADIANS(INDEX('ZIP Coordinates'!$C:$C,MATCH($B35,'ZIP Coordinates'!$A:$A,0))))*COS(RADIANS(INDEX('ZIP Coordinates'!$D:$D,MATCH($B35,'ZIP Coordinates'!$A:$A,0))-'ZIP Coordinates'!$D$2))))),"N/A")</f>
        <v>150.27844379053917</v>
      </c>
      <c r="E35" s="10"/>
    </row>
    <row r="36" spans="1:5" x14ac:dyDescent="0.2">
      <c r="A36" s="3" t="s">
        <v>125</v>
      </c>
      <c r="B36" s="3" t="s">
        <v>42</v>
      </c>
      <c r="C36" s="28">
        <f>SUMIF('Raw Data'!$D$2:$D$878,$A36,'Raw Data'!$I$2:$I$878)</f>
        <v>286</v>
      </c>
      <c r="D36" s="5">
        <f>IFERROR(3958.8*ACOS(MIN(1,MAX(-1,SIN(RADIANS('ZIP Coordinates'!$C$2))*SIN(RADIANS(INDEX('ZIP Coordinates'!$C:$C,MATCH($B36,'ZIP Coordinates'!$A:$A,0))))+COS(RADIANS('ZIP Coordinates'!$C$2))*COS(RADIANS(INDEX('ZIP Coordinates'!$C:$C,MATCH($B36,'ZIP Coordinates'!$A:$A,0))))*COS(RADIANS(INDEX('ZIP Coordinates'!$D:$D,MATCH($B36,'ZIP Coordinates'!$A:$A,0))-'ZIP Coordinates'!$D$2))))),"N/A")</f>
        <v>175.57136889679089</v>
      </c>
      <c r="E36" s="10"/>
    </row>
    <row r="37" spans="1:5" x14ac:dyDescent="0.2">
      <c r="A37" s="3" t="s">
        <v>126</v>
      </c>
      <c r="B37" s="3" t="s">
        <v>14</v>
      </c>
      <c r="C37" s="28">
        <f>SUMIF('Raw Data'!$D$2:$D$878,$A37,'Raw Data'!$I$2:$I$878)</f>
        <v>277</v>
      </c>
      <c r="D37" s="5">
        <f>IFERROR(3958.8*ACOS(MIN(1,MAX(-1,SIN(RADIANS('ZIP Coordinates'!$C$2))*SIN(RADIANS(INDEX('ZIP Coordinates'!$C:$C,MATCH($B37,'ZIP Coordinates'!$A:$A,0))))+COS(RADIANS('ZIP Coordinates'!$C$2))*COS(RADIANS(INDEX('ZIP Coordinates'!$C:$C,MATCH($B37,'ZIP Coordinates'!$A:$A,0))))*COS(RADIANS(INDEX('ZIP Coordinates'!$D:$D,MATCH($B37,'ZIP Coordinates'!$A:$A,0))-'ZIP Coordinates'!$D$2))))),"N/A")</f>
        <v>188.5979879790994</v>
      </c>
      <c r="E37" s="10"/>
    </row>
    <row r="38" spans="1:5" x14ac:dyDescent="0.2">
      <c r="A38" s="3" t="s">
        <v>127</v>
      </c>
      <c r="B38" s="3" t="s">
        <v>76</v>
      </c>
      <c r="C38" s="28">
        <f>SUMIF('Raw Data'!$D$2:$D$878,$A38,'Raw Data'!$I$2:$I$878)</f>
        <v>897</v>
      </c>
      <c r="D38" s="5">
        <f>IFERROR(3958.8*ACOS(MIN(1,MAX(-1,SIN(RADIANS('ZIP Coordinates'!$C$2))*SIN(RADIANS(INDEX('ZIP Coordinates'!$C:$C,MATCH($B38,'ZIP Coordinates'!$A:$A,0))))+COS(RADIANS('ZIP Coordinates'!$C$2))*COS(RADIANS(INDEX('ZIP Coordinates'!$C:$C,MATCH($B38,'ZIP Coordinates'!$A:$A,0))))*COS(RADIANS(INDEX('ZIP Coordinates'!$D:$D,MATCH($B38,'ZIP Coordinates'!$A:$A,0))-'ZIP Coordinates'!$D$2))))),"N/A")</f>
        <v>143.5354957173447</v>
      </c>
      <c r="E38" s="10"/>
    </row>
    <row r="39" spans="1:5" x14ac:dyDescent="0.2">
      <c r="A39" s="3" t="s">
        <v>128</v>
      </c>
      <c r="B39" s="3" t="s">
        <v>15</v>
      </c>
      <c r="C39" s="28">
        <f>SUMIF('Raw Data'!$D$2:$D$878,$A39,'Raw Data'!$I$2:$I$878)</f>
        <v>285</v>
      </c>
      <c r="D39" s="5">
        <f>IFERROR(3958.8*ACOS(MIN(1,MAX(-1,SIN(RADIANS('ZIP Coordinates'!$C$2))*SIN(RADIANS(INDEX('ZIP Coordinates'!$C:$C,MATCH($B39,'ZIP Coordinates'!$A:$A,0))))+COS(RADIANS('ZIP Coordinates'!$C$2))*COS(RADIANS(INDEX('ZIP Coordinates'!$C:$C,MATCH($B39,'ZIP Coordinates'!$A:$A,0))))*COS(RADIANS(INDEX('ZIP Coordinates'!$D:$D,MATCH($B39,'ZIP Coordinates'!$A:$A,0))-'ZIP Coordinates'!$D$2))))),"N/A")</f>
        <v>173.39844145979413</v>
      </c>
      <c r="E39" s="10"/>
    </row>
    <row r="40" spans="1:5" x14ac:dyDescent="0.2">
      <c r="A40" s="3" t="s">
        <v>129</v>
      </c>
      <c r="B40" s="3" t="s">
        <v>18</v>
      </c>
      <c r="C40" s="28">
        <f>SUMIF('Raw Data'!$D$2:$D$878,$A40,'Raw Data'!$I$2:$I$878)</f>
        <v>2756</v>
      </c>
      <c r="D40" s="5">
        <f>IFERROR(3958.8*ACOS(MIN(1,MAX(-1,SIN(RADIANS('ZIP Coordinates'!$C$2))*SIN(RADIANS(INDEX('ZIP Coordinates'!$C:$C,MATCH($B40,'ZIP Coordinates'!$A:$A,0))))+COS(RADIANS('ZIP Coordinates'!$C$2))*COS(RADIANS(INDEX('ZIP Coordinates'!$C:$C,MATCH($B40,'ZIP Coordinates'!$A:$A,0))))*COS(RADIANS(INDEX('ZIP Coordinates'!$D:$D,MATCH($B40,'ZIP Coordinates'!$A:$A,0))-'ZIP Coordinates'!$D$2))))),"N/A")</f>
        <v>186.95026739463992</v>
      </c>
      <c r="E40" s="10"/>
    </row>
    <row r="41" spans="1:5" x14ac:dyDescent="0.2">
      <c r="A41" s="3" t="s">
        <v>130</v>
      </c>
      <c r="B41" s="3" t="s">
        <v>54</v>
      </c>
      <c r="C41" s="28">
        <f>SUMIF('Raw Data'!$D$2:$D$878,$A41,'Raw Data'!$I$2:$I$878)</f>
        <v>461</v>
      </c>
      <c r="D41" s="5">
        <f>IFERROR(3958.8*ACOS(MIN(1,MAX(-1,SIN(RADIANS('ZIP Coordinates'!$C$2))*SIN(RADIANS(INDEX('ZIP Coordinates'!$C:$C,MATCH($B41,'ZIP Coordinates'!$A:$A,0))))+COS(RADIANS('ZIP Coordinates'!$C$2))*COS(RADIANS(INDEX('ZIP Coordinates'!$C:$C,MATCH($B41,'ZIP Coordinates'!$A:$A,0))))*COS(RADIANS(INDEX('ZIP Coordinates'!$D:$D,MATCH($B41,'ZIP Coordinates'!$A:$A,0))-'ZIP Coordinates'!$D$2))))),"N/A")</f>
        <v>148.74266117765734</v>
      </c>
      <c r="E41" s="10"/>
    </row>
    <row r="42" spans="1:5" x14ac:dyDescent="0.2">
      <c r="A42" s="3" t="s">
        <v>131</v>
      </c>
      <c r="B42" s="3" t="s">
        <v>73</v>
      </c>
      <c r="C42" s="28">
        <f>SUMIF('Raw Data'!$D$2:$D$878,$A42,'Raw Data'!$I$2:$I$878)</f>
        <v>1637</v>
      </c>
      <c r="D42" s="5">
        <f>IFERROR(3958.8*ACOS(MIN(1,MAX(-1,SIN(RADIANS('ZIP Coordinates'!$C$2))*SIN(RADIANS(INDEX('ZIP Coordinates'!$C:$C,MATCH($B42,'ZIP Coordinates'!$A:$A,0))))+COS(RADIANS('ZIP Coordinates'!$C$2))*COS(RADIANS(INDEX('ZIP Coordinates'!$C:$C,MATCH($B42,'ZIP Coordinates'!$A:$A,0))))*COS(RADIANS(INDEX('ZIP Coordinates'!$D:$D,MATCH($B42,'ZIP Coordinates'!$A:$A,0))-'ZIP Coordinates'!$D$2))))),"N/A")</f>
        <v>142.69042239079656</v>
      </c>
      <c r="E42" s="10"/>
    </row>
    <row r="43" spans="1:5" x14ac:dyDescent="0.2">
      <c r="A43" s="3" t="s">
        <v>132</v>
      </c>
      <c r="B43" s="3" t="s">
        <v>46</v>
      </c>
      <c r="C43" s="28">
        <f>SUMIF('Raw Data'!$D$2:$D$878,$A43,'Raw Data'!$I$2:$I$878)</f>
        <v>805</v>
      </c>
      <c r="D43" s="5">
        <f>IFERROR(3958.8*ACOS(MIN(1,MAX(-1,SIN(RADIANS('ZIP Coordinates'!$C$2))*SIN(RADIANS(INDEX('ZIP Coordinates'!$C:$C,MATCH($B43,'ZIP Coordinates'!$A:$A,0))))+COS(RADIANS('ZIP Coordinates'!$C$2))*COS(RADIANS(INDEX('ZIP Coordinates'!$C:$C,MATCH($B43,'ZIP Coordinates'!$A:$A,0))))*COS(RADIANS(INDEX('ZIP Coordinates'!$D:$D,MATCH($B43,'ZIP Coordinates'!$A:$A,0))-'ZIP Coordinates'!$D$2))))),"N/A")</f>
        <v>181.78593363749806</v>
      </c>
      <c r="E43" s="10" t="s">
        <v>133</v>
      </c>
    </row>
    <row r="44" spans="1:5" x14ac:dyDescent="0.2">
      <c r="A44" s="3" t="s">
        <v>134</v>
      </c>
      <c r="B44" s="3" t="s">
        <v>50</v>
      </c>
      <c r="C44" s="28">
        <f>SUMIF('Raw Data'!$D$2:$D$878,$A44,'Raw Data'!$I$2:$I$878)</f>
        <v>405</v>
      </c>
      <c r="D44" s="5">
        <f>IFERROR(3958.8*ACOS(MIN(1,MAX(-1,SIN(RADIANS('ZIP Coordinates'!$C$2))*SIN(RADIANS(INDEX('ZIP Coordinates'!$C:$C,MATCH($B44,'ZIP Coordinates'!$A:$A,0))))+COS(RADIANS('ZIP Coordinates'!$C$2))*COS(RADIANS(INDEX('ZIP Coordinates'!$C:$C,MATCH($B44,'ZIP Coordinates'!$A:$A,0))))*COS(RADIANS(INDEX('ZIP Coordinates'!$D:$D,MATCH($B44,'ZIP Coordinates'!$A:$A,0))-'ZIP Coordinates'!$D$2))))),"N/A")</f>
        <v>177.75290744808345</v>
      </c>
      <c r="E44" s="10"/>
    </row>
    <row r="45" spans="1:5" x14ac:dyDescent="0.2">
      <c r="A45" s="3" t="s">
        <v>135</v>
      </c>
      <c r="B45" s="3" t="s">
        <v>5</v>
      </c>
      <c r="C45" s="28">
        <f>SUMIF('Raw Data'!$D$2:$D$878,$A45,'Raw Data'!$I$2:$I$878)</f>
        <v>2527</v>
      </c>
      <c r="D45" s="5">
        <f>IFERROR(3958.8*ACOS(MIN(1,MAX(-1,SIN(RADIANS('ZIP Coordinates'!$C$2))*SIN(RADIANS(INDEX('ZIP Coordinates'!$C:$C,MATCH($B45,'ZIP Coordinates'!$A:$A,0))))+COS(RADIANS('ZIP Coordinates'!$C$2))*COS(RADIANS(INDEX('ZIP Coordinates'!$C:$C,MATCH($B45,'ZIP Coordinates'!$A:$A,0))))*COS(RADIANS(INDEX('ZIP Coordinates'!$D:$D,MATCH($B45,'ZIP Coordinates'!$A:$A,0))-'ZIP Coordinates'!$D$2))))),"N/A")</f>
        <v>174.0800745988588</v>
      </c>
      <c r="E45" s="10"/>
    </row>
    <row r="46" spans="1:5" x14ac:dyDescent="0.2">
      <c r="A46" s="3" t="s">
        <v>136</v>
      </c>
      <c r="B46" s="3" t="s">
        <v>31</v>
      </c>
      <c r="C46" s="28">
        <f>SUMIF('Raw Data'!$D$2:$D$878,$A46,'Raw Data'!$I$2:$I$878)</f>
        <v>172</v>
      </c>
      <c r="D46" s="5">
        <f>IFERROR(3958.8*ACOS(MIN(1,MAX(-1,SIN(RADIANS('ZIP Coordinates'!$C$2))*SIN(RADIANS(INDEX('ZIP Coordinates'!$C:$C,MATCH($B46,'ZIP Coordinates'!$A:$A,0))))+COS(RADIANS('ZIP Coordinates'!$C$2))*COS(RADIANS(INDEX('ZIP Coordinates'!$C:$C,MATCH($B46,'ZIP Coordinates'!$A:$A,0))))*COS(RADIANS(INDEX('ZIP Coordinates'!$D:$D,MATCH($B46,'ZIP Coordinates'!$A:$A,0))-'ZIP Coordinates'!$D$2))))),"N/A")</f>
        <v>147.51382379737242</v>
      </c>
      <c r="E46" s="10"/>
    </row>
    <row r="47" spans="1:5" x14ac:dyDescent="0.2">
      <c r="A47" s="3" t="s">
        <v>137</v>
      </c>
      <c r="B47" s="3" t="s">
        <v>69</v>
      </c>
      <c r="C47" s="28">
        <f>SUMIF('Raw Data'!$D$2:$D$878,$A47,'Raw Data'!$I$2:$I$878)</f>
        <v>3078</v>
      </c>
      <c r="D47" s="5">
        <f>IFERROR(3958.8*ACOS(MIN(1,MAX(-1,SIN(RADIANS('ZIP Coordinates'!$C$2))*SIN(RADIANS(INDEX('ZIP Coordinates'!$C:$C,MATCH($B47,'ZIP Coordinates'!$A:$A,0))))+COS(RADIANS('ZIP Coordinates'!$C$2))*COS(RADIANS(INDEX('ZIP Coordinates'!$C:$C,MATCH($B47,'ZIP Coordinates'!$A:$A,0))))*COS(RADIANS(INDEX('ZIP Coordinates'!$D:$D,MATCH($B47,'ZIP Coordinates'!$A:$A,0))-'ZIP Coordinates'!$D$2))))),"N/A")</f>
        <v>163.41175188277882</v>
      </c>
      <c r="E47" s="10"/>
    </row>
    <row r="48" spans="1:5" x14ac:dyDescent="0.2">
      <c r="A48" s="3" t="s">
        <v>138</v>
      </c>
      <c r="B48" s="3" t="s">
        <v>68</v>
      </c>
      <c r="C48" s="28">
        <f>SUMIF('Raw Data'!$D$2:$D$878,$A48,'Raw Data'!$I$2:$I$878)</f>
        <v>163</v>
      </c>
      <c r="D48" s="5">
        <f>IFERROR(3958.8*ACOS(MIN(1,MAX(-1,SIN(RADIANS('ZIP Coordinates'!$C$2))*SIN(RADIANS(INDEX('ZIP Coordinates'!$C:$C,MATCH($B48,'ZIP Coordinates'!$A:$A,0))))+COS(RADIANS('ZIP Coordinates'!$C$2))*COS(RADIANS(INDEX('ZIP Coordinates'!$C:$C,MATCH($B48,'ZIP Coordinates'!$A:$A,0))))*COS(RADIANS(INDEX('ZIP Coordinates'!$D:$D,MATCH($B48,'ZIP Coordinates'!$A:$A,0))-'ZIP Coordinates'!$D$2))))),"N/A")</f>
        <v>132.56534466927377</v>
      </c>
      <c r="E48" s="10"/>
    </row>
    <row r="49" spans="1:5" x14ac:dyDescent="0.2">
      <c r="A49" s="3" t="s">
        <v>139</v>
      </c>
      <c r="B49" s="3" t="s">
        <v>40</v>
      </c>
      <c r="C49" s="28">
        <f>SUMIF('Raw Data'!$D$2:$D$878,$A49,'Raw Data'!$I$2:$I$878)</f>
        <v>1053</v>
      </c>
      <c r="D49" s="5">
        <f>IFERROR(3958.8*ACOS(MIN(1,MAX(-1,SIN(RADIANS('ZIP Coordinates'!$C$2))*SIN(RADIANS(INDEX('ZIP Coordinates'!$C:$C,MATCH($B49,'ZIP Coordinates'!$A:$A,0))))+COS(RADIANS('ZIP Coordinates'!$C$2))*COS(RADIANS(INDEX('ZIP Coordinates'!$C:$C,MATCH($B49,'ZIP Coordinates'!$A:$A,0))))*COS(RADIANS(INDEX('ZIP Coordinates'!$D:$D,MATCH($B49,'ZIP Coordinates'!$A:$A,0))-'ZIP Coordinates'!$D$2))))),"N/A")</f>
        <v>184.75352368035988</v>
      </c>
      <c r="E49" s="10"/>
    </row>
    <row r="50" spans="1:5" x14ac:dyDescent="0.2">
      <c r="A50" s="3" t="s">
        <v>140</v>
      </c>
      <c r="B50" s="3" t="s">
        <v>65</v>
      </c>
      <c r="C50" s="28">
        <f>SUMIF('Raw Data'!$D$2:$D$878,$A50,'Raw Data'!$I$2:$I$878)</f>
        <v>149</v>
      </c>
      <c r="D50" s="5">
        <f>IFERROR(3958.8*ACOS(MIN(1,MAX(-1,SIN(RADIANS('ZIP Coordinates'!$C$2))*SIN(RADIANS(INDEX('ZIP Coordinates'!$C:$C,MATCH($B50,'ZIP Coordinates'!$A:$A,0))))+COS(RADIANS('ZIP Coordinates'!$C$2))*COS(RADIANS(INDEX('ZIP Coordinates'!$C:$C,MATCH($B50,'ZIP Coordinates'!$A:$A,0))))*COS(RADIANS(INDEX('ZIP Coordinates'!$D:$D,MATCH($B50,'ZIP Coordinates'!$A:$A,0))-'ZIP Coordinates'!$D$2))))),"N/A")</f>
        <v>133.74935355530641</v>
      </c>
      <c r="E50" s="10"/>
    </row>
    <row r="51" spans="1:5" x14ac:dyDescent="0.2">
      <c r="A51" s="3" t="s">
        <v>141</v>
      </c>
      <c r="B51" s="3" t="s">
        <v>78</v>
      </c>
      <c r="C51" s="28">
        <f>SUMIF('Raw Data'!$D$2:$D$878,$A51,'Raw Data'!$I$2:$I$878)</f>
        <v>146</v>
      </c>
      <c r="D51" s="5">
        <f>IFERROR(3958.8*ACOS(MIN(1,MAX(-1,SIN(RADIANS('ZIP Coordinates'!$C$2))*SIN(RADIANS(INDEX('ZIP Coordinates'!$C:$C,MATCH($B51,'ZIP Coordinates'!$A:$A,0))))+COS(RADIANS('ZIP Coordinates'!$C$2))*COS(RADIANS(INDEX('ZIP Coordinates'!$C:$C,MATCH($B51,'ZIP Coordinates'!$A:$A,0))))*COS(RADIANS(INDEX('ZIP Coordinates'!$D:$D,MATCH($B51,'ZIP Coordinates'!$A:$A,0))-'ZIP Coordinates'!$D$2))))),"N/A")</f>
        <v>142.88957686050676</v>
      </c>
      <c r="E51" s="10"/>
    </row>
    <row r="52" spans="1:5" x14ac:dyDescent="0.2">
      <c r="A52" s="3" t="s">
        <v>142</v>
      </c>
      <c r="B52" s="3" t="s">
        <v>61</v>
      </c>
      <c r="C52" s="28">
        <f>SUMIF('Raw Data'!$D$2:$D$878,$A52,'Raw Data'!$I$2:$I$878)</f>
        <v>130</v>
      </c>
      <c r="D52" s="5">
        <f>IFERROR(3958.8*ACOS(MIN(1,MAX(-1,SIN(RADIANS('ZIP Coordinates'!$C$2))*SIN(RADIANS(INDEX('ZIP Coordinates'!$C:$C,MATCH($B52,'ZIP Coordinates'!$A:$A,0))))+COS(RADIANS('ZIP Coordinates'!$C$2))*COS(RADIANS(INDEX('ZIP Coordinates'!$C:$C,MATCH($B52,'ZIP Coordinates'!$A:$A,0))))*COS(RADIANS(INDEX('ZIP Coordinates'!$D:$D,MATCH($B52,'ZIP Coordinates'!$A:$A,0))-'ZIP Coordinates'!$D$2))))),"N/A")</f>
        <v>131.53687522349895</v>
      </c>
      <c r="E52" s="10"/>
    </row>
    <row r="53" spans="1:5" x14ac:dyDescent="0.2">
      <c r="A53" s="3" t="s">
        <v>143</v>
      </c>
      <c r="B53" s="3" t="s">
        <v>53</v>
      </c>
      <c r="C53" s="28">
        <f>SUMIF('Raw Data'!$D$2:$D$878,$A53,'Raw Data'!$I$2:$I$878)</f>
        <v>128</v>
      </c>
      <c r="D53" s="5">
        <f>IFERROR(3958.8*ACOS(MIN(1,MAX(-1,SIN(RADIANS('ZIP Coordinates'!$C$2))*SIN(RADIANS(INDEX('ZIP Coordinates'!$C:$C,MATCH($B53,'ZIP Coordinates'!$A:$A,0))))+COS(RADIANS('ZIP Coordinates'!$C$2))*COS(RADIANS(INDEX('ZIP Coordinates'!$C:$C,MATCH($B53,'ZIP Coordinates'!$A:$A,0))))*COS(RADIANS(INDEX('ZIP Coordinates'!$D:$D,MATCH($B53,'ZIP Coordinates'!$A:$A,0))-'ZIP Coordinates'!$D$2))))),"N/A")</f>
        <v>162.02492213116182</v>
      </c>
      <c r="E53" s="10"/>
    </row>
    <row r="54" spans="1:5" x14ac:dyDescent="0.2">
      <c r="A54" s="3" t="s">
        <v>144</v>
      </c>
      <c r="B54" s="3" t="s">
        <v>34</v>
      </c>
      <c r="C54" s="28">
        <f>SUMIF('Raw Data'!$D$2:$D$878,$A54,'Raw Data'!$I$2:$I$878)</f>
        <v>304</v>
      </c>
      <c r="D54" s="5">
        <f>IFERROR(3958.8*ACOS(MIN(1,MAX(-1,SIN(RADIANS('ZIP Coordinates'!$C$2))*SIN(RADIANS(INDEX('ZIP Coordinates'!$C:$C,MATCH($B54,'ZIP Coordinates'!$A:$A,0))))+COS(RADIANS('ZIP Coordinates'!$C$2))*COS(RADIANS(INDEX('ZIP Coordinates'!$C:$C,MATCH($B54,'ZIP Coordinates'!$A:$A,0))))*COS(RADIANS(INDEX('ZIP Coordinates'!$D:$D,MATCH($B54,'ZIP Coordinates'!$A:$A,0))-'ZIP Coordinates'!$D$2))))),"N/A")</f>
        <v>168.97312266710628</v>
      </c>
      <c r="E54" s="10"/>
    </row>
    <row r="55" spans="1:5" x14ac:dyDescent="0.2">
      <c r="A55" s="3" t="s">
        <v>145</v>
      </c>
      <c r="B55" s="3" t="s">
        <v>7</v>
      </c>
      <c r="C55" s="28">
        <f>SUMIF('Raw Data'!$D$2:$D$878,$A55,'Raw Data'!$I$2:$I$878)</f>
        <v>1080</v>
      </c>
      <c r="D55" s="5">
        <f>IFERROR(3958.8*ACOS(MIN(1,MAX(-1,SIN(RADIANS('ZIP Coordinates'!$C$2))*SIN(RADIANS(INDEX('ZIP Coordinates'!$C:$C,MATCH($B55,'ZIP Coordinates'!$A:$A,0))))+COS(RADIANS('ZIP Coordinates'!$C$2))*COS(RADIANS(INDEX('ZIP Coordinates'!$C:$C,MATCH($B55,'ZIP Coordinates'!$A:$A,0))))*COS(RADIANS(INDEX('ZIP Coordinates'!$D:$D,MATCH($B55,'ZIP Coordinates'!$A:$A,0))-'ZIP Coordinates'!$D$2))))),"N/A")</f>
        <v>186.92635409257193</v>
      </c>
      <c r="E55" s="10"/>
    </row>
    <row r="56" spans="1:5" x14ac:dyDescent="0.2">
      <c r="A56" s="3" t="s">
        <v>146</v>
      </c>
      <c r="B56" s="3" t="s">
        <v>9</v>
      </c>
      <c r="C56" s="28">
        <f>SUMIF('Raw Data'!$D$2:$D$878,$A56,'Raw Data'!$I$2:$I$878)</f>
        <v>448</v>
      </c>
      <c r="D56" s="5">
        <f>IFERROR(3958.8*ACOS(MIN(1,MAX(-1,SIN(RADIANS('ZIP Coordinates'!$C$2))*SIN(RADIANS(INDEX('ZIP Coordinates'!$C:$C,MATCH($B56,'ZIP Coordinates'!$A:$A,0))))+COS(RADIANS('ZIP Coordinates'!$C$2))*COS(RADIANS(INDEX('ZIP Coordinates'!$C:$C,MATCH($B56,'ZIP Coordinates'!$A:$A,0))))*COS(RADIANS(INDEX('ZIP Coordinates'!$D:$D,MATCH($B56,'ZIP Coordinates'!$A:$A,0))-'ZIP Coordinates'!$D$2))))),"N/A")</f>
        <v>158.36354605751467</v>
      </c>
      <c r="E56" s="10"/>
    </row>
    <row r="57" spans="1:5" x14ac:dyDescent="0.2">
      <c r="A57" s="3" t="s">
        <v>147</v>
      </c>
      <c r="B57" s="3" t="s">
        <v>25</v>
      </c>
      <c r="C57" s="28">
        <f>SUMIF('Raw Data'!$D$2:$D$878,$A57,'Raw Data'!$I$2:$I$878)</f>
        <v>112</v>
      </c>
      <c r="D57" s="5">
        <f>IFERROR(3958.8*ACOS(MIN(1,MAX(-1,SIN(RADIANS('ZIP Coordinates'!$C$2))*SIN(RADIANS(INDEX('ZIP Coordinates'!$C:$C,MATCH($B57,'ZIP Coordinates'!$A:$A,0))))+COS(RADIANS('ZIP Coordinates'!$C$2))*COS(RADIANS(INDEX('ZIP Coordinates'!$C:$C,MATCH($B57,'ZIP Coordinates'!$A:$A,0))))*COS(RADIANS(INDEX('ZIP Coordinates'!$D:$D,MATCH($B57,'ZIP Coordinates'!$A:$A,0))-'ZIP Coordinates'!$D$2))))),"N/A")</f>
        <v>133.2296450053272</v>
      </c>
      <c r="E57" s="10"/>
    </row>
    <row r="58" spans="1:5" x14ac:dyDescent="0.2">
      <c r="A58" s="3" t="s">
        <v>148</v>
      </c>
      <c r="B58" s="3" t="s">
        <v>75</v>
      </c>
      <c r="C58" s="28">
        <f>SUMIF('Raw Data'!$D$2:$D$878,$A58,'Raw Data'!$I$2:$I$878)</f>
        <v>566</v>
      </c>
      <c r="D58" s="5">
        <f>IFERROR(3958.8*ACOS(MIN(1,MAX(-1,SIN(RADIANS('ZIP Coordinates'!$C$2))*SIN(RADIANS(INDEX('ZIP Coordinates'!$C:$C,MATCH($B58,'ZIP Coordinates'!$A:$A,0))))+COS(RADIANS('ZIP Coordinates'!$C$2))*COS(RADIANS(INDEX('ZIP Coordinates'!$C:$C,MATCH($B58,'ZIP Coordinates'!$A:$A,0))))*COS(RADIANS(INDEX('ZIP Coordinates'!$D:$D,MATCH($B58,'ZIP Coordinates'!$A:$A,0))-'ZIP Coordinates'!$D$2))))),"N/A")</f>
        <v>138.87185285994119</v>
      </c>
      <c r="E58" s="10"/>
    </row>
    <row r="59" spans="1:5" x14ac:dyDescent="0.2">
      <c r="A59" s="3" t="s">
        <v>149</v>
      </c>
      <c r="B59" s="3" t="s">
        <v>10</v>
      </c>
      <c r="C59" s="28">
        <f>SUMIF('Raw Data'!$D$2:$D$878,$A59,'Raw Data'!$I$2:$I$878)</f>
        <v>947</v>
      </c>
      <c r="D59" s="5">
        <f>IFERROR(3958.8*ACOS(MIN(1,MAX(-1,SIN(RADIANS('ZIP Coordinates'!$C$2))*SIN(RADIANS(INDEX('ZIP Coordinates'!$C:$C,MATCH($B59,'ZIP Coordinates'!$A:$A,0))))+COS(RADIANS('ZIP Coordinates'!$C$2))*COS(RADIANS(INDEX('ZIP Coordinates'!$C:$C,MATCH($B59,'ZIP Coordinates'!$A:$A,0))))*COS(RADIANS(INDEX('ZIP Coordinates'!$D:$D,MATCH($B59,'ZIP Coordinates'!$A:$A,0))-'ZIP Coordinates'!$D$2))))),"N/A")</f>
        <v>165.79391068473419</v>
      </c>
      <c r="E59" s="10"/>
    </row>
    <row r="60" spans="1:5" x14ac:dyDescent="0.2">
      <c r="A60" s="3" t="s">
        <v>150</v>
      </c>
      <c r="B60" s="3" t="s">
        <v>22</v>
      </c>
      <c r="C60" s="28">
        <f>SUMIF('Raw Data'!$D$2:$D$878,$A60,'Raw Data'!$I$2:$I$878)</f>
        <v>107</v>
      </c>
      <c r="D60" s="5">
        <f>IFERROR(3958.8*ACOS(MIN(1,MAX(-1,SIN(RADIANS('ZIP Coordinates'!$C$2))*SIN(RADIANS(INDEX('ZIP Coordinates'!$C:$C,MATCH($B60,'ZIP Coordinates'!$A:$A,0))))+COS(RADIANS('ZIP Coordinates'!$C$2))*COS(RADIANS(INDEX('ZIP Coordinates'!$C:$C,MATCH($B60,'ZIP Coordinates'!$A:$A,0))))*COS(RADIANS(INDEX('ZIP Coordinates'!$D:$D,MATCH($B60,'ZIP Coordinates'!$A:$A,0))-'ZIP Coordinates'!$D$2))))),"N/A")</f>
        <v>167.59263571775259</v>
      </c>
      <c r="E60" s="10"/>
    </row>
    <row r="61" spans="1:5" x14ac:dyDescent="0.2">
      <c r="A61" s="3" t="s">
        <v>151</v>
      </c>
      <c r="B61" s="3" t="s">
        <v>32</v>
      </c>
      <c r="C61" s="28">
        <f>SUMIF('Raw Data'!$D$2:$D$878,$A61,'Raw Data'!$I$2:$I$878)</f>
        <v>794</v>
      </c>
      <c r="D61" s="5">
        <f>IFERROR(3958.8*ACOS(MIN(1,MAX(-1,SIN(RADIANS('ZIP Coordinates'!$C$2))*SIN(RADIANS(INDEX('ZIP Coordinates'!$C:$C,MATCH($B61,'ZIP Coordinates'!$A:$A,0))))+COS(RADIANS('ZIP Coordinates'!$C$2))*COS(RADIANS(INDEX('ZIP Coordinates'!$C:$C,MATCH($B61,'ZIP Coordinates'!$A:$A,0))))*COS(RADIANS(INDEX('ZIP Coordinates'!$D:$D,MATCH($B61,'ZIP Coordinates'!$A:$A,0))-'ZIP Coordinates'!$D$2))))),"N/A")</f>
        <v>165.56237092425968</v>
      </c>
      <c r="E61" s="10"/>
    </row>
    <row r="62" spans="1:5" x14ac:dyDescent="0.2">
      <c r="A62" s="3" t="s">
        <v>152</v>
      </c>
      <c r="B62" s="3" t="s">
        <v>19</v>
      </c>
      <c r="C62" s="28">
        <f>SUMIF('Raw Data'!$D$2:$D$878,$A62,'Raw Data'!$I$2:$I$878)</f>
        <v>452</v>
      </c>
      <c r="D62" s="5">
        <f>IFERROR(3958.8*ACOS(MIN(1,MAX(-1,SIN(RADIANS('ZIP Coordinates'!$C$2))*SIN(RADIANS(INDEX('ZIP Coordinates'!$C:$C,MATCH($B62,'ZIP Coordinates'!$A:$A,0))))+COS(RADIANS('ZIP Coordinates'!$C$2))*COS(RADIANS(INDEX('ZIP Coordinates'!$C:$C,MATCH($B62,'ZIP Coordinates'!$A:$A,0))))*COS(RADIANS(INDEX('ZIP Coordinates'!$D:$D,MATCH($B62,'ZIP Coordinates'!$A:$A,0))-'ZIP Coordinates'!$D$2))))),"N/A")</f>
        <v>159.71109490437146</v>
      </c>
      <c r="E62" s="10"/>
    </row>
    <row r="63" spans="1:5" x14ac:dyDescent="0.2">
      <c r="A63" s="3" t="s">
        <v>153</v>
      </c>
      <c r="B63" s="3" t="s">
        <v>7</v>
      </c>
      <c r="C63" s="28">
        <f>SUMIF('Raw Data'!$D$2:$D$878,$A63,'Raw Data'!$I$2:$I$878)</f>
        <v>298</v>
      </c>
      <c r="D63" s="5">
        <f>IFERROR(3958.8*ACOS(MIN(1,MAX(-1,SIN(RADIANS('ZIP Coordinates'!$C$2))*SIN(RADIANS(INDEX('ZIP Coordinates'!$C:$C,MATCH($B63,'ZIP Coordinates'!$A:$A,0))))+COS(RADIANS('ZIP Coordinates'!$C$2))*COS(RADIANS(INDEX('ZIP Coordinates'!$C:$C,MATCH($B63,'ZIP Coordinates'!$A:$A,0))))*COS(RADIANS(INDEX('ZIP Coordinates'!$D:$D,MATCH($B63,'ZIP Coordinates'!$A:$A,0))-'ZIP Coordinates'!$D$2))))),"N/A")</f>
        <v>186.92635409257193</v>
      </c>
      <c r="E63" s="10"/>
    </row>
    <row r="64" spans="1:5" x14ac:dyDescent="0.2">
      <c r="A64" s="3" t="s">
        <v>154</v>
      </c>
      <c r="B64" s="3" t="s">
        <v>30</v>
      </c>
      <c r="C64" s="28">
        <f>SUMIF('Raw Data'!$D$2:$D$878,$A64,'Raw Data'!$I$2:$I$878)</f>
        <v>644</v>
      </c>
      <c r="D64" s="5">
        <f>IFERROR(3958.8*ACOS(MIN(1,MAX(-1,SIN(RADIANS('ZIP Coordinates'!$C$2))*SIN(RADIANS(INDEX('ZIP Coordinates'!$C:$C,MATCH($B64,'ZIP Coordinates'!$A:$A,0))))+COS(RADIANS('ZIP Coordinates'!$C$2))*COS(RADIANS(INDEX('ZIP Coordinates'!$C:$C,MATCH($B64,'ZIP Coordinates'!$A:$A,0))))*COS(RADIANS(INDEX('ZIP Coordinates'!$D:$D,MATCH($B64,'ZIP Coordinates'!$A:$A,0))-'ZIP Coordinates'!$D$2))))),"N/A")</f>
        <v>158.91789379300721</v>
      </c>
      <c r="E64" s="10"/>
    </row>
    <row r="65" spans="1:5" x14ac:dyDescent="0.2">
      <c r="A65" s="3" t="s">
        <v>155</v>
      </c>
      <c r="B65" s="3" t="s">
        <v>41</v>
      </c>
      <c r="C65" s="28">
        <f>SUMIF('Raw Data'!$D$2:$D$878,$A65,'Raw Data'!$I$2:$I$878)</f>
        <v>93</v>
      </c>
      <c r="D65" s="5">
        <f>IFERROR(3958.8*ACOS(MIN(1,MAX(-1,SIN(RADIANS('ZIP Coordinates'!$C$2))*SIN(RADIANS(INDEX('ZIP Coordinates'!$C:$C,MATCH($B65,'ZIP Coordinates'!$A:$A,0))))+COS(RADIANS('ZIP Coordinates'!$C$2))*COS(RADIANS(INDEX('ZIP Coordinates'!$C:$C,MATCH($B65,'ZIP Coordinates'!$A:$A,0))))*COS(RADIANS(INDEX('ZIP Coordinates'!$D:$D,MATCH($B65,'ZIP Coordinates'!$A:$A,0))-'ZIP Coordinates'!$D$2))))),"N/A")</f>
        <v>140.01135394009708</v>
      </c>
      <c r="E65" s="10"/>
    </row>
    <row r="66" spans="1:5" x14ac:dyDescent="0.2">
      <c r="A66" s="3" t="s">
        <v>156</v>
      </c>
      <c r="B66" s="3" t="s">
        <v>64</v>
      </c>
      <c r="C66" s="28">
        <f>SUMIF('Raw Data'!$D$2:$D$878,$A66,'Raw Data'!$I$2:$I$878)</f>
        <v>539</v>
      </c>
      <c r="D66" s="5">
        <f>IFERROR(3958.8*ACOS(MIN(1,MAX(-1,SIN(RADIANS('ZIP Coordinates'!$C$2))*SIN(RADIANS(INDEX('ZIP Coordinates'!$C:$C,MATCH($B66,'ZIP Coordinates'!$A:$A,0))))+COS(RADIANS('ZIP Coordinates'!$C$2))*COS(RADIANS(INDEX('ZIP Coordinates'!$C:$C,MATCH($B66,'ZIP Coordinates'!$A:$A,0))))*COS(RADIANS(INDEX('ZIP Coordinates'!$D:$D,MATCH($B66,'ZIP Coordinates'!$A:$A,0))-'ZIP Coordinates'!$D$2))))),"N/A")</f>
        <v>113.08185114459924</v>
      </c>
      <c r="E66" s="10"/>
    </row>
    <row r="67" spans="1:5" x14ac:dyDescent="0.2">
      <c r="A67" s="3" t="s">
        <v>157</v>
      </c>
      <c r="B67" s="3" t="s">
        <v>73</v>
      </c>
      <c r="C67" s="28">
        <f>SUMIF('Raw Data'!$D$2:$D$878,$A67,'Raw Data'!$I$2:$I$878)</f>
        <v>93</v>
      </c>
      <c r="D67" s="5">
        <f>IFERROR(3958.8*ACOS(MIN(1,MAX(-1,SIN(RADIANS('ZIP Coordinates'!$C$2))*SIN(RADIANS(INDEX('ZIP Coordinates'!$C:$C,MATCH($B67,'ZIP Coordinates'!$A:$A,0))))+COS(RADIANS('ZIP Coordinates'!$C$2))*COS(RADIANS(INDEX('ZIP Coordinates'!$C:$C,MATCH($B67,'ZIP Coordinates'!$A:$A,0))))*COS(RADIANS(INDEX('ZIP Coordinates'!$D:$D,MATCH($B67,'ZIP Coordinates'!$A:$A,0))-'ZIP Coordinates'!$D$2))))),"N/A")</f>
        <v>142.69042239079656</v>
      </c>
      <c r="E67" s="10"/>
    </row>
    <row r="68" spans="1:5" x14ac:dyDescent="0.2">
      <c r="A68" s="3" t="s">
        <v>158</v>
      </c>
      <c r="B68" s="3" t="s">
        <v>48</v>
      </c>
      <c r="C68" s="28">
        <f>SUMIF('Raw Data'!$D$2:$D$878,$A68,'Raw Data'!$I$2:$I$878)</f>
        <v>171</v>
      </c>
      <c r="D68" s="5">
        <f>IFERROR(3958.8*ACOS(MIN(1,MAX(-1,SIN(RADIANS('ZIP Coordinates'!$C$2))*SIN(RADIANS(INDEX('ZIP Coordinates'!$C:$C,MATCH($B68,'ZIP Coordinates'!$A:$A,0))))+COS(RADIANS('ZIP Coordinates'!$C$2))*COS(RADIANS(INDEX('ZIP Coordinates'!$C:$C,MATCH($B68,'ZIP Coordinates'!$A:$A,0))))*COS(RADIANS(INDEX('ZIP Coordinates'!$D:$D,MATCH($B68,'ZIP Coordinates'!$A:$A,0))-'ZIP Coordinates'!$D$2))))),"N/A")</f>
        <v>180.49502404811059</v>
      </c>
      <c r="E68" s="10"/>
    </row>
    <row r="69" spans="1:5" x14ac:dyDescent="0.2">
      <c r="A69" s="3" t="s">
        <v>159</v>
      </c>
      <c r="B69" s="3" t="s">
        <v>52</v>
      </c>
      <c r="C69" s="28">
        <f>SUMIF('Raw Data'!$D$2:$D$878,$A69,'Raw Data'!$I$2:$I$878)</f>
        <v>86</v>
      </c>
      <c r="D69" s="5">
        <f>IFERROR(3958.8*ACOS(MIN(1,MAX(-1,SIN(RADIANS('ZIP Coordinates'!$C$2))*SIN(RADIANS(INDEX('ZIP Coordinates'!$C:$C,MATCH($B69,'ZIP Coordinates'!$A:$A,0))))+COS(RADIANS('ZIP Coordinates'!$C$2))*COS(RADIANS(INDEX('ZIP Coordinates'!$C:$C,MATCH($B69,'ZIP Coordinates'!$A:$A,0))))*COS(RADIANS(INDEX('ZIP Coordinates'!$D:$D,MATCH($B69,'ZIP Coordinates'!$A:$A,0))-'ZIP Coordinates'!$D$2))))),"N/A")</f>
        <v>195.93313963779019</v>
      </c>
      <c r="E69" s="10"/>
    </row>
    <row r="70" spans="1:5" x14ac:dyDescent="0.2">
      <c r="A70" s="3" t="s">
        <v>160</v>
      </c>
      <c r="B70" s="3" t="s">
        <v>10</v>
      </c>
      <c r="C70" s="28">
        <f>SUMIF('Raw Data'!$D$2:$D$878,$A70,'Raw Data'!$I$2:$I$878)</f>
        <v>729</v>
      </c>
      <c r="D70" s="5">
        <f>IFERROR(3958.8*ACOS(MIN(1,MAX(-1,SIN(RADIANS('ZIP Coordinates'!$C$2))*SIN(RADIANS(INDEX('ZIP Coordinates'!$C:$C,MATCH($B70,'ZIP Coordinates'!$A:$A,0))))+COS(RADIANS('ZIP Coordinates'!$C$2))*COS(RADIANS(INDEX('ZIP Coordinates'!$C:$C,MATCH($B70,'ZIP Coordinates'!$A:$A,0))))*COS(RADIANS(INDEX('ZIP Coordinates'!$D:$D,MATCH($B70,'ZIP Coordinates'!$A:$A,0))-'ZIP Coordinates'!$D$2))))),"N/A")</f>
        <v>165.79391068473419</v>
      </c>
      <c r="E70" s="10"/>
    </row>
    <row r="71" spans="1:5" x14ac:dyDescent="0.2">
      <c r="A71" s="3" t="s">
        <v>161</v>
      </c>
      <c r="B71" s="3" t="s">
        <v>69</v>
      </c>
      <c r="C71" s="28">
        <f>SUMIF('Raw Data'!$D$2:$D$878,$A71,'Raw Data'!$I$2:$I$878)</f>
        <v>310</v>
      </c>
      <c r="D71" s="5">
        <f>IFERROR(3958.8*ACOS(MIN(1,MAX(-1,SIN(RADIANS('ZIP Coordinates'!$C$2))*SIN(RADIANS(INDEX('ZIP Coordinates'!$C:$C,MATCH($B71,'ZIP Coordinates'!$A:$A,0))))+COS(RADIANS('ZIP Coordinates'!$C$2))*COS(RADIANS(INDEX('ZIP Coordinates'!$C:$C,MATCH($B71,'ZIP Coordinates'!$A:$A,0))))*COS(RADIANS(INDEX('ZIP Coordinates'!$D:$D,MATCH($B71,'ZIP Coordinates'!$A:$A,0))-'ZIP Coordinates'!$D$2))))),"N/A")</f>
        <v>163.41175188277882</v>
      </c>
      <c r="E71" s="10"/>
    </row>
    <row r="72" spans="1:5" x14ac:dyDescent="0.2">
      <c r="A72" s="3" t="s">
        <v>162</v>
      </c>
      <c r="B72" s="3" t="s">
        <v>69</v>
      </c>
      <c r="C72" s="28">
        <f>SUMIF('Raw Data'!$D$2:$D$878,$A72,'Raw Data'!$I$2:$I$878)</f>
        <v>587</v>
      </c>
      <c r="D72" s="5">
        <f>IFERROR(3958.8*ACOS(MIN(1,MAX(-1,SIN(RADIANS('ZIP Coordinates'!$C$2))*SIN(RADIANS(INDEX('ZIP Coordinates'!$C:$C,MATCH($B72,'ZIP Coordinates'!$A:$A,0))))+COS(RADIANS('ZIP Coordinates'!$C$2))*COS(RADIANS(INDEX('ZIP Coordinates'!$C:$C,MATCH($B72,'ZIP Coordinates'!$A:$A,0))))*COS(RADIANS(INDEX('ZIP Coordinates'!$D:$D,MATCH($B72,'ZIP Coordinates'!$A:$A,0))-'ZIP Coordinates'!$D$2))))),"N/A")</f>
        <v>163.41175188277882</v>
      </c>
      <c r="E72" s="10"/>
    </row>
    <row r="73" spans="1:5" x14ac:dyDescent="0.2">
      <c r="A73" s="3" t="s">
        <v>163</v>
      </c>
      <c r="B73" s="3" t="s">
        <v>12</v>
      </c>
      <c r="C73" s="28">
        <f>SUMIF('Raw Data'!$D$2:$D$878,$A73,'Raw Data'!$I$2:$I$878)</f>
        <v>68</v>
      </c>
      <c r="D73" s="5">
        <f>IFERROR(3958.8*ACOS(MIN(1,MAX(-1,SIN(RADIANS('ZIP Coordinates'!$C$2))*SIN(RADIANS(INDEX('ZIP Coordinates'!$C:$C,MATCH($B73,'ZIP Coordinates'!$A:$A,0))))+COS(RADIANS('ZIP Coordinates'!$C$2))*COS(RADIANS(INDEX('ZIP Coordinates'!$C:$C,MATCH($B73,'ZIP Coordinates'!$A:$A,0))))*COS(RADIANS(INDEX('ZIP Coordinates'!$D:$D,MATCH($B73,'ZIP Coordinates'!$A:$A,0))-'ZIP Coordinates'!$D$2))))),"N/A")</f>
        <v>175.36797212753649</v>
      </c>
      <c r="E73" s="10"/>
    </row>
    <row r="74" spans="1:5" x14ac:dyDescent="0.2">
      <c r="A74" s="3" t="s">
        <v>164</v>
      </c>
      <c r="B74" s="3" t="s">
        <v>43</v>
      </c>
      <c r="C74" s="28">
        <f>SUMIF('Raw Data'!$D$2:$D$878,$A74,'Raw Data'!$I$2:$I$878)</f>
        <v>61</v>
      </c>
      <c r="D74" s="5">
        <f>IFERROR(3958.8*ACOS(MIN(1,MAX(-1,SIN(RADIANS('ZIP Coordinates'!$C$2))*SIN(RADIANS(INDEX('ZIP Coordinates'!$C:$C,MATCH($B74,'ZIP Coordinates'!$A:$A,0))))+COS(RADIANS('ZIP Coordinates'!$C$2))*COS(RADIANS(INDEX('ZIP Coordinates'!$C:$C,MATCH($B74,'ZIP Coordinates'!$A:$A,0))))*COS(RADIANS(INDEX('ZIP Coordinates'!$D:$D,MATCH($B74,'ZIP Coordinates'!$A:$A,0))-'ZIP Coordinates'!$D$2))))),"N/A")</f>
        <v>147.69997820459258</v>
      </c>
      <c r="E74" s="10"/>
    </row>
    <row r="75" spans="1:5" x14ac:dyDescent="0.2">
      <c r="A75" s="3" t="s">
        <v>165</v>
      </c>
      <c r="B75" s="3" t="s">
        <v>69</v>
      </c>
      <c r="C75" s="28">
        <f>SUMIF('Raw Data'!$D$2:$D$878,$A75,'Raw Data'!$I$2:$I$878)</f>
        <v>61</v>
      </c>
      <c r="D75" s="5">
        <f>IFERROR(3958.8*ACOS(MIN(1,MAX(-1,SIN(RADIANS('ZIP Coordinates'!$C$2))*SIN(RADIANS(INDEX('ZIP Coordinates'!$C:$C,MATCH($B75,'ZIP Coordinates'!$A:$A,0))))+COS(RADIANS('ZIP Coordinates'!$C$2))*COS(RADIANS(INDEX('ZIP Coordinates'!$C:$C,MATCH($B75,'ZIP Coordinates'!$A:$A,0))))*COS(RADIANS(INDEX('ZIP Coordinates'!$D:$D,MATCH($B75,'ZIP Coordinates'!$A:$A,0))-'ZIP Coordinates'!$D$2))))),"N/A")</f>
        <v>163.41175188277882</v>
      </c>
      <c r="E75" s="10"/>
    </row>
    <row r="76" spans="1:5" x14ac:dyDescent="0.2">
      <c r="A76" s="3" t="s">
        <v>166</v>
      </c>
      <c r="B76" s="3" t="s">
        <v>46</v>
      </c>
      <c r="C76" s="28">
        <f>SUMIF('Raw Data'!$D$2:$D$878,$A76,'Raw Data'!$I$2:$I$878)</f>
        <v>110</v>
      </c>
      <c r="D76" s="5">
        <f>IFERROR(3958.8*ACOS(MIN(1,MAX(-1,SIN(RADIANS('ZIP Coordinates'!$C$2))*SIN(RADIANS(INDEX('ZIP Coordinates'!$C:$C,MATCH($B76,'ZIP Coordinates'!$A:$A,0))))+COS(RADIANS('ZIP Coordinates'!$C$2))*COS(RADIANS(INDEX('ZIP Coordinates'!$C:$C,MATCH($B76,'ZIP Coordinates'!$A:$A,0))))*COS(RADIANS(INDEX('ZIP Coordinates'!$D:$D,MATCH($B76,'ZIP Coordinates'!$A:$A,0))-'ZIP Coordinates'!$D$2))))),"N/A")</f>
        <v>181.78593363749806</v>
      </c>
      <c r="E76" s="10"/>
    </row>
    <row r="77" spans="1:5" x14ac:dyDescent="0.2">
      <c r="A77" s="3" t="s">
        <v>167</v>
      </c>
      <c r="B77" s="3" t="s">
        <v>50</v>
      </c>
      <c r="C77" s="28">
        <f>SUMIF('Raw Data'!$D$2:$D$878,$A77,'Raw Data'!$I$2:$I$878)</f>
        <v>1160</v>
      </c>
      <c r="D77" s="5">
        <f>IFERROR(3958.8*ACOS(MIN(1,MAX(-1,SIN(RADIANS('ZIP Coordinates'!$C$2))*SIN(RADIANS(INDEX('ZIP Coordinates'!$C:$C,MATCH($B77,'ZIP Coordinates'!$A:$A,0))))+COS(RADIANS('ZIP Coordinates'!$C$2))*COS(RADIANS(INDEX('ZIP Coordinates'!$C:$C,MATCH($B77,'ZIP Coordinates'!$A:$A,0))))*COS(RADIANS(INDEX('ZIP Coordinates'!$D:$D,MATCH($B77,'ZIP Coordinates'!$A:$A,0))-'ZIP Coordinates'!$D$2))))),"N/A")</f>
        <v>177.75290744808345</v>
      </c>
      <c r="E77" s="10"/>
    </row>
    <row r="78" spans="1:5" x14ac:dyDescent="0.2">
      <c r="A78" s="3" t="s">
        <v>168</v>
      </c>
      <c r="B78" s="3" t="s">
        <v>27</v>
      </c>
      <c r="C78" s="28">
        <f>SUMIF('Raw Data'!$D$2:$D$878,$A78,'Raw Data'!$I$2:$I$878)</f>
        <v>53</v>
      </c>
      <c r="D78" s="5">
        <f>IFERROR(3958.8*ACOS(MIN(1,MAX(-1,SIN(RADIANS('ZIP Coordinates'!$C$2))*SIN(RADIANS(INDEX('ZIP Coordinates'!$C:$C,MATCH($B78,'ZIP Coordinates'!$A:$A,0))))+COS(RADIANS('ZIP Coordinates'!$C$2))*COS(RADIANS(INDEX('ZIP Coordinates'!$C:$C,MATCH($B78,'ZIP Coordinates'!$A:$A,0))))*COS(RADIANS(INDEX('ZIP Coordinates'!$D:$D,MATCH($B78,'ZIP Coordinates'!$A:$A,0))-'ZIP Coordinates'!$D$2))))),"N/A")</f>
        <v>133.84218480102859</v>
      </c>
      <c r="E78" s="10"/>
    </row>
    <row r="79" spans="1:5" x14ac:dyDescent="0.2">
      <c r="A79" s="3" t="s">
        <v>169</v>
      </c>
      <c r="B79" s="3" t="s">
        <v>49</v>
      </c>
      <c r="C79" s="28">
        <f>SUMIF('Raw Data'!$D$2:$D$878,$A79,'Raw Data'!$I$2:$I$878)</f>
        <v>195</v>
      </c>
      <c r="D79" s="5">
        <f>IFERROR(3958.8*ACOS(MIN(1,MAX(-1,SIN(RADIANS('ZIP Coordinates'!$C$2))*SIN(RADIANS(INDEX('ZIP Coordinates'!$C:$C,MATCH($B79,'ZIP Coordinates'!$A:$A,0))))+COS(RADIANS('ZIP Coordinates'!$C$2))*COS(RADIANS(INDEX('ZIP Coordinates'!$C:$C,MATCH($B79,'ZIP Coordinates'!$A:$A,0))))*COS(RADIANS(INDEX('ZIP Coordinates'!$D:$D,MATCH($B79,'ZIP Coordinates'!$A:$A,0))-'ZIP Coordinates'!$D$2))))),"N/A")</f>
        <v>184.6196203096971</v>
      </c>
      <c r="E79" s="10"/>
    </row>
    <row r="80" spans="1:5" x14ac:dyDescent="0.2">
      <c r="A80" s="3" t="s">
        <v>170</v>
      </c>
      <c r="B80" s="3" t="s">
        <v>44</v>
      </c>
      <c r="C80" s="28">
        <f>SUMIF('Raw Data'!$D$2:$D$878,$A80,'Raw Data'!$I$2:$I$878)</f>
        <v>226</v>
      </c>
      <c r="D80" s="5">
        <f>IFERROR(3958.8*ACOS(MIN(1,MAX(-1,SIN(RADIANS('ZIP Coordinates'!$C$2))*SIN(RADIANS(INDEX('ZIP Coordinates'!$C:$C,MATCH($B80,'ZIP Coordinates'!$A:$A,0))))+COS(RADIANS('ZIP Coordinates'!$C$2))*COS(RADIANS(INDEX('ZIP Coordinates'!$C:$C,MATCH($B80,'ZIP Coordinates'!$A:$A,0))))*COS(RADIANS(INDEX('ZIP Coordinates'!$D:$D,MATCH($B80,'ZIP Coordinates'!$A:$A,0))-'ZIP Coordinates'!$D$2))))),"N/A")</f>
        <v>182.14260247917136</v>
      </c>
      <c r="E80" s="10"/>
    </row>
    <row r="81" spans="1:5" x14ac:dyDescent="0.2">
      <c r="A81" s="3" t="s">
        <v>171</v>
      </c>
      <c r="B81" s="3" t="s">
        <v>6</v>
      </c>
      <c r="C81" s="28">
        <f>SUMIF('Raw Data'!$D$2:$D$878,$A81,'Raw Data'!$I$2:$I$878)</f>
        <v>429</v>
      </c>
      <c r="D81" s="5">
        <f>IFERROR(3958.8*ACOS(MIN(1,MAX(-1,SIN(RADIANS('ZIP Coordinates'!$C$2))*SIN(RADIANS(INDEX('ZIP Coordinates'!$C:$C,MATCH($B81,'ZIP Coordinates'!$A:$A,0))))+COS(RADIANS('ZIP Coordinates'!$C$2))*COS(RADIANS(INDEX('ZIP Coordinates'!$C:$C,MATCH($B81,'ZIP Coordinates'!$A:$A,0))))*COS(RADIANS(INDEX('ZIP Coordinates'!$D:$D,MATCH($B81,'ZIP Coordinates'!$A:$A,0))-'ZIP Coordinates'!$D$2))))),"N/A")</f>
        <v>170.00670451695677</v>
      </c>
      <c r="E81" s="10"/>
    </row>
    <row r="82" spans="1:5" x14ac:dyDescent="0.2">
      <c r="A82" s="3" t="s">
        <v>172</v>
      </c>
      <c r="B82" s="3" t="s">
        <v>18</v>
      </c>
      <c r="C82" s="28">
        <f>SUMIF('Raw Data'!$D$2:$D$878,$A82,'Raw Data'!$I$2:$I$878)</f>
        <v>392</v>
      </c>
      <c r="D82" s="5">
        <f>IFERROR(3958.8*ACOS(MIN(1,MAX(-1,SIN(RADIANS('ZIP Coordinates'!$C$2))*SIN(RADIANS(INDEX('ZIP Coordinates'!$C:$C,MATCH($B82,'ZIP Coordinates'!$A:$A,0))))+COS(RADIANS('ZIP Coordinates'!$C$2))*COS(RADIANS(INDEX('ZIP Coordinates'!$C:$C,MATCH($B82,'ZIP Coordinates'!$A:$A,0))))*COS(RADIANS(INDEX('ZIP Coordinates'!$D:$D,MATCH($B82,'ZIP Coordinates'!$A:$A,0))-'ZIP Coordinates'!$D$2))))),"N/A")</f>
        <v>186.95026739463992</v>
      </c>
      <c r="E82" s="10"/>
    </row>
    <row r="83" spans="1:5" x14ac:dyDescent="0.2">
      <c r="A83" s="3" t="s">
        <v>173</v>
      </c>
      <c r="B83" s="3" t="s">
        <v>6</v>
      </c>
      <c r="C83" s="28">
        <f>SUMIF('Raw Data'!$D$2:$D$878,$A83,'Raw Data'!$I$2:$I$878)</f>
        <v>168</v>
      </c>
      <c r="D83" s="5">
        <f>IFERROR(3958.8*ACOS(MIN(1,MAX(-1,SIN(RADIANS('ZIP Coordinates'!$C$2))*SIN(RADIANS(INDEX('ZIP Coordinates'!$C:$C,MATCH($B83,'ZIP Coordinates'!$A:$A,0))))+COS(RADIANS('ZIP Coordinates'!$C$2))*COS(RADIANS(INDEX('ZIP Coordinates'!$C:$C,MATCH($B83,'ZIP Coordinates'!$A:$A,0))))*COS(RADIANS(INDEX('ZIP Coordinates'!$D:$D,MATCH($B83,'ZIP Coordinates'!$A:$A,0))-'ZIP Coordinates'!$D$2))))),"N/A")</f>
        <v>170.00670451695677</v>
      </c>
      <c r="E83" s="10"/>
    </row>
    <row r="84" spans="1:5" x14ac:dyDescent="0.2">
      <c r="A84" s="3" t="s">
        <v>174</v>
      </c>
      <c r="B84" s="3" t="s">
        <v>34</v>
      </c>
      <c r="C84" s="28">
        <f>SUMIF('Raw Data'!$D$2:$D$878,$A84,'Raw Data'!$I$2:$I$878)</f>
        <v>41</v>
      </c>
      <c r="D84" s="5">
        <f>IFERROR(3958.8*ACOS(MIN(1,MAX(-1,SIN(RADIANS('ZIP Coordinates'!$C$2))*SIN(RADIANS(INDEX('ZIP Coordinates'!$C:$C,MATCH($B84,'ZIP Coordinates'!$A:$A,0))))+COS(RADIANS('ZIP Coordinates'!$C$2))*COS(RADIANS(INDEX('ZIP Coordinates'!$C:$C,MATCH($B84,'ZIP Coordinates'!$A:$A,0))))*COS(RADIANS(INDEX('ZIP Coordinates'!$D:$D,MATCH($B84,'ZIP Coordinates'!$A:$A,0))-'ZIP Coordinates'!$D$2))))),"N/A")</f>
        <v>168.97312266710628</v>
      </c>
      <c r="E84" s="10"/>
    </row>
    <row r="85" spans="1:5" x14ac:dyDescent="0.2">
      <c r="A85" s="3" t="s">
        <v>175</v>
      </c>
      <c r="B85" s="3" t="s">
        <v>56</v>
      </c>
      <c r="C85" s="28">
        <f>SUMIF('Raw Data'!$D$2:$D$878,$A85,'Raw Data'!$I$2:$I$878)</f>
        <v>34</v>
      </c>
      <c r="D85" s="5">
        <f>IFERROR(3958.8*ACOS(MIN(1,MAX(-1,SIN(RADIANS('ZIP Coordinates'!$C$2))*SIN(RADIANS(INDEX('ZIP Coordinates'!$C:$C,MATCH($B85,'ZIP Coordinates'!$A:$A,0))))+COS(RADIANS('ZIP Coordinates'!$C$2))*COS(RADIANS(INDEX('ZIP Coordinates'!$C:$C,MATCH($B85,'ZIP Coordinates'!$A:$A,0))))*COS(RADIANS(INDEX('ZIP Coordinates'!$D:$D,MATCH($B85,'ZIP Coordinates'!$A:$A,0))-'ZIP Coordinates'!$D$2))))),"N/A")</f>
        <v>175.37326227537039</v>
      </c>
      <c r="E85" s="10"/>
    </row>
    <row r="86" spans="1:5" x14ac:dyDescent="0.2">
      <c r="A86" s="3" t="s">
        <v>176</v>
      </c>
      <c r="B86" s="3" t="s">
        <v>69</v>
      </c>
      <c r="C86" s="28">
        <f>SUMIF('Raw Data'!$D$2:$D$878,$A86,'Raw Data'!$I$2:$I$878)</f>
        <v>73</v>
      </c>
      <c r="D86" s="5">
        <f>IFERROR(3958.8*ACOS(MIN(1,MAX(-1,SIN(RADIANS('ZIP Coordinates'!$C$2))*SIN(RADIANS(INDEX('ZIP Coordinates'!$C:$C,MATCH($B86,'ZIP Coordinates'!$A:$A,0))))+COS(RADIANS('ZIP Coordinates'!$C$2))*COS(RADIANS(INDEX('ZIP Coordinates'!$C:$C,MATCH($B86,'ZIP Coordinates'!$A:$A,0))))*COS(RADIANS(INDEX('ZIP Coordinates'!$D:$D,MATCH($B86,'ZIP Coordinates'!$A:$A,0))-'ZIP Coordinates'!$D$2))))),"N/A")</f>
        <v>163.41175188277882</v>
      </c>
      <c r="E86" s="10"/>
    </row>
    <row r="87" spans="1:5" x14ac:dyDescent="0.2">
      <c r="A87" s="3" t="s">
        <v>177</v>
      </c>
      <c r="B87" s="3" t="s">
        <v>71</v>
      </c>
      <c r="C87" s="28">
        <f>SUMIF('Raw Data'!$D$2:$D$878,$A87,'Raw Data'!$I$2:$I$878)</f>
        <v>34</v>
      </c>
      <c r="D87" s="5">
        <f>IFERROR(3958.8*ACOS(MIN(1,MAX(-1,SIN(RADIANS('ZIP Coordinates'!$C$2))*SIN(RADIANS(INDEX('ZIP Coordinates'!$C:$C,MATCH($B87,'ZIP Coordinates'!$A:$A,0))))+COS(RADIANS('ZIP Coordinates'!$C$2))*COS(RADIANS(INDEX('ZIP Coordinates'!$C:$C,MATCH($B87,'ZIP Coordinates'!$A:$A,0))))*COS(RADIANS(INDEX('ZIP Coordinates'!$D:$D,MATCH($B87,'ZIP Coordinates'!$A:$A,0))-'ZIP Coordinates'!$D$2))))),"N/A")</f>
        <v>150.27844379053917</v>
      </c>
      <c r="E87" s="10"/>
    </row>
    <row r="88" spans="1:5" x14ac:dyDescent="0.2">
      <c r="A88" s="3" t="s">
        <v>178</v>
      </c>
      <c r="B88" s="3" t="s">
        <v>77</v>
      </c>
      <c r="C88" s="28">
        <f>SUMIF('Raw Data'!$D$2:$D$878,$A88,'Raw Data'!$I$2:$I$878)</f>
        <v>427</v>
      </c>
      <c r="D88" s="5">
        <f>IFERROR(3958.8*ACOS(MIN(1,MAX(-1,SIN(RADIANS('ZIP Coordinates'!$C$2))*SIN(RADIANS(INDEX('ZIP Coordinates'!$C:$C,MATCH($B88,'ZIP Coordinates'!$A:$A,0))))+COS(RADIANS('ZIP Coordinates'!$C$2))*COS(RADIANS(INDEX('ZIP Coordinates'!$C:$C,MATCH($B88,'ZIP Coordinates'!$A:$A,0))))*COS(RADIANS(INDEX('ZIP Coordinates'!$D:$D,MATCH($B88,'ZIP Coordinates'!$A:$A,0))-'ZIP Coordinates'!$D$2))))),"N/A")</f>
        <v>165.61057241009127</v>
      </c>
      <c r="E88" s="10"/>
    </row>
    <row r="89" spans="1:5" x14ac:dyDescent="0.2">
      <c r="A89" s="3" t="s">
        <v>179</v>
      </c>
      <c r="B89" s="3" t="s">
        <v>50</v>
      </c>
      <c r="C89" s="28">
        <f>SUMIF('Raw Data'!$D$2:$D$878,$A89,'Raw Data'!$I$2:$I$878)</f>
        <v>128</v>
      </c>
      <c r="D89" s="5">
        <f>IFERROR(3958.8*ACOS(MIN(1,MAX(-1,SIN(RADIANS('ZIP Coordinates'!$C$2))*SIN(RADIANS(INDEX('ZIP Coordinates'!$C:$C,MATCH($B89,'ZIP Coordinates'!$A:$A,0))))+COS(RADIANS('ZIP Coordinates'!$C$2))*COS(RADIANS(INDEX('ZIP Coordinates'!$C:$C,MATCH($B89,'ZIP Coordinates'!$A:$A,0))))*COS(RADIANS(INDEX('ZIP Coordinates'!$D:$D,MATCH($B89,'ZIP Coordinates'!$A:$A,0))-'ZIP Coordinates'!$D$2))))),"N/A")</f>
        <v>177.75290744808345</v>
      </c>
      <c r="E89" s="10"/>
    </row>
    <row r="90" spans="1:5" x14ac:dyDescent="0.2">
      <c r="A90" s="3" t="s">
        <v>180</v>
      </c>
      <c r="B90" s="3" t="s">
        <v>27</v>
      </c>
      <c r="C90" s="28">
        <f>SUMIF('Raw Data'!$D$2:$D$878,$A90,'Raw Data'!$I$2:$I$878)</f>
        <v>116</v>
      </c>
      <c r="D90" s="5">
        <f>IFERROR(3958.8*ACOS(MIN(1,MAX(-1,SIN(RADIANS('ZIP Coordinates'!$C$2))*SIN(RADIANS(INDEX('ZIP Coordinates'!$C:$C,MATCH($B90,'ZIP Coordinates'!$A:$A,0))))+COS(RADIANS('ZIP Coordinates'!$C$2))*COS(RADIANS(INDEX('ZIP Coordinates'!$C:$C,MATCH($B90,'ZIP Coordinates'!$A:$A,0))))*COS(RADIANS(INDEX('ZIP Coordinates'!$D:$D,MATCH($B90,'ZIP Coordinates'!$A:$A,0))-'ZIP Coordinates'!$D$2))))),"N/A")</f>
        <v>133.84218480102859</v>
      </c>
      <c r="E90" s="10"/>
    </row>
    <row r="91" spans="1:5" x14ac:dyDescent="0.2">
      <c r="A91" s="3" t="s">
        <v>181</v>
      </c>
      <c r="B91" s="3" t="s">
        <v>70</v>
      </c>
      <c r="C91" s="28">
        <f>SUMIF('Raw Data'!$D$2:$D$878,$A91,'Raw Data'!$I$2:$I$878)</f>
        <v>116</v>
      </c>
      <c r="D91" s="5">
        <f>IFERROR(3958.8*ACOS(MIN(1,MAX(-1,SIN(RADIANS('ZIP Coordinates'!$C$2))*SIN(RADIANS(INDEX('ZIP Coordinates'!$C:$C,MATCH($B91,'ZIP Coordinates'!$A:$A,0))))+COS(RADIANS('ZIP Coordinates'!$C$2))*COS(RADIANS(INDEX('ZIP Coordinates'!$C:$C,MATCH($B91,'ZIP Coordinates'!$A:$A,0))))*COS(RADIANS(INDEX('ZIP Coordinates'!$D:$D,MATCH($B91,'ZIP Coordinates'!$A:$A,0))-'ZIP Coordinates'!$D$2))))),"N/A")</f>
        <v>146.32544314254309</v>
      </c>
      <c r="E91" s="10"/>
    </row>
    <row r="92" spans="1:5" x14ac:dyDescent="0.2">
      <c r="A92" s="3" t="s">
        <v>182</v>
      </c>
      <c r="B92" s="3" t="s">
        <v>27</v>
      </c>
      <c r="C92" s="28">
        <f>SUMIF('Raw Data'!$D$2:$D$878,$A92,'Raw Data'!$I$2:$I$878)</f>
        <v>79</v>
      </c>
      <c r="D92" s="5">
        <f>IFERROR(3958.8*ACOS(MIN(1,MAX(-1,SIN(RADIANS('ZIP Coordinates'!$C$2))*SIN(RADIANS(INDEX('ZIP Coordinates'!$C:$C,MATCH($B92,'ZIP Coordinates'!$A:$A,0))))+COS(RADIANS('ZIP Coordinates'!$C$2))*COS(RADIANS(INDEX('ZIP Coordinates'!$C:$C,MATCH($B92,'ZIP Coordinates'!$A:$A,0))))*COS(RADIANS(INDEX('ZIP Coordinates'!$D:$D,MATCH($B92,'ZIP Coordinates'!$A:$A,0))-'ZIP Coordinates'!$D$2))))),"N/A")</f>
        <v>133.84218480102859</v>
      </c>
      <c r="E92" s="10"/>
    </row>
    <row r="93" spans="1:5" x14ac:dyDescent="0.2">
      <c r="A93" s="3" t="s">
        <v>183</v>
      </c>
      <c r="B93" s="3" t="s">
        <v>57</v>
      </c>
      <c r="C93" s="28">
        <f>SUMIF('Raw Data'!$D$2:$D$878,$A93,'Raw Data'!$I$2:$I$878)</f>
        <v>25</v>
      </c>
      <c r="D93" s="5">
        <f>IFERROR(3958.8*ACOS(MIN(1,MAX(-1,SIN(RADIANS('ZIP Coordinates'!$C$2))*SIN(RADIANS(INDEX('ZIP Coordinates'!$C:$C,MATCH($B93,'ZIP Coordinates'!$A:$A,0))))+COS(RADIANS('ZIP Coordinates'!$C$2))*COS(RADIANS(INDEX('ZIP Coordinates'!$C:$C,MATCH($B93,'ZIP Coordinates'!$A:$A,0))))*COS(RADIANS(INDEX('ZIP Coordinates'!$D:$D,MATCH($B93,'ZIP Coordinates'!$A:$A,0))-'ZIP Coordinates'!$D$2))))),"N/A")</f>
        <v>174.1512936930711</v>
      </c>
      <c r="E93" s="10"/>
    </row>
    <row r="94" spans="1:5" x14ac:dyDescent="0.2">
      <c r="A94" s="3" t="s">
        <v>184</v>
      </c>
      <c r="B94" s="3" t="s">
        <v>12</v>
      </c>
      <c r="C94" s="28">
        <f>SUMIF('Raw Data'!$D$2:$D$878,$A94,'Raw Data'!$I$2:$I$878)</f>
        <v>22</v>
      </c>
      <c r="D94" s="5">
        <f>IFERROR(3958.8*ACOS(MIN(1,MAX(-1,SIN(RADIANS('ZIP Coordinates'!$C$2))*SIN(RADIANS(INDEX('ZIP Coordinates'!$C:$C,MATCH($B94,'ZIP Coordinates'!$A:$A,0))))+COS(RADIANS('ZIP Coordinates'!$C$2))*COS(RADIANS(INDEX('ZIP Coordinates'!$C:$C,MATCH($B94,'ZIP Coordinates'!$A:$A,0))))*COS(RADIANS(INDEX('ZIP Coordinates'!$D:$D,MATCH($B94,'ZIP Coordinates'!$A:$A,0))-'ZIP Coordinates'!$D$2))))),"N/A")</f>
        <v>175.36797212753649</v>
      </c>
      <c r="E94" s="10"/>
    </row>
    <row r="95" spans="1:5" x14ac:dyDescent="0.2">
      <c r="A95" s="3" t="s">
        <v>185</v>
      </c>
      <c r="B95" s="3" t="s">
        <v>4</v>
      </c>
      <c r="C95" s="28">
        <f>SUMIF('Raw Data'!$D$2:$D$878,$A95,'Raw Data'!$I$2:$I$878)</f>
        <v>40</v>
      </c>
      <c r="D95" s="5" t="str">
        <f>IFERROR(3958.8*ACOS(MIN(1,MAX(-1,SIN(RADIANS('ZIP Coordinates'!$C$2))*SIN(RADIANS(INDEX('ZIP Coordinates'!$C:$C,MATCH($B95,'ZIP Coordinates'!$A:$A,0))))+COS(RADIANS('ZIP Coordinates'!$C$2))*COS(RADIANS(INDEX('ZIP Coordinates'!$C:$C,MATCH($B95,'ZIP Coordinates'!$A:$A,0))))*COS(RADIANS(INDEX('ZIP Coordinates'!$D:$D,MATCH($B95,'ZIP Coordinates'!$A:$A,0))-'ZIP Coordinates'!$D$2))))),"N/A")</f>
        <v>N/A</v>
      </c>
      <c r="E95" s="10"/>
    </row>
    <row r="96" spans="1:5" x14ac:dyDescent="0.2">
      <c r="A96" s="3" t="s">
        <v>186</v>
      </c>
      <c r="B96" s="3" t="s">
        <v>40</v>
      </c>
      <c r="C96" s="28">
        <f>SUMIF('Raw Data'!$D$2:$D$878,$A96,'Raw Data'!$I$2:$I$878)</f>
        <v>80</v>
      </c>
      <c r="D96" s="5">
        <f>IFERROR(3958.8*ACOS(MIN(1,MAX(-1,SIN(RADIANS('ZIP Coordinates'!$C$2))*SIN(RADIANS(INDEX('ZIP Coordinates'!$C:$C,MATCH($B96,'ZIP Coordinates'!$A:$A,0))))+COS(RADIANS('ZIP Coordinates'!$C$2))*COS(RADIANS(INDEX('ZIP Coordinates'!$C:$C,MATCH($B96,'ZIP Coordinates'!$A:$A,0))))*COS(RADIANS(INDEX('ZIP Coordinates'!$D:$D,MATCH($B96,'ZIP Coordinates'!$A:$A,0))-'ZIP Coordinates'!$D$2))))),"N/A")</f>
        <v>184.75352368035988</v>
      </c>
      <c r="E96" s="10"/>
    </row>
    <row r="97" spans="1:5" x14ac:dyDescent="0.2">
      <c r="A97" s="3" t="s">
        <v>187</v>
      </c>
      <c r="B97" s="3" t="s">
        <v>83</v>
      </c>
      <c r="C97" s="28">
        <f>SUMIF('Raw Data'!$D$2:$D$878,$A97,'Raw Data'!$I$2:$I$878)</f>
        <v>20</v>
      </c>
      <c r="D97" s="5">
        <f>IFERROR(3958.8*ACOS(MIN(1,MAX(-1,SIN(RADIANS('ZIP Coordinates'!$C$2))*SIN(RADIANS(INDEX('ZIP Coordinates'!$C:$C,MATCH($B97,'ZIP Coordinates'!$A:$A,0))))+COS(RADIANS('ZIP Coordinates'!$C$2))*COS(RADIANS(INDEX('ZIP Coordinates'!$C:$C,MATCH($B97,'ZIP Coordinates'!$A:$A,0))))*COS(RADIANS(INDEX('ZIP Coordinates'!$D:$D,MATCH($B97,'ZIP Coordinates'!$A:$A,0))-'ZIP Coordinates'!$D$2))))),"N/A")</f>
        <v>526.42488594533438</v>
      </c>
      <c r="E97" s="10"/>
    </row>
    <row r="98" spans="1:5" x14ac:dyDescent="0.2">
      <c r="A98" s="3" t="s">
        <v>188</v>
      </c>
      <c r="B98" s="3" t="s">
        <v>74</v>
      </c>
      <c r="C98" s="28">
        <f>SUMIF('Raw Data'!$D$2:$D$878,$A98,'Raw Data'!$I$2:$I$878)</f>
        <v>162</v>
      </c>
      <c r="D98" s="5">
        <f>IFERROR(3958.8*ACOS(MIN(1,MAX(-1,SIN(RADIANS('ZIP Coordinates'!$C$2))*SIN(RADIANS(INDEX('ZIP Coordinates'!$C:$C,MATCH($B98,'ZIP Coordinates'!$A:$A,0))))+COS(RADIANS('ZIP Coordinates'!$C$2))*COS(RADIANS(INDEX('ZIP Coordinates'!$C:$C,MATCH($B98,'ZIP Coordinates'!$A:$A,0))))*COS(RADIANS(INDEX('ZIP Coordinates'!$D:$D,MATCH($B98,'ZIP Coordinates'!$A:$A,0))-'ZIP Coordinates'!$D$2))))),"N/A")</f>
        <v>155.35376445370031</v>
      </c>
      <c r="E98" s="10"/>
    </row>
    <row r="99" spans="1:5" x14ac:dyDescent="0.2">
      <c r="A99" s="3" t="s">
        <v>189</v>
      </c>
      <c r="B99" s="3" t="s">
        <v>17</v>
      </c>
      <c r="C99" s="28">
        <f>SUMIF('Raw Data'!$D$2:$D$878,$A99,'Raw Data'!$I$2:$I$878)</f>
        <v>16</v>
      </c>
      <c r="D99" s="5">
        <f>IFERROR(3958.8*ACOS(MIN(1,MAX(-1,SIN(RADIANS('ZIP Coordinates'!$C$2))*SIN(RADIANS(INDEX('ZIP Coordinates'!$C:$C,MATCH($B99,'ZIP Coordinates'!$A:$A,0))))+COS(RADIANS('ZIP Coordinates'!$C$2))*COS(RADIANS(INDEX('ZIP Coordinates'!$C:$C,MATCH($B99,'ZIP Coordinates'!$A:$A,0))))*COS(RADIANS(INDEX('ZIP Coordinates'!$D:$D,MATCH($B99,'ZIP Coordinates'!$A:$A,0))-'ZIP Coordinates'!$D$2))))),"N/A")</f>
        <v>161.35890377274785</v>
      </c>
      <c r="E99" s="10"/>
    </row>
    <row r="100" spans="1:5" x14ac:dyDescent="0.2">
      <c r="A100" s="3" t="s">
        <v>190</v>
      </c>
      <c r="B100" s="3" t="s">
        <v>51</v>
      </c>
      <c r="C100" s="28">
        <f>SUMIF('Raw Data'!$D$2:$D$878,$A100,'Raw Data'!$I$2:$I$878)</f>
        <v>144</v>
      </c>
      <c r="D100" s="5">
        <f>IFERROR(3958.8*ACOS(MIN(1,MAX(-1,SIN(RADIANS('ZIP Coordinates'!$C$2))*SIN(RADIANS(INDEX('ZIP Coordinates'!$C:$C,MATCH($B100,'ZIP Coordinates'!$A:$A,0))))+COS(RADIANS('ZIP Coordinates'!$C$2))*COS(RADIANS(INDEX('ZIP Coordinates'!$C:$C,MATCH($B100,'ZIP Coordinates'!$A:$A,0))))*COS(RADIANS(INDEX('ZIP Coordinates'!$D:$D,MATCH($B100,'ZIP Coordinates'!$A:$A,0))-'ZIP Coordinates'!$D$2))))),"N/A")</f>
        <v>172.14937957926466</v>
      </c>
      <c r="E100" s="10"/>
    </row>
    <row r="101" spans="1:5" x14ac:dyDescent="0.2">
      <c r="A101" s="3" t="s">
        <v>191</v>
      </c>
      <c r="B101" s="3" t="s">
        <v>29</v>
      </c>
      <c r="C101" s="28">
        <f>SUMIF('Raw Data'!$D$2:$D$878,$A101,'Raw Data'!$I$2:$I$878)</f>
        <v>60</v>
      </c>
      <c r="D101" s="5">
        <f>IFERROR(3958.8*ACOS(MIN(1,MAX(-1,SIN(RADIANS('ZIP Coordinates'!$C$2))*SIN(RADIANS(INDEX('ZIP Coordinates'!$C:$C,MATCH($B101,'ZIP Coordinates'!$A:$A,0))))+COS(RADIANS('ZIP Coordinates'!$C$2))*COS(RADIANS(INDEX('ZIP Coordinates'!$C:$C,MATCH($B101,'ZIP Coordinates'!$A:$A,0))))*COS(RADIANS(INDEX('ZIP Coordinates'!$D:$D,MATCH($B101,'ZIP Coordinates'!$A:$A,0))-'ZIP Coordinates'!$D$2))))),"N/A")</f>
        <v>143.73270700152293</v>
      </c>
      <c r="E101" s="10"/>
    </row>
    <row r="102" spans="1:5" x14ac:dyDescent="0.2">
      <c r="A102" s="3" t="s">
        <v>192</v>
      </c>
      <c r="B102" s="3" t="s">
        <v>63</v>
      </c>
      <c r="C102" s="28">
        <f>SUMIF('Raw Data'!$D$2:$D$878,$A102,'Raw Data'!$I$2:$I$878)</f>
        <v>56</v>
      </c>
      <c r="D102" s="5">
        <f>IFERROR(3958.8*ACOS(MIN(1,MAX(-1,SIN(RADIANS('ZIP Coordinates'!$C$2))*SIN(RADIANS(INDEX('ZIP Coordinates'!$C:$C,MATCH($B102,'ZIP Coordinates'!$A:$A,0))))+COS(RADIANS('ZIP Coordinates'!$C$2))*COS(RADIANS(INDEX('ZIP Coordinates'!$C:$C,MATCH($B102,'ZIP Coordinates'!$A:$A,0))))*COS(RADIANS(INDEX('ZIP Coordinates'!$D:$D,MATCH($B102,'ZIP Coordinates'!$A:$A,0))-'ZIP Coordinates'!$D$2))))),"N/A")</f>
        <v>100.27052265518994</v>
      </c>
      <c r="E102" s="10"/>
    </row>
    <row r="103" spans="1:5" x14ac:dyDescent="0.2">
      <c r="A103" s="3" t="s">
        <v>193</v>
      </c>
      <c r="B103" s="3" t="s">
        <v>66</v>
      </c>
      <c r="C103" s="28">
        <f>SUMIF('Raw Data'!$D$2:$D$878,$A103,'Raw Data'!$I$2:$I$878)</f>
        <v>126</v>
      </c>
      <c r="D103" s="5">
        <f>IFERROR(3958.8*ACOS(MIN(1,MAX(-1,SIN(RADIANS('ZIP Coordinates'!$C$2))*SIN(RADIANS(INDEX('ZIP Coordinates'!$C:$C,MATCH($B103,'ZIP Coordinates'!$A:$A,0))))+COS(RADIANS('ZIP Coordinates'!$C$2))*COS(RADIANS(INDEX('ZIP Coordinates'!$C:$C,MATCH($B103,'ZIP Coordinates'!$A:$A,0))))*COS(RADIANS(INDEX('ZIP Coordinates'!$D:$D,MATCH($B103,'ZIP Coordinates'!$A:$A,0))-'ZIP Coordinates'!$D$2))))),"N/A")</f>
        <v>79.693533145307541</v>
      </c>
      <c r="E103" s="10"/>
    </row>
    <row r="104" spans="1:5" x14ac:dyDescent="0.2">
      <c r="A104" s="3" t="s">
        <v>194</v>
      </c>
      <c r="B104" s="3" t="s">
        <v>43</v>
      </c>
      <c r="C104" s="28">
        <f>SUMIF('Raw Data'!$D$2:$D$878,$A104,'Raw Data'!$I$2:$I$878)</f>
        <v>52</v>
      </c>
      <c r="D104" s="5">
        <f>IFERROR(3958.8*ACOS(MIN(1,MAX(-1,SIN(RADIANS('ZIP Coordinates'!$C$2))*SIN(RADIANS(INDEX('ZIP Coordinates'!$C:$C,MATCH($B104,'ZIP Coordinates'!$A:$A,0))))+COS(RADIANS('ZIP Coordinates'!$C$2))*COS(RADIANS(INDEX('ZIP Coordinates'!$C:$C,MATCH($B104,'ZIP Coordinates'!$A:$A,0))))*COS(RADIANS(INDEX('ZIP Coordinates'!$D:$D,MATCH($B104,'ZIP Coordinates'!$A:$A,0))-'ZIP Coordinates'!$D$2))))),"N/A")</f>
        <v>147.69997820459258</v>
      </c>
      <c r="E104" s="10"/>
    </row>
    <row r="105" spans="1:5" x14ac:dyDescent="0.2">
      <c r="A105" s="3" t="s">
        <v>195</v>
      </c>
      <c r="B105" s="3" t="s">
        <v>55</v>
      </c>
      <c r="C105" s="28">
        <f>SUMIF('Raw Data'!$D$2:$D$878,$A105,'Raw Data'!$I$2:$I$878)</f>
        <v>40</v>
      </c>
      <c r="D105" s="5">
        <f>IFERROR(3958.8*ACOS(MIN(1,MAX(-1,SIN(RADIANS('ZIP Coordinates'!$C$2))*SIN(RADIANS(INDEX('ZIP Coordinates'!$C:$C,MATCH($B105,'ZIP Coordinates'!$A:$A,0))))+COS(RADIANS('ZIP Coordinates'!$C$2))*COS(RADIANS(INDEX('ZIP Coordinates'!$C:$C,MATCH($B105,'ZIP Coordinates'!$A:$A,0))))*COS(RADIANS(INDEX('ZIP Coordinates'!$D:$D,MATCH($B105,'ZIP Coordinates'!$A:$A,0))-'ZIP Coordinates'!$D$2))))),"N/A")</f>
        <v>151.86786425731927</v>
      </c>
      <c r="E105" s="10"/>
    </row>
    <row r="106" spans="1:5" x14ac:dyDescent="0.2">
      <c r="A106" s="3" t="s">
        <v>196</v>
      </c>
      <c r="B106" s="3" t="s">
        <v>74</v>
      </c>
      <c r="C106" s="28">
        <f>SUMIF('Raw Data'!$D$2:$D$878,$A106,'Raw Data'!$I$2:$I$878)</f>
        <v>13</v>
      </c>
      <c r="D106" s="5">
        <f>IFERROR(3958.8*ACOS(MIN(1,MAX(-1,SIN(RADIANS('ZIP Coordinates'!$C$2))*SIN(RADIANS(INDEX('ZIP Coordinates'!$C:$C,MATCH($B106,'ZIP Coordinates'!$A:$A,0))))+COS(RADIANS('ZIP Coordinates'!$C$2))*COS(RADIANS(INDEX('ZIP Coordinates'!$C:$C,MATCH($B106,'ZIP Coordinates'!$A:$A,0))))*COS(RADIANS(INDEX('ZIP Coordinates'!$D:$D,MATCH($B106,'ZIP Coordinates'!$A:$A,0))-'ZIP Coordinates'!$D$2))))),"N/A")</f>
        <v>155.35376445370031</v>
      </c>
      <c r="E106" s="10"/>
    </row>
    <row r="107" spans="1:5" x14ac:dyDescent="0.2">
      <c r="A107" s="3" t="s">
        <v>197</v>
      </c>
      <c r="B107" s="3" t="s">
        <v>59</v>
      </c>
      <c r="C107" s="28">
        <f>SUMIF('Raw Data'!$D$2:$D$878,$A107,'Raw Data'!$I$2:$I$878)</f>
        <v>36</v>
      </c>
      <c r="D107" s="5">
        <f>IFERROR(3958.8*ACOS(MIN(1,MAX(-1,SIN(RADIANS('ZIP Coordinates'!$C$2))*SIN(RADIANS(INDEX('ZIP Coordinates'!$C:$C,MATCH($B107,'ZIP Coordinates'!$A:$A,0))))+COS(RADIANS('ZIP Coordinates'!$C$2))*COS(RADIANS(INDEX('ZIP Coordinates'!$C:$C,MATCH($B107,'ZIP Coordinates'!$A:$A,0))))*COS(RADIANS(INDEX('ZIP Coordinates'!$D:$D,MATCH($B107,'ZIP Coordinates'!$A:$A,0))-'ZIP Coordinates'!$D$2))))),"N/A")</f>
        <v>154.5408375886781</v>
      </c>
      <c r="E107" s="10"/>
    </row>
    <row r="108" spans="1:5" x14ac:dyDescent="0.2">
      <c r="A108" s="3" t="s">
        <v>198</v>
      </c>
      <c r="B108" s="3" t="s">
        <v>28</v>
      </c>
      <c r="C108" s="28">
        <f>SUMIF('Raw Data'!$D$2:$D$878,$A108,'Raw Data'!$I$2:$I$878)</f>
        <v>11</v>
      </c>
      <c r="D108" s="5">
        <f>IFERROR(3958.8*ACOS(MIN(1,MAX(-1,SIN(RADIANS('ZIP Coordinates'!$C$2))*SIN(RADIANS(INDEX('ZIP Coordinates'!$C:$C,MATCH($B108,'ZIP Coordinates'!$A:$A,0))))+COS(RADIANS('ZIP Coordinates'!$C$2))*COS(RADIANS(INDEX('ZIP Coordinates'!$C:$C,MATCH($B108,'ZIP Coordinates'!$A:$A,0))))*COS(RADIANS(INDEX('ZIP Coordinates'!$D:$D,MATCH($B108,'ZIP Coordinates'!$A:$A,0))-'ZIP Coordinates'!$D$2))))),"N/A")</f>
        <v>146.62233132851182</v>
      </c>
      <c r="E108" s="10"/>
    </row>
    <row r="109" spans="1:5" x14ac:dyDescent="0.2">
      <c r="A109" s="3" t="s">
        <v>199</v>
      </c>
      <c r="B109" s="3" t="s">
        <v>73</v>
      </c>
      <c r="C109" s="28">
        <f>SUMIF('Raw Data'!$D$2:$D$878,$A109,'Raw Data'!$I$2:$I$878)</f>
        <v>19</v>
      </c>
      <c r="D109" s="5">
        <f>IFERROR(3958.8*ACOS(MIN(1,MAX(-1,SIN(RADIANS('ZIP Coordinates'!$C$2))*SIN(RADIANS(INDEX('ZIP Coordinates'!$C:$C,MATCH($B109,'ZIP Coordinates'!$A:$A,0))))+COS(RADIANS('ZIP Coordinates'!$C$2))*COS(RADIANS(INDEX('ZIP Coordinates'!$C:$C,MATCH($B109,'ZIP Coordinates'!$A:$A,0))))*COS(RADIANS(INDEX('ZIP Coordinates'!$D:$D,MATCH($B109,'ZIP Coordinates'!$A:$A,0))-'ZIP Coordinates'!$D$2))))),"N/A")</f>
        <v>142.69042239079656</v>
      </c>
      <c r="E109" s="10"/>
    </row>
    <row r="110" spans="1:5" x14ac:dyDescent="0.2">
      <c r="A110" s="3" t="s">
        <v>200</v>
      </c>
      <c r="B110" s="3" t="s">
        <v>73</v>
      </c>
      <c r="C110" s="28">
        <f>SUMIF('Raw Data'!$D$2:$D$878,$A110,'Raw Data'!$I$2:$I$878)</f>
        <v>10</v>
      </c>
      <c r="D110" s="5">
        <f>IFERROR(3958.8*ACOS(MIN(1,MAX(-1,SIN(RADIANS('ZIP Coordinates'!$C$2))*SIN(RADIANS(INDEX('ZIP Coordinates'!$C:$C,MATCH($B110,'ZIP Coordinates'!$A:$A,0))))+COS(RADIANS('ZIP Coordinates'!$C$2))*COS(RADIANS(INDEX('ZIP Coordinates'!$C:$C,MATCH($B110,'ZIP Coordinates'!$A:$A,0))))*COS(RADIANS(INDEX('ZIP Coordinates'!$D:$D,MATCH($B110,'ZIP Coordinates'!$A:$A,0))-'ZIP Coordinates'!$D$2))))),"N/A")</f>
        <v>142.69042239079656</v>
      </c>
      <c r="E110" s="10"/>
    </row>
    <row r="111" spans="1:5" x14ac:dyDescent="0.2">
      <c r="A111" s="3" t="s">
        <v>201</v>
      </c>
      <c r="B111" s="3" t="s">
        <v>26</v>
      </c>
      <c r="C111" s="28">
        <f>SUMIF('Raw Data'!$D$2:$D$878,$A111,'Raw Data'!$I$2:$I$878)</f>
        <v>15</v>
      </c>
      <c r="D111" s="5">
        <f>IFERROR(3958.8*ACOS(MIN(1,MAX(-1,SIN(RADIANS('ZIP Coordinates'!$C$2))*SIN(RADIANS(INDEX('ZIP Coordinates'!$C:$C,MATCH($B111,'ZIP Coordinates'!$A:$A,0))))+COS(RADIANS('ZIP Coordinates'!$C$2))*COS(RADIANS(INDEX('ZIP Coordinates'!$C:$C,MATCH($B111,'ZIP Coordinates'!$A:$A,0))))*COS(RADIANS(INDEX('ZIP Coordinates'!$D:$D,MATCH($B111,'ZIP Coordinates'!$A:$A,0))-'ZIP Coordinates'!$D$2))))),"N/A")</f>
        <v>125.68759292675206</v>
      </c>
      <c r="E111" s="10"/>
    </row>
    <row r="112" spans="1:5" x14ac:dyDescent="0.2">
      <c r="A112" s="3" t="s">
        <v>202</v>
      </c>
      <c r="B112" s="3" t="s">
        <v>39</v>
      </c>
      <c r="C112" s="28">
        <f>SUMIF('Raw Data'!$D$2:$D$878,$A112,'Raw Data'!$I$2:$I$878)</f>
        <v>81</v>
      </c>
      <c r="D112" s="5">
        <f>IFERROR(3958.8*ACOS(MIN(1,MAX(-1,SIN(RADIANS('ZIP Coordinates'!$C$2))*SIN(RADIANS(INDEX('ZIP Coordinates'!$C:$C,MATCH($B112,'ZIP Coordinates'!$A:$A,0))))+COS(RADIANS('ZIP Coordinates'!$C$2))*COS(RADIANS(INDEX('ZIP Coordinates'!$C:$C,MATCH($B112,'ZIP Coordinates'!$A:$A,0))))*COS(RADIANS(INDEX('ZIP Coordinates'!$D:$D,MATCH($B112,'ZIP Coordinates'!$A:$A,0))-'ZIP Coordinates'!$D$2))))),"N/A")</f>
        <v>170.94938011735448</v>
      </c>
      <c r="E112" s="10"/>
    </row>
    <row r="113" spans="1:5" x14ac:dyDescent="0.2">
      <c r="A113" s="3" t="s">
        <v>203</v>
      </c>
      <c r="B113" s="3" t="s">
        <v>69</v>
      </c>
      <c r="C113" s="28">
        <f>SUMIF('Raw Data'!$D$2:$D$878,$A113,'Raw Data'!$I$2:$I$878)</f>
        <v>8</v>
      </c>
      <c r="D113" s="5">
        <f>IFERROR(3958.8*ACOS(MIN(1,MAX(-1,SIN(RADIANS('ZIP Coordinates'!$C$2))*SIN(RADIANS(INDEX('ZIP Coordinates'!$C:$C,MATCH($B113,'ZIP Coordinates'!$A:$A,0))))+COS(RADIANS('ZIP Coordinates'!$C$2))*COS(RADIANS(INDEX('ZIP Coordinates'!$C:$C,MATCH($B113,'ZIP Coordinates'!$A:$A,0))))*COS(RADIANS(INDEX('ZIP Coordinates'!$D:$D,MATCH($B113,'ZIP Coordinates'!$A:$A,0))-'ZIP Coordinates'!$D$2))))),"N/A")</f>
        <v>163.41175188277882</v>
      </c>
      <c r="E113" s="10"/>
    </row>
    <row r="114" spans="1:5" x14ac:dyDescent="0.2">
      <c r="A114" s="3" t="s">
        <v>204</v>
      </c>
      <c r="B114" s="3" t="s">
        <v>47</v>
      </c>
      <c r="C114" s="28">
        <f>SUMIF('Raw Data'!$D$2:$D$878,$A114,'Raw Data'!$I$2:$I$878)</f>
        <v>7</v>
      </c>
      <c r="D114" s="5">
        <f>IFERROR(3958.8*ACOS(MIN(1,MAX(-1,SIN(RADIANS('ZIP Coordinates'!$C$2))*SIN(RADIANS(INDEX('ZIP Coordinates'!$C:$C,MATCH($B114,'ZIP Coordinates'!$A:$A,0))))+COS(RADIANS('ZIP Coordinates'!$C$2))*COS(RADIANS(INDEX('ZIP Coordinates'!$C:$C,MATCH($B114,'ZIP Coordinates'!$A:$A,0))))*COS(RADIANS(INDEX('ZIP Coordinates'!$D:$D,MATCH($B114,'ZIP Coordinates'!$A:$A,0))-'ZIP Coordinates'!$D$2))))),"N/A")</f>
        <v>180.99820964938351</v>
      </c>
      <c r="E114" s="10"/>
    </row>
    <row r="115" spans="1:5" x14ac:dyDescent="0.2">
      <c r="A115" s="3" t="s">
        <v>205</v>
      </c>
      <c r="B115" s="3" t="s">
        <v>58</v>
      </c>
      <c r="C115" s="28">
        <f>SUMIF('Raw Data'!$D$2:$D$878,$A115,'Raw Data'!$I$2:$I$878)</f>
        <v>7</v>
      </c>
      <c r="D115" s="5">
        <f>IFERROR(3958.8*ACOS(MIN(1,MAX(-1,SIN(RADIANS('ZIP Coordinates'!$C$2))*SIN(RADIANS(INDEX('ZIP Coordinates'!$C:$C,MATCH($B115,'ZIP Coordinates'!$A:$A,0))))+COS(RADIANS('ZIP Coordinates'!$C$2))*COS(RADIANS(INDEX('ZIP Coordinates'!$C:$C,MATCH($B115,'ZIP Coordinates'!$A:$A,0))))*COS(RADIANS(INDEX('ZIP Coordinates'!$D:$D,MATCH($B115,'ZIP Coordinates'!$A:$A,0))-'ZIP Coordinates'!$D$2))))),"N/A")</f>
        <v>172.43982522423505</v>
      </c>
      <c r="E115" s="10"/>
    </row>
    <row r="116" spans="1:5" x14ac:dyDescent="0.2">
      <c r="A116" s="3" t="s">
        <v>206</v>
      </c>
      <c r="B116" s="3" t="s">
        <v>62</v>
      </c>
      <c r="C116" s="28">
        <f>SUMIF('Raw Data'!$D$2:$D$878,$A116,'Raw Data'!$I$2:$I$878)</f>
        <v>7</v>
      </c>
      <c r="D116" s="5">
        <f>IFERROR(3958.8*ACOS(MIN(1,MAX(-1,SIN(RADIANS('ZIP Coordinates'!$C$2))*SIN(RADIANS(INDEX('ZIP Coordinates'!$C:$C,MATCH($B116,'ZIP Coordinates'!$A:$A,0))))+COS(RADIANS('ZIP Coordinates'!$C$2))*COS(RADIANS(INDEX('ZIP Coordinates'!$C:$C,MATCH($B116,'ZIP Coordinates'!$A:$A,0))))*COS(RADIANS(INDEX('ZIP Coordinates'!$D:$D,MATCH($B116,'ZIP Coordinates'!$A:$A,0))-'ZIP Coordinates'!$D$2))))),"N/A")</f>
        <v>101.19831716833082</v>
      </c>
      <c r="E116" s="10"/>
    </row>
    <row r="117" spans="1:5" x14ac:dyDescent="0.2">
      <c r="A117" s="3" t="s">
        <v>207</v>
      </c>
      <c r="B117" s="3" t="s">
        <v>4</v>
      </c>
      <c r="C117" s="28">
        <f>SUMIF('Raw Data'!$D$2:$D$878,$A117,'Raw Data'!$I$2:$I$878)</f>
        <v>120</v>
      </c>
      <c r="D117" s="5" t="str">
        <f>IFERROR(3958.8*ACOS(MIN(1,MAX(-1,SIN(RADIANS('ZIP Coordinates'!$C$2))*SIN(RADIANS(INDEX('ZIP Coordinates'!$C:$C,MATCH($B117,'ZIP Coordinates'!$A:$A,0))))+COS(RADIANS('ZIP Coordinates'!$C$2))*COS(RADIANS(INDEX('ZIP Coordinates'!$C:$C,MATCH($B117,'ZIP Coordinates'!$A:$A,0))))*COS(RADIANS(INDEX('ZIP Coordinates'!$D:$D,MATCH($B117,'ZIP Coordinates'!$A:$A,0))-'ZIP Coordinates'!$D$2))))),"N/A")</f>
        <v>N/A</v>
      </c>
      <c r="E117" s="10"/>
    </row>
    <row r="118" spans="1:5" x14ac:dyDescent="0.2">
      <c r="A118" s="3" t="s">
        <v>208</v>
      </c>
      <c r="B118" s="3" t="s">
        <v>75</v>
      </c>
      <c r="C118" s="28">
        <f>SUMIF('Raw Data'!$D$2:$D$878,$A118,'Raw Data'!$I$2:$I$878)</f>
        <v>6</v>
      </c>
      <c r="D118" s="5">
        <f>IFERROR(3958.8*ACOS(MIN(1,MAX(-1,SIN(RADIANS('ZIP Coordinates'!$C$2))*SIN(RADIANS(INDEX('ZIP Coordinates'!$C:$C,MATCH($B118,'ZIP Coordinates'!$A:$A,0))))+COS(RADIANS('ZIP Coordinates'!$C$2))*COS(RADIANS(INDEX('ZIP Coordinates'!$C:$C,MATCH($B118,'ZIP Coordinates'!$A:$A,0))))*COS(RADIANS(INDEX('ZIP Coordinates'!$D:$D,MATCH($B118,'ZIP Coordinates'!$A:$A,0))-'ZIP Coordinates'!$D$2))))),"N/A")</f>
        <v>138.87185285994119</v>
      </c>
      <c r="E118" s="10"/>
    </row>
    <row r="119" spans="1:5" x14ac:dyDescent="0.2">
      <c r="A119" s="3" t="s">
        <v>209</v>
      </c>
      <c r="B119" s="3" t="s">
        <v>78</v>
      </c>
      <c r="C119" s="28">
        <f>SUMIF('Raw Data'!$D$2:$D$878,$A119,'Raw Data'!$I$2:$I$878)</f>
        <v>6</v>
      </c>
      <c r="D119" s="5">
        <f>IFERROR(3958.8*ACOS(MIN(1,MAX(-1,SIN(RADIANS('ZIP Coordinates'!$C$2))*SIN(RADIANS(INDEX('ZIP Coordinates'!$C:$C,MATCH($B119,'ZIP Coordinates'!$A:$A,0))))+COS(RADIANS('ZIP Coordinates'!$C$2))*COS(RADIANS(INDEX('ZIP Coordinates'!$C:$C,MATCH($B119,'ZIP Coordinates'!$A:$A,0))))*COS(RADIANS(INDEX('ZIP Coordinates'!$D:$D,MATCH($B119,'ZIP Coordinates'!$A:$A,0))-'ZIP Coordinates'!$D$2))))),"N/A")</f>
        <v>142.88957686050676</v>
      </c>
      <c r="E119" s="10"/>
    </row>
    <row r="120" spans="1:5" x14ac:dyDescent="0.2">
      <c r="A120" s="3" t="s">
        <v>210</v>
      </c>
      <c r="B120" s="3" t="s">
        <v>72</v>
      </c>
      <c r="C120" s="28">
        <f>SUMIF('Raw Data'!$D$2:$D$878,$A120,'Raw Data'!$I$2:$I$878)</f>
        <v>5</v>
      </c>
      <c r="D120" s="5">
        <f>IFERROR(3958.8*ACOS(MIN(1,MAX(-1,SIN(RADIANS('ZIP Coordinates'!$C$2))*SIN(RADIANS(INDEX('ZIP Coordinates'!$C:$C,MATCH($B120,'ZIP Coordinates'!$A:$A,0))))+COS(RADIANS('ZIP Coordinates'!$C$2))*COS(RADIANS(INDEX('ZIP Coordinates'!$C:$C,MATCH($B120,'ZIP Coordinates'!$A:$A,0))))*COS(RADIANS(INDEX('ZIP Coordinates'!$D:$D,MATCH($B120,'ZIP Coordinates'!$A:$A,0))-'ZIP Coordinates'!$D$2))))),"N/A")</f>
        <v>145.42497486930591</v>
      </c>
      <c r="E120" s="10"/>
    </row>
    <row r="121" spans="1:5" x14ac:dyDescent="0.2">
      <c r="A121" s="3" t="s">
        <v>211</v>
      </c>
      <c r="B121" s="3" t="s">
        <v>7</v>
      </c>
      <c r="C121" s="28">
        <f>SUMIF('Raw Data'!$D$2:$D$878,$A121,'Raw Data'!$I$2:$I$878)</f>
        <v>16</v>
      </c>
      <c r="D121" s="5">
        <f>IFERROR(3958.8*ACOS(MIN(1,MAX(-1,SIN(RADIANS('ZIP Coordinates'!$C$2))*SIN(RADIANS(INDEX('ZIP Coordinates'!$C:$C,MATCH($B121,'ZIP Coordinates'!$A:$A,0))))+COS(RADIANS('ZIP Coordinates'!$C$2))*COS(RADIANS(INDEX('ZIP Coordinates'!$C:$C,MATCH($B121,'ZIP Coordinates'!$A:$A,0))))*COS(RADIANS(INDEX('ZIP Coordinates'!$D:$D,MATCH($B121,'ZIP Coordinates'!$A:$A,0))-'ZIP Coordinates'!$D$2))))),"N/A")</f>
        <v>186.92635409257193</v>
      </c>
      <c r="E121" s="10"/>
    </row>
    <row r="122" spans="1:5" x14ac:dyDescent="0.2">
      <c r="A122" s="3" t="s">
        <v>212</v>
      </c>
      <c r="B122" s="3" t="s">
        <v>67</v>
      </c>
      <c r="C122" s="28">
        <f>SUMIF('Raw Data'!$D$2:$D$878,$A122,'Raw Data'!$I$2:$I$878)</f>
        <v>4</v>
      </c>
      <c r="D122" s="5">
        <f>IFERROR(3958.8*ACOS(MIN(1,MAX(-1,SIN(RADIANS('ZIP Coordinates'!$C$2))*SIN(RADIANS(INDEX('ZIP Coordinates'!$C:$C,MATCH($B122,'ZIP Coordinates'!$A:$A,0))))+COS(RADIANS('ZIP Coordinates'!$C$2))*COS(RADIANS(INDEX('ZIP Coordinates'!$C:$C,MATCH($B122,'ZIP Coordinates'!$A:$A,0))))*COS(RADIANS(INDEX('ZIP Coordinates'!$D:$D,MATCH($B122,'ZIP Coordinates'!$A:$A,0))-'ZIP Coordinates'!$D$2))))),"N/A")</f>
        <v>111.07664671588832</v>
      </c>
      <c r="E122" s="10"/>
    </row>
    <row r="123" spans="1:5" x14ac:dyDescent="0.2">
      <c r="A123" s="3" t="s">
        <v>213</v>
      </c>
      <c r="B123" s="3" t="s">
        <v>24</v>
      </c>
      <c r="C123" s="28">
        <f>SUMIF('Raw Data'!$D$2:$D$878,$A123,'Raw Data'!$I$2:$I$878)</f>
        <v>3</v>
      </c>
      <c r="D123" s="5">
        <f>IFERROR(3958.8*ACOS(MIN(1,MAX(-1,SIN(RADIANS('ZIP Coordinates'!$C$2))*SIN(RADIANS(INDEX('ZIP Coordinates'!$C:$C,MATCH($B123,'ZIP Coordinates'!$A:$A,0))))+COS(RADIANS('ZIP Coordinates'!$C$2))*COS(RADIANS(INDEX('ZIP Coordinates'!$C:$C,MATCH($B123,'ZIP Coordinates'!$A:$A,0))))*COS(RADIANS(INDEX('ZIP Coordinates'!$D:$D,MATCH($B123,'ZIP Coordinates'!$A:$A,0))-'ZIP Coordinates'!$D$2))))),"N/A")</f>
        <v>128.90650428006145</v>
      </c>
      <c r="E123" s="10"/>
    </row>
    <row r="124" spans="1:5" x14ac:dyDescent="0.2">
      <c r="A124" s="3" t="s">
        <v>214</v>
      </c>
      <c r="B124" s="3" t="s">
        <v>32</v>
      </c>
      <c r="C124" s="28">
        <f>SUMIF('Raw Data'!$D$2:$D$878,$A124,'Raw Data'!$I$2:$I$878)</f>
        <v>3</v>
      </c>
      <c r="D124" s="5">
        <f>IFERROR(3958.8*ACOS(MIN(1,MAX(-1,SIN(RADIANS('ZIP Coordinates'!$C$2))*SIN(RADIANS(INDEX('ZIP Coordinates'!$C:$C,MATCH($B124,'ZIP Coordinates'!$A:$A,0))))+COS(RADIANS('ZIP Coordinates'!$C$2))*COS(RADIANS(INDEX('ZIP Coordinates'!$C:$C,MATCH($B124,'ZIP Coordinates'!$A:$A,0))))*COS(RADIANS(INDEX('ZIP Coordinates'!$D:$D,MATCH($B124,'ZIP Coordinates'!$A:$A,0))-'ZIP Coordinates'!$D$2))))),"N/A")</f>
        <v>165.56237092425968</v>
      </c>
      <c r="E124" s="10"/>
    </row>
    <row r="125" spans="1:5" x14ac:dyDescent="0.2">
      <c r="A125" s="3" t="s">
        <v>215</v>
      </c>
      <c r="B125" s="3" t="s">
        <v>61</v>
      </c>
      <c r="C125" s="28">
        <f>SUMIF('Raw Data'!$D$2:$D$878,$A125,'Raw Data'!$I$2:$I$878)</f>
        <v>6</v>
      </c>
      <c r="D125" s="5">
        <f>IFERROR(3958.8*ACOS(MIN(1,MAX(-1,SIN(RADIANS('ZIP Coordinates'!$C$2))*SIN(RADIANS(INDEX('ZIP Coordinates'!$C:$C,MATCH($B125,'ZIP Coordinates'!$A:$A,0))))+COS(RADIANS('ZIP Coordinates'!$C$2))*COS(RADIANS(INDEX('ZIP Coordinates'!$C:$C,MATCH($B125,'ZIP Coordinates'!$A:$A,0))))*COS(RADIANS(INDEX('ZIP Coordinates'!$D:$D,MATCH($B125,'ZIP Coordinates'!$A:$A,0))-'ZIP Coordinates'!$D$2))))),"N/A")</f>
        <v>131.53687522349895</v>
      </c>
      <c r="E125" s="10"/>
    </row>
    <row r="126" spans="1:5" x14ac:dyDescent="0.2">
      <c r="A126" s="3" t="s">
        <v>216</v>
      </c>
      <c r="B126" s="3" t="s">
        <v>71</v>
      </c>
      <c r="C126" s="28">
        <f>SUMIF('Raw Data'!$D$2:$D$878,$A126,'Raw Data'!$I$2:$I$878)</f>
        <v>3</v>
      </c>
      <c r="D126" s="5">
        <f>IFERROR(3958.8*ACOS(MIN(1,MAX(-1,SIN(RADIANS('ZIP Coordinates'!$C$2))*SIN(RADIANS(INDEX('ZIP Coordinates'!$C:$C,MATCH($B126,'ZIP Coordinates'!$A:$A,0))))+COS(RADIANS('ZIP Coordinates'!$C$2))*COS(RADIANS(INDEX('ZIP Coordinates'!$C:$C,MATCH($B126,'ZIP Coordinates'!$A:$A,0))))*COS(RADIANS(INDEX('ZIP Coordinates'!$D:$D,MATCH($B126,'ZIP Coordinates'!$A:$A,0))-'ZIP Coordinates'!$D$2))))),"N/A")</f>
        <v>150.27844379053917</v>
      </c>
      <c r="E126" s="10"/>
    </row>
    <row r="127" spans="1:5" x14ac:dyDescent="0.2">
      <c r="A127" s="3" t="s">
        <v>217</v>
      </c>
      <c r="B127" s="3" t="s">
        <v>36</v>
      </c>
      <c r="C127" s="28">
        <f>SUMIF('Raw Data'!$D$2:$D$878,$A127,'Raw Data'!$I$2:$I$878)</f>
        <v>8</v>
      </c>
      <c r="D127" s="5">
        <f>IFERROR(3958.8*ACOS(MIN(1,MAX(-1,SIN(RADIANS('ZIP Coordinates'!$C$2))*SIN(RADIANS(INDEX('ZIP Coordinates'!$C:$C,MATCH($B127,'ZIP Coordinates'!$A:$A,0))))+COS(RADIANS('ZIP Coordinates'!$C$2))*COS(RADIANS(INDEX('ZIP Coordinates'!$C:$C,MATCH($B127,'ZIP Coordinates'!$A:$A,0))))*COS(RADIANS(INDEX('ZIP Coordinates'!$D:$D,MATCH($B127,'ZIP Coordinates'!$A:$A,0))-'ZIP Coordinates'!$D$2))))),"N/A")</f>
        <v>177.14727978591571</v>
      </c>
      <c r="E127" s="10"/>
    </row>
    <row r="128" spans="1:5" x14ac:dyDescent="0.2">
      <c r="A128" s="3" t="s">
        <v>218</v>
      </c>
      <c r="B128" s="3" t="s">
        <v>66</v>
      </c>
      <c r="C128" s="28">
        <f>SUMIF('Raw Data'!$D$2:$D$878,$A128,'Raw Data'!$I$2:$I$878)</f>
        <v>8</v>
      </c>
      <c r="D128" s="5">
        <f>IFERROR(3958.8*ACOS(MIN(1,MAX(-1,SIN(RADIANS('ZIP Coordinates'!$C$2))*SIN(RADIANS(INDEX('ZIP Coordinates'!$C:$C,MATCH($B128,'ZIP Coordinates'!$A:$A,0))))+COS(RADIANS('ZIP Coordinates'!$C$2))*COS(RADIANS(INDEX('ZIP Coordinates'!$C:$C,MATCH($B128,'ZIP Coordinates'!$A:$A,0))))*COS(RADIANS(INDEX('ZIP Coordinates'!$D:$D,MATCH($B128,'ZIP Coordinates'!$A:$A,0))-'ZIP Coordinates'!$D$2))))),"N/A")</f>
        <v>79.693533145307541</v>
      </c>
      <c r="E128" s="10"/>
    </row>
    <row r="129" spans="1:5" x14ac:dyDescent="0.2">
      <c r="A129" s="3" t="s">
        <v>219</v>
      </c>
      <c r="B129" s="3" t="s">
        <v>80</v>
      </c>
      <c r="C129" s="28">
        <f>SUMIF('Raw Data'!$D$2:$D$878,$A129,'Raw Data'!$I$2:$I$878)</f>
        <v>2</v>
      </c>
      <c r="D129" s="5">
        <f>IFERROR(3958.8*ACOS(MIN(1,MAX(-1,SIN(RADIANS('ZIP Coordinates'!$C$2))*SIN(RADIANS(INDEX('ZIP Coordinates'!$C:$C,MATCH($B129,'ZIP Coordinates'!$A:$A,0))))+COS(RADIANS('ZIP Coordinates'!$C$2))*COS(RADIANS(INDEX('ZIP Coordinates'!$C:$C,MATCH($B129,'ZIP Coordinates'!$A:$A,0))))*COS(RADIANS(INDEX('ZIP Coordinates'!$D:$D,MATCH($B129,'ZIP Coordinates'!$A:$A,0))-'ZIP Coordinates'!$D$2))))),"N/A")</f>
        <v>54.327724837201501</v>
      </c>
      <c r="E129" s="10"/>
    </row>
    <row r="130" spans="1:5" x14ac:dyDescent="0.2">
      <c r="A130" s="3" t="s">
        <v>220</v>
      </c>
      <c r="B130" s="3" t="s">
        <v>7</v>
      </c>
      <c r="C130" s="28">
        <f>SUMIF('Raw Data'!$D$2:$D$878,$A130,'Raw Data'!$I$2:$I$878)</f>
        <v>4</v>
      </c>
      <c r="D130" s="5">
        <f>IFERROR(3958.8*ACOS(MIN(1,MAX(-1,SIN(RADIANS('ZIP Coordinates'!$C$2))*SIN(RADIANS(INDEX('ZIP Coordinates'!$C:$C,MATCH($B130,'ZIP Coordinates'!$A:$A,0))))+COS(RADIANS('ZIP Coordinates'!$C$2))*COS(RADIANS(INDEX('ZIP Coordinates'!$C:$C,MATCH($B130,'ZIP Coordinates'!$A:$A,0))))*COS(RADIANS(INDEX('ZIP Coordinates'!$D:$D,MATCH($B130,'ZIP Coordinates'!$A:$A,0))-'ZIP Coordinates'!$D$2))))),"N/A")</f>
        <v>186.92635409257193</v>
      </c>
      <c r="E130" s="10"/>
    </row>
    <row r="131" spans="1:5" x14ac:dyDescent="0.2">
      <c r="A131" s="3" t="s">
        <v>221</v>
      </c>
      <c r="B131" s="3" t="s">
        <v>13</v>
      </c>
      <c r="C131" s="28">
        <f>SUMIF('Raw Data'!$D$2:$D$878,$A131,'Raw Data'!$I$2:$I$878)</f>
        <v>9</v>
      </c>
      <c r="D131" s="5">
        <f>IFERROR(3958.8*ACOS(MIN(1,MAX(-1,SIN(RADIANS('ZIP Coordinates'!$C$2))*SIN(RADIANS(INDEX('ZIP Coordinates'!$C:$C,MATCH($B131,'ZIP Coordinates'!$A:$A,0))))+COS(RADIANS('ZIP Coordinates'!$C$2))*COS(RADIANS(INDEX('ZIP Coordinates'!$C:$C,MATCH($B131,'ZIP Coordinates'!$A:$A,0))))*COS(RADIANS(INDEX('ZIP Coordinates'!$D:$D,MATCH($B131,'ZIP Coordinates'!$A:$A,0))-'ZIP Coordinates'!$D$2))))),"N/A")</f>
        <v>188.62928727380364</v>
      </c>
      <c r="E131" s="10"/>
    </row>
    <row r="132" spans="1:5" x14ac:dyDescent="0.2">
      <c r="A132" s="3" t="s">
        <v>222</v>
      </c>
      <c r="B132" s="3" t="s">
        <v>20</v>
      </c>
      <c r="C132" s="28">
        <f>SUMIF('Raw Data'!$D$2:$D$878,$A132,'Raw Data'!$I$2:$I$878)</f>
        <v>4</v>
      </c>
      <c r="D132" s="5">
        <f>IFERROR(3958.8*ACOS(MIN(1,MAX(-1,SIN(RADIANS('ZIP Coordinates'!$C$2))*SIN(RADIANS(INDEX('ZIP Coordinates'!$C:$C,MATCH($B132,'ZIP Coordinates'!$A:$A,0))))+COS(RADIANS('ZIP Coordinates'!$C$2))*COS(RADIANS(INDEX('ZIP Coordinates'!$C:$C,MATCH($B132,'ZIP Coordinates'!$A:$A,0))))*COS(RADIANS(INDEX('ZIP Coordinates'!$D:$D,MATCH($B132,'ZIP Coordinates'!$A:$A,0))-'ZIP Coordinates'!$D$2))))),"N/A")</f>
        <v>181.26827089160921</v>
      </c>
      <c r="E132" s="10"/>
    </row>
    <row r="133" spans="1:5" x14ac:dyDescent="0.2">
      <c r="A133" s="3" t="s">
        <v>223</v>
      </c>
      <c r="B133" s="3" t="s">
        <v>60</v>
      </c>
      <c r="C133" s="28">
        <f>SUMIF('Raw Data'!$D$2:$D$878,$A133,'Raw Data'!$I$2:$I$878)</f>
        <v>9</v>
      </c>
      <c r="D133" s="5">
        <f>IFERROR(3958.8*ACOS(MIN(1,MAX(-1,SIN(RADIANS('ZIP Coordinates'!$C$2))*SIN(RADIANS(INDEX('ZIP Coordinates'!$C:$C,MATCH($B133,'ZIP Coordinates'!$A:$A,0))))+COS(RADIANS('ZIP Coordinates'!$C$2))*COS(RADIANS(INDEX('ZIP Coordinates'!$C:$C,MATCH($B133,'ZIP Coordinates'!$A:$A,0))))*COS(RADIANS(INDEX('ZIP Coordinates'!$D:$D,MATCH($B133,'ZIP Coordinates'!$A:$A,0))-'ZIP Coordinates'!$D$2))))),"N/A")</f>
        <v>192.69987686056965</v>
      </c>
      <c r="E133" s="10"/>
    </row>
    <row r="134" spans="1:5" x14ac:dyDescent="0.2">
      <c r="A134" s="3" t="s">
        <v>224</v>
      </c>
      <c r="B134" s="3" t="s">
        <v>73</v>
      </c>
      <c r="C134" s="28">
        <f>SUMIF('Raw Data'!$D$2:$D$878,$A134,'Raw Data'!$I$2:$I$878)</f>
        <v>20</v>
      </c>
      <c r="D134" s="5">
        <f>IFERROR(3958.8*ACOS(MIN(1,MAX(-1,SIN(RADIANS('ZIP Coordinates'!$C$2))*SIN(RADIANS(INDEX('ZIP Coordinates'!$C:$C,MATCH($B134,'ZIP Coordinates'!$A:$A,0))))+COS(RADIANS('ZIP Coordinates'!$C$2))*COS(RADIANS(INDEX('ZIP Coordinates'!$C:$C,MATCH($B134,'ZIP Coordinates'!$A:$A,0))))*COS(RADIANS(INDEX('ZIP Coordinates'!$D:$D,MATCH($B134,'ZIP Coordinates'!$A:$A,0))-'ZIP Coordinates'!$D$2))))),"N/A")</f>
        <v>142.69042239079656</v>
      </c>
      <c r="E134" s="10"/>
    </row>
    <row r="135" spans="1:5" x14ac:dyDescent="0.2">
      <c r="A135" s="3" t="s">
        <v>225</v>
      </c>
      <c r="B135" s="3" t="s">
        <v>81</v>
      </c>
      <c r="C135" s="28">
        <f>SUMIF('Raw Data'!$D$2:$D$878,$A135,'Raw Data'!$I$2:$I$878)</f>
        <v>1</v>
      </c>
      <c r="D135" s="5">
        <f>IFERROR(3958.8*ACOS(MIN(1,MAX(-1,SIN(RADIANS('ZIP Coordinates'!$C$2))*SIN(RADIANS(INDEX('ZIP Coordinates'!$C:$C,MATCH($B135,'ZIP Coordinates'!$A:$A,0))))+COS(RADIANS('ZIP Coordinates'!$C$2))*COS(RADIANS(INDEX('ZIP Coordinates'!$C:$C,MATCH($B135,'ZIP Coordinates'!$A:$A,0))))*COS(RADIANS(INDEX('ZIP Coordinates'!$D:$D,MATCH($B135,'ZIP Coordinates'!$A:$A,0))-'ZIP Coordinates'!$D$2))))),"N/A")</f>
        <v>51.625328270759461</v>
      </c>
      <c r="E135" s="10"/>
    </row>
    <row r="136" spans="1:5" x14ac:dyDescent="0.2">
      <c r="A136" s="3" t="s">
        <v>226</v>
      </c>
      <c r="B136" s="3" t="s">
        <v>73</v>
      </c>
      <c r="C136" s="28">
        <f>SUMIF('Raw Data'!$D$2:$D$878,$A136,'Raw Data'!$I$2:$I$878)</f>
        <v>0</v>
      </c>
      <c r="D136" s="5">
        <f>IFERROR(3958.8*ACOS(MIN(1,MAX(-1,SIN(RADIANS('ZIP Coordinates'!$C$2))*SIN(RADIANS(INDEX('ZIP Coordinates'!$C:$C,MATCH($B136,'ZIP Coordinates'!$A:$A,0))))+COS(RADIANS('ZIP Coordinates'!$C$2))*COS(RADIANS(INDEX('ZIP Coordinates'!$C:$C,MATCH($B136,'ZIP Coordinates'!$A:$A,0))))*COS(RADIANS(INDEX('ZIP Coordinates'!$D:$D,MATCH($B136,'ZIP Coordinates'!$A:$A,0))-'ZIP Coordinates'!$D$2))))),"N/A")</f>
        <v>142.69042239079656</v>
      </c>
      <c r="E136" s="10"/>
    </row>
    <row r="137" spans="1:5" x14ac:dyDescent="0.2">
      <c r="A137" s="6" t="s">
        <v>84</v>
      </c>
      <c r="B137" s="8"/>
      <c r="C137" s="29">
        <f>SUMIF('Raw Data'!$D$2:$D$878,$A137,'Raw Data'!$I$2:$I$878)</f>
        <v>0</v>
      </c>
      <c r="D137" s="8"/>
      <c r="E137" s="8"/>
    </row>
    <row r="138" spans="1:5" x14ac:dyDescent="0.2">
      <c r="C138" s="30">
        <f>SUMIF('Raw Data'!$D$2:$D$878,$A138,'Raw Data'!$I$2:$I$878)</f>
        <v>0</v>
      </c>
    </row>
    <row r="139" spans="1:5" x14ac:dyDescent="0.2">
      <c r="A139" s="1" t="s">
        <v>227</v>
      </c>
      <c r="B139" s="1"/>
      <c r="C139" s="31"/>
      <c r="D139" s="1"/>
      <c r="E139" s="1"/>
    </row>
  </sheetData>
  <autoFilter ref="A1:E136" xr:uid="{00000000-0009-0000-0000-000001000000}"/>
  <mergeCells count="1">
    <mergeCell ref="A139:E13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20" customWidth="1"/>
    <col min="3" max="3" width="14" customWidth="1"/>
    <col min="4" max="4" width="16" customWidth="1"/>
  </cols>
  <sheetData>
    <row r="1" spans="1:4" x14ac:dyDescent="0.2">
      <c r="A1" s="2" t="s">
        <v>228</v>
      </c>
      <c r="B1" s="2" t="s">
        <v>394</v>
      </c>
      <c r="C1" s="2" t="s">
        <v>1</v>
      </c>
      <c r="D1" s="2" t="s">
        <v>395</v>
      </c>
    </row>
    <row r="2" spans="1:4" x14ac:dyDescent="0.2">
      <c r="A2" s="3" t="s">
        <v>229</v>
      </c>
      <c r="B2" s="28">
        <f>SUMIF('Raw Data'!$G$2:$G$878,$A2,'Raw Data'!$I$2:$I$878)</f>
        <v>0</v>
      </c>
      <c r="C2" s="4">
        <f>COUNTIF('Raw Data'!$G$2:$G$878,$A2)</f>
        <v>0</v>
      </c>
      <c r="D2" s="11">
        <f t="shared" ref="D2:D7" si="0">B2/$B$8</f>
        <v>0</v>
      </c>
    </row>
    <row r="3" spans="1:4" x14ac:dyDescent="0.2">
      <c r="A3" s="3" t="s">
        <v>230</v>
      </c>
      <c r="B3" s="28">
        <f>SUMIF('Raw Data'!$G$2:$G$878,$A3,'Raw Data'!$I$2:$I$878)</f>
        <v>137</v>
      </c>
      <c r="C3" s="4">
        <f>COUNTIF('Raw Data'!$G$2:$G$878,$A3)</f>
        <v>5</v>
      </c>
      <c r="D3" s="11">
        <f t="shared" si="0"/>
        <v>7.3545990401443009E-4</v>
      </c>
    </row>
    <row r="4" spans="1:4" x14ac:dyDescent="0.2">
      <c r="A4" s="3" t="s">
        <v>231</v>
      </c>
      <c r="B4" s="28">
        <f>SUMIF('Raw Data'!$G$2:$G$878,$A4,'Raw Data'!$I$2:$I$878)</f>
        <v>28050</v>
      </c>
      <c r="C4" s="4">
        <f>COUNTIF('Raw Data'!$G$2:$G$878,$A4)</f>
        <v>188</v>
      </c>
      <c r="D4" s="11">
        <f t="shared" si="0"/>
        <v>0.1505813891066041</v>
      </c>
    </row>
    <row r="5" spans="1:4" x14ac:dyDescent="0.2">
      <c r="A5" s="3" t="s">
        <v>232</v>
      </c>
      <c r="B5" s="28">
        <f>SUMIF('Raw Data'!$G$2:$G$878,$A5,'Raw Data'!$I$2:$I$878)</f>
        <v>154518</v>
      </c>
      <c r="C5" s="4">
        <f>COUNTIF('Raw Data'!$G$2:$G$878,$A5)</f>
        <v>537</v>
      </c>
      <c r="D5" s="11">
        <f t="shared" si="0"/>
        <v>0.82950214195986649</v>
      </c>
    </row>
    <row r="6" spans="1:4" x14ac:dyDescent="0.2">
      <c r="A6" s="3" t="s">
        <v>233</v>
      </c>
      <c r="B6" s="28">
        <f>SUMIF('Raw Data'!$G$2:$G$878,$A6,'Raw Data'!$I$2:$I$878)</f>
        <v>821</v>
      </c>
      <c r="C6" s="4">
        <f>COUNTIF('Raw Data'!$G$2:$G$878,$A6)</f>
        <v>34</v>
      </c>
      <c r="D6" s="11">
        <f t="shared" si="0"/>
        <v>4.4073911036193215E-3</v>
      </c>
    </row>
    <row r="7" spans="1:4" x14ac:dyDescent="0.2">
      <c r="A7" s="3" t="s">
        <v>234</v>
      </c>
      <c r="B7" s="28">
        <f>SUMIF('Raw Data'!$G$2:$G$878,$A7,'Raw Data'!$I$2:$I$878)</f>
        <v>2752</v>
      </c>
      <c r="C7" s="4">
        <f>COUNTIF('Raw Data'!$G$2:$G$878,$A7)</f>
        <v>113</v>
      </c>
      <c r="D7" s="11">
        <f t="shared" si="0"/>
        <v>1.4773617925895705E-2</v>
      </c>
    </row>
    <row r="8" spans="1:4" x14ac:dyDescent="0.2">
      <c r="A8" s="6" t="s">
        <v>84</v>
      </c>
      <c r="B8" s="29">
        <f>SUM(B2:B7)</f>
        <v>186278</v>
      </c>
      <c r="C8" s="7">
        <f>SUM(C2:C7)</f>
        <v>877</v>
      </c>
      <c r="D8" s="8"/>
    </row>
    <row r="9" spans="1:4" x14ac:dyDescent="0.2">
      <c r="B9" s="9"/>
      <c r="C9" s="9"/>
    </row>
    <row r="10" spans="1:4" x14ac:dyDescent="0.2">
      <c r="A10" s="1" t="s">
        <v>235</v>
      </c>
      <c r="B10" s="1"/>
      <c r="C10" s="1"/>
      <c r="D10" s="1"/>
    </row>
  </sheetData>
  <autoFilter ref="A1:D7" xr:uid="{00000000-0009-0000-0000-000002000000}"/>
  <mergeCells count="1"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6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3" width="34" customWidth="1"/>
    <col min="4" max="4" width="16" customWidth="1"/>
    <col min="5" max="5" width="20" customWidth="1"/>
    <col min="6" max="6" width="24" customWidth="1"/>
  </cols>
  <sheetData>
    <row r="1" spans="1:6" ht="28" x14ac:dyDescent="0.2">
      <c r="A1" s="2" t="s">
        <v>0</v>
      </c>
      <c r="B1" s="2" t="s">
        <v>236</v>
      </c>
      <c r="C1" s="2" t="s">
        <v>237</v>
      </c>
      <c r="D1" s="2" t="s">
        <v>238</v>
      </c>
      <c r="E1" s="2" t="s">
        <v>394</v>
      </c>
      <c r="F1" s="2" t="s">
        <v>3</v>
      </c>
    </row>
    <row r="2" spans="1:6" x14ac:dyDescent="0.2">
      <c r="A2" s="3" t="s">
        <v>4</v>
      </c>
      <c r="B2" s="3" t="s">
        <v>239</v>
      </c>
      <c r="C2" s="3" t="s">
        <v>240</v>
      </c>
      <c r="D2" s="3" t="s">
        <v>98</v>
      </c>
      <c r="E2" s="28">
        <f>SUMIFS('Raw Data'!$I$2:$I$878,'Raw Data'!$A$2:$A$878,$A2,'Raw Data'!$B$2:$B$878,$B2,'Raw Data'!$D$2:$D$878,$D2)</f>
        <v>35</v>
      </c>
      <c r="F2" s="5" t="str">
        <f>IFERROR(3958.8*ACOS(MIN(1,MAX(-1,SIN(RADIANS('ZIP Coordinates'!$C$2))*SIN(RADIANS(INDEX('ZIP Coordinates'!$C:$C,MATCH($A2,'ZIP Coordinates'!$A:$A,0))))+COS(RADIANS('ZIP Coordinates'!$C$2))*COS(RADIANS(INDEX('ZIP Coordinates'!$C:$C,MATCH($A2,'ZIP Coordinates'!$A:$A,0))))*COS(RADIANS(INDEX('ZIP Coordinates'!$D:$D,MATCH($A2,'ZIP Coordinates'!$A:$A,0))-'ZIP Coordinates'!$D$2))))),"N/A")</f>
        <v>N/A</v>
      </c>
    </row>
    <row r="3" spans="1:6" x14ac:dyDescent="0.2">
      <c r="A3" s="3" t="s">
        <v>4</v>
      </c>
      <c r="B3" s="3" t="s">
        <v>241</v>
      </c>
      <c r="C3" s="3" t="s">
        <v>242</v>
      </c>
      <c r="D3" s="3" t="s">
        <v>116</v>
      </c>
      <c r="E3" s="28">
        <f>SUMIFS('Raw Data'!$I$2:$I$878,'Raw Data'!$A$2:$A$878,$A3,'Raw Data'!$B$2:$B$878,$B3,'Raw Data'!$D$2:$D$878,$D3)</f>
        <v>4</v>
      </c>
      <c r="F3" s="5" t="str">
        <f>IFERROR(3958.8*ACOS(MIN(1,MAX(-1,SIN(RADIANS('ZIP Coordinates'!$C$2))*SIN(RADIANS(INDEX('ZIP Coordinates'!$C:$C,MATCH($A3,'ZIP Coordinates'!$A:$A,0))))+COS(RADIANS('ZIP Coordinates'!$C$2))*COS(RADIANS(INDEX('ZIP Coordinates'!$C:$C,MATCH($A3,'ZIP Coordinates'!$A:$A,0))))*COS(RADIANS(INDEX('ZIP Coordinates'!$D:$D,MATCH($A3,'ZIP Coordinates'!$A:$A,0))-'ZIP Coordinates'!$D$2))))),"N/A")</f>
        <v>N/A</v>
      </c>
    </row>
    <row r="4" spans="1:6" x14ac:dyDescent="0.2">
      <c r="A4" s="3" t="s">
        <v>4</v>
      </c>
      <c r="B4" s="3" t="s">
        <v>243</v>
      </c>
      <c r="C4" s="3" t="s">
        <v>244</v>
      </c>
      <c r="D4" s="3" t="s">
        <v>98</v>
      </c>
      <c r="E4" s="28">
        <f>SUMIFS('Raw Data'!$I$2:$I$878,'Raw Data'!$A$2:$A$878,$A4,'Raw Data'!$B$2:$B$878,$B4,'Raw Data'!$D$2:$D$878,$D4)</f>
        <v>32</v>
      </c>
      <c r="F4" s="5" t="str">
        <f>IFERROR(3958.8*ACOS(MIN(1,MAX(-1,SIN(RADIANS('ZIP Coordinates'!$C$2))*SIN(RADIANS(INDEX('ZIP Coordinates'!$C:$C,MATCH($A4,'ZIP Coordinates'!$A:$A,0))))+COS(RADIANS('ZIP Coordinates'!$C$2))*COS(RADIANS(INDEX('ZIP Coordinates'!$C:$C,MATCH($A4,'ZIP Coordinates'!$A:$A,0))))*COS(RADIANS(INDEX('ZIP Coordinates'!$D:$D,MATCH($A4,'ZIP Coordinates'!$A:$A,0))-'ZIP Coordinates'!$D$2))))),"N/A")</f>
        <v>N/A</v>
      </c>
    </row>
    <row r="5" spans="1:6" x14ac:dyDescent="0.2">
      <c r="A5" s="3" t="s">
        <v>4</v>
      </c>
      <c r="B5" s="3" t="s">
        <v>245</v>
      </c>
      <c r="C5" s="3" t="s">
        <v>246</v>
      </c>
      <c r="D5" s="3" t="s">
        <v>185</v>
      </c>
      <c r="E5" s="28">
        <f>SUMIFS('Raw Data'!$I$2:$I$878,'Raw Data'!$A$2:$A$878,$A5,'Raw Data'!$B$2:$B$878,$B5,'Raw Data'!$D$2:$D$878,$D5)</f>
        <v>20</v>
      </c>
      <c r="F5" s="5" t="str">
        <f>IFERROR(3958.8*ACOS(MIN(1,MAX(-1,SIN(RADIANS('ZIP Coordinates'!$C$2))*SIN(RADIANS(INDEX('ZIP Coordinates'!$C:$C,MATCH($A5,'ZIP Coordinates'!$A:$A,0))))+COS(RADIANS('ZIP Coordinates'!$C$2))*COS(RADIANS(INDEX('ZIP Coordinates'!$C:$C,MATCH($A5,'ZIP Coordinates'!$A:$A,0))))*COS(RADIANS(INDEX('ZIP Coordinates'!$D:$D,MATCH($A5,'ZIP Coordinates'!$A:$A,0))-'ZIP Coordinates'!$D$2))))),"N/A")</f>
        <v>N/A</v>
      </c>
    </row>
    <row r="6" spans="1:6" x14ac:dyDescent="0.2">
      <c r="A6" s="3" t="s">
        <v>4</v>
      </c>
      <c r="B6" s="3" t="s">
        <v>245</v>
      </c>
      <c r="C6" s="3" t="s">
        <v>246</v>
      </c>
      <c r="D6" s="3" t="s">
        <v>207</v>
      </c>
      <c r="E6" s="28">
        <f>SUMIFS('Raw Data'!$I$2:$I$878,'Raw Data'!$A$2:$A$878,$A6,'Raw Data'!$B$2:$B$878,$B6,'Raw Data'!$D$2:$D$878,$D6)</f>
        <v>40</v>
      </c>
      <c r="F6" s="5" t="str">
        <f>IFERROR(3958.8*ACOS(MIN(1,MAX(-1,SIN(RADIANS('ZIP Coordinates'!$C$2))*SIN(RADIANS(INDEX('ZIP Coordinates'!$C:$C,MATCH($A6,'ZIP Coordinates'!$A:$A,0))))+COS(RADIANS('ZIP Coordinates'!$C$2))*COS(RADIANS(INDEX('ZIP Coordinates'!$C:$C,MATCH($A6,'ZIP Coordinates'!$A:$A,0))))*COS(RADIANS(INDEX('ZIP Coordinates'!$D:$D,MATCH($A6,'ZIP Coordinates'!$A:$A,0))-'ZIP Coordinates'!$D$2))))),"N/A")</f>
        <v>N/A</v>
      </c>
    </row>
    <row r="7" spans="1:6" x14ac:dyDescent="0.2">
      <c r="A7" s="3" t="s">
        <v>4</v>
      </c>
      <c r="B7" s="3" t="s">
        <v>247</v>
      </c>
      <c r="C7" s="3" t="s">
        <v>246</v>
      </c>
      <c r="D7" s="3" t="s">
        <v>116</v>
      </c>
      <c r="E7" s="28">
        <f>SUMIFS('Raw Data'!$I$2:$I$878,'Raw Data'!$A$2:$A$878,$A7,'Raw Data'!$B$2:$B$878,$B7,'Raw Data'!$D$2:$D$878,$D7)</f>
        <v>7</v>
      </c>
      <c r="F7" s="5" t="str">
        <f>IFERROR(3958.8*ACOS(MIN(1,MAX(-1,SIN(RADIANS('ZIP Coordinates'!$C$2))*SIN(RADIANS(INDEX('ZIP Coordinates'!$C:$C,MATCH($A7,'ZIP Coordinates'!$A:$A,0))))+COS(RADIANS('ZIP Coordinates'!$C$2))*COS(RADIANS(INDEX('ZIP Coordinates'!$C:$C,MATCH($A7,'ZIP Coordinates'!$A:$A,0))))*COS(RADIANS(INDEX('ZIP Coordinates'!$D:$D,MATCH($A7,'ZIP Coordinates'!$A:$A,0))-'ZIP Coordinates'!$D$2))))),"N/A")</f>
        <v>N/A</v>
      </c>
    </row>
    <row r="8" spans="1:6" x14ac:dyDescent="0.2">
      <c r="A8" s="3" t="s">
        <v>4</v>
      </c>
      <c r="B8" s="3" t="s">
        <v>248</v>
      </c>
      <c r="C8" s="3" t="s">
        <v>249</v>
      </c>
      <c r="D8" s="3" t="s">
        <v>132</v>
      </c>
      <c r="E8" s="28">
        <f>SUMIFS('Raw Data'!$I$2:$I$878,'Raw Data'!$A$2:$A$878,$A8,'Raw Data'!$B$2:$B$878,$B8,'Raw Data'!$D$2:$D$878,$D8)</f>
        <v>20</v>
      </c>
      <c r="F8" s="5" t="str">
        <f>IFERROR(3958.8*ACOS(MIN(1,MAX(-1,SIN(RADIANS('ZIP Coordinates'!$C$2))*SIN(RADIANS(INDEX('ZIP Coordinates'!$C:$C,MATCH($A8,'ZIP Coordinates'!$A:$A,0))))+COS(RADIANS('ZIP Coordinates'!$C$2))*COS(RADIANS(INDEX('ZIP Coordinates'!$C:$C,MATCH($A8,'ZIP Coordinates'!$A:$A,0))))*COS(RADIANS(INDEX('ZIP Coordinates'!$D:$D,MATCH($A8,'ZIP Coordinates'!$A:$A,0))-'ZIP Coordinates'!$D$2))))),"N/A")</f>
        <v>N/A</v>
      </c>
    </row>
    <row r="9" spans="1:6" x14ac:dyDescent="0.2">
      <c r="A9" s="3" t="s">
        <v>4</v>
      </c>
      <c r="B9" s="3" t="s">
        <v>250</v>
      </c>
      <c r="C9" s="3" t="s">
        <v>249</v>
      </c>
      <c r="D9" s="3" t="s">
        <v>101</v>
      </c>
      <c r="E9" s="28">
        <f>SUMIFS('Raw Data'!$I$2:$I$878,'Raw Data'!$A$2:$A$878,$A9,'Raw Data'!$B$2:$B$878,$B9,'Raw Data'!$D$2:$D$878,$D9)</f>
        <v>246</v>
      </c>
      <c r="F9" s="5" t="str">
        <f>IFERROR(3958.8*ACOS(MIN(1,MAX(-1,SIN(RADIANS('ZIP Coordinates'!$C$2))*SIN(RADIANS(INDEX('ZIP Coordinates'!$C:$C,MATCH($A9,'ZIP Coordinates'!$A:$A,0))))+COS(RADIANS('ZIP Coordinates'!$C$2))*COS(RADIANS(INDEX('ZIP Coordinates'!$C:$C,MATCH($A9,'ZIP Coordinates'!$A:$A,0))))*COS(RADIANS(INDEX('ZIP Coordinates'!$D:$D,MATCH($A9,'ZIP Coordinates'!$A:$A,0))-'ZIP Coordinates'!$D$2))))),"N/A")</f>
        <v>N/A</v>
      </c>
    </row>
    <row r="10" spans="1:6" x14ac:dyDescent="0.2">
      <c r="A10" s="3" t="s">
        <v>4</v>
      </c>
      <c r="B10" s="3" t="s">
        <v>250</v>
      </c>
      <c r="C10" s="3" t="s">
        <v>249</v>
      </c>
      <c r="D10" s="3" t="s">
        <v>116</v>
      </c>
      <c r="E10" s="28">
        <f>SUMIFS('Raw Data'!$I$2:$I$878,'Raw Data'!$A$2:$A$878,$A10,'Raw Data'!$B$2:$B$878,$B10,'Raw Data'!$D$2:$D$878,$D10)</f>
        <v>7</v>
      </c>
      <c r="F10" s="5" t="str">
        <f>IFERROR(3958.8*ACOS(MIN(1,MAX(-1,SIN(RADIANS('ZIP Coordinates'!$C$2))*SIN(RADIANS(INDEX('ZIP Coordinates'!$C:$C,MATCH($A10,'ZIP Coordinates'!$A:$A,0))))+COS(RADIANS('ZIP Coordinates'!$C$2))*COS(RADIANS(INDEX('ZIP Coordinates'!$C:$C,MATCH($A10,'ZIP Coordinates'!$A:$A,0))))*COS(RADIANS(INDEX('ZIP Coordinates'!$D:$D,MATCH($A10,'ZIP Coordinates'!$A:$A,0))-'ZIP Coordinates'!$D$2))))),"N/A")</f>
        <v>N/A</v>
      </c>
    </row>
    <row r="11" spans="1:6" x14ac:dyDescent="0.2">
      <c r="A11" s="3" t="s">
        <v>4</v>
      </c>
      <c r="B11" s="3" t="s">
        <v>251</v>
      </c>
      <c r="C11" s="3" t="s">
        <v>252</v>
      </c>
      <c r="D11" s="3" t="s">
        <v>132</v>
      </c>
      <c r="E11" s="28">
        <f>SUMIFS('Raw Data'!$I$2:$I$878,'Raw Data'!$A$2:$A$878,$A11,'Raw Data'!$B$2:$B$878,$B11,'Raw Data'!$D$2:$D$878,$D11)</f>
        <v>10</v>
      </c>
      <c r="F11" s="5" t="str">
        <f>IFERROR(3958.8*ACOS(MIN(1,MAX(-1,SIN(RADIANS('ZIP Coordinates'!$C$2))*SIN(RADIANS(INDEX('ZIP Coordinates'!$C:$C,MATCH($A11,'ZIP Coordinates'!$A:$A,0))))+COS(RADIANS('ZIP Coordinates'!$C$2))*COS(RADIANS(INDEX('ZIP Coordinates'!$C:$C,MATCH($A11,'ZIP Coordinates'!$A:$A,0))))*COS(RADIANS(INDEX('ZIP Coordinates'!$D:$D,MATCH($A11,'ZIP Coordinates'!$A:$A,0))-'ZIP Coordinates'!$D$2))))),"N/A")</f>
        <v>N/A</v>
      </c>
    </row>
    <row r="12" spans="1:6" x14ac:dyDescent="0.2">
      <c r="A12" s="3" t="s">
        <v>4</v>
      </c>
      <c r="B12" s="3" t="s">
        <v>251</v>
      </c>
      <c r="C12" s="3" t="s">
        <v>252</v>
      </c>
      <c r="D12" s="3" t="s">
        <v>116</v>
      </c>
      <c r="E12" s="28">
        <f>SUMIFS('Raw Data'!$I$2:$I$878,'Raw Data'!$A$2:$A$878,$A12,'Raw Data'!$B$2:$B$878,$B12,'Raw Data'!$D$2:$D$878,$D12)</f>
        <v>6</v>
      </c>
      <c r="F12" s="5" t="str">
        <f>IFERROR(3958.8*ACOS(MIN(1,MAX(-1,SIN(RADIANS('ZIP Coordinates'!$C$2))*SIN(RADIANS(INDEX('ZIP Coordinates'!$C:$C,MATCH($A12,'ZIP Coordinates'!$A:$A,0))))+COS(RADIANS('ZIP Coordinates'!$C$2))*COS(RADIANS(INDEX('ZIP Coordinates'!$C:$C,MATCH($A12,'ZIP Coordinates'!$A:$A,0))))*COS(RADIANS(INDEX('ZIP Coordinates'!$D:$D,MATCH($A12,'ZIP Coordinates'!$A:$A,0))-'ZIP Coordinates'!$D$2))))),"N/A")</f>
        <v>N/A</v>
      </c>
    </row>
    <row r="13" spans="1:6" x14ac:dyDescent="0.2">
      <c r="A13" s="3" t="s">
        <v>4</v>
      </c>
      <c r="B13" s="3" t="s">
        <v>251</v>
      </c>
      <c r="C13" s="3" t="s">
        <v>252</v>
      </c>
      <c r="D13" s="3" t="s">
        <v>185</v>
      </c>
      <c r="E13" s="28">
        <f>SUMIFS('Raw Data'!$I$2:$I$878,'Raw Data'!$A$2:$A$878,$A13,'Raw Data'!$B$2:$B$878,$B13,'Raw Data'!$D$2:$D$878,$D13)</f>
        <v>20</v>
      </c>
      <c r="F13" s="5" t="str">
        <f>IFERROR(3958.8*ACOS(MIN(1,MAX(-1,SIN(RADIANS('ZIP Coordinates'!$C$2))*SIN(RADIANS(INDEX('ZIP Coordinates'!$C:$C,MATCH($A13,'ZIP Coordinates'!$A:$A,0))))+COS(RADIANS('ZIP Coordinates'!$C$2))*COS(RADIANS(INDEX('ZIP Coordinates'!$C:$C,MATCH($A13,'ZIP Coordinates'!$A:$A,0))))*COS(RADIANS(INDEX('ZIP Coordinates'!$D:$D,MATCH($A13,'ZIP Coordinates'!$A:$A,0))-'ZIP Coordinates'!$D$2))))),"N/A")</f>
        <v>N/A</v>
      </c>
    </row>
    <row r="14" spans="1:6" x14ac:dyDescent="0.2">
      <c r="A14" s="3" t="s">
        <v>4</v>
      </c>
      <c r="B14" s="3" t="s">
        <v>253</v>
      </c>
      <c r="C14" s="3" t="s">
        <v>254</v>
      </c>
      <c r="D14" s="3" t="s">
        <v>98</v>
      </c>
      <c r="E14" s="28">
        <f>SUMIFS('Raw Data'!$I$2:$I$878,'Raw Data'!$A$2:$A$878,$A14,'Raw Data'!$B$2:$B$878,$B14,'Raw Data'!$D$2:$D$878,$D14)</f>
        <v>89</v>
      </c>
      <c r="F14" s="5" t="str">
        <f>IFERROR(3958.8*ACOS(MIN(1,MAX(-1,SIN(RADIANS('ZIP Coordinates'!$C$2))*SIN(RADIANS(INDEX('ZIP Coordinates'!$C:$C,MATCH($A14,'ZIP Coordinates'!$A:$A,0))))+COS(RADIANS('ZIP Coordinates'!$C$2))*COS(RADIANS(INDEX('ZIP Coordinates'!$C:$C,MATCH($A14,'ZIP Coordinates'!$A:$A,0))))*COS(RADIANS(INDEX('ZIP Coordinates'!$D:$D,MATCH($A14,'ZIP Coordinates'!$A:$A,0))-'ZIP Coordinates'!$D$2))))),"N/A")</f>
        <v>N/A</v>
      </c>
    </row>
    <row r="15" spans="1:6" x14ac:dyDescent="0.2">
      <c r="A15" s="3" t="s">
        <v>4</v>
      </c>
      <c r="B15" s="3" t="s">
        <v>255</v>
      </c>
      <c r="C15" s="3" t="s">
        <v>256</v>
      </c>
      <c r="D15" s="3" t="s">
        <v>132</v>
      </c>
      <c r="E15" s="28">
        <f>SUMIFS('Raw Data'!$I$2:$I$878,'Raw Data'!$A$2:$A$878,$A15,'Raw Data'!$B$2:$B$878,$B15,'Raw Data'!$D$2:$D$878,$D15)</f>
        <v>40</v>
      </c>
      <c r="F15" s="5" t="str">
        <f>IFERROR(3958.8*ACOS(MIN(1,MAX(-1,SIN(RADIANS('ZIP Coordinates'!$C$2))*SIN(RADIANS(INDEX('ZIP Coordinates'!$C:$C,MATCH($A15,'ZIP Coordinates'!$A:$A,0))))+COS(RADIANS('ZIP Coordinates'!$C$2))*COS(RADIANS(INDEX('ZIP Coordinates'!$C:$C,MATCH($A15,'ZIP Coordinates'!$A:$A,0))))*COS(RADIANS(INDEX('ZIP Coordinates'!$D:$D,MATCH($A15,'ZIP Coordinates'!$A:$A,0))-'ZIP Coordinates'!$D$2))))),"N/A")</f>
        <v>N/A</v>
      </c>
    </row>
    <row r="16" spans="1:6" x14ac:dyDescent="0.2">
      <c r="A16" s="3" t="s">
        <v>4</v>
      </c>
      <c r="B16" s="3" t="s">
        <v>255</v>
      </c>
      <c r="C16" s="3" t="s">
        <v>256</v>
      </c>
      <c r="D16" s="3" t="s">
        <v>116</v>
      </c>
      <c r="E16" s="28">
        <f>SUMIFS('Raw Data'!$I$2:$I$878,'Raw Data'!$A$2:$A$878,$A16,'Raw Data'!$B$2:$B$878,$B16,'Raw Data'!$D$2:$D$878,$D16)</f>
        <v>20</v>
      </c>
      <c r="F16" s="5" t="str">
        <f>IFERROR(3958.8*ACOS(MIN(1,MAX(-1,SIN(RADIANS('ZIP Coordinates'!$C$2))*SIN(RADIANS(INDEX('ZIP Coordinates'!$C:$C,MATCH($A16,'ZIP Coordinates'!$A:$A,0))))+COS(RADIANS('ZIP Coordinates'!$C$2))*COS(RADIANS(INDEX('ZIP Coordinates'!$C:$C,MATCH($A16,'ZIP Coordinates'!$A:$A,0))))*COS(RADIANS(INDEX('ZIP Coordinates'!$D:$D,MATCH($A16,'ZIP Coordinates'!$A:$A,0))-'ZIP Coordinates'!$D$2))))),"N/A")</f>
        <v>N/A</v>
      </c>
    </row>
    <row r="17" spans="1:6" x14ac:dyDescent="0.2">
      <c r="A17" s="3" t="s">
        <v>4</v>
      </c>
      <c r="B17" s="3" t="s">
        <v>255</v>
      </c>
      <c r="C17" s="3" t="s">
        <v>256</v>
      </c>
      <c r="D17" s="3" t="s">
        <v>207</v>
      </c>
      <c r="E17" s="28">
        <f>SUMIFS('Raw Data'!$I$2:$I$878,'Raw Data'!$A$2:$A$878,$A17,'Raw Data'!$B$2:$B$878,$B17,'Raw Data'!$D$2:$D$878,$D17)</f>
        <v>80</v>
      </c>
      <c r="F17" s="5" t="str">
        <f>IFERROR(3958.8*ACOS(MIN(1,MAX(-1,SIN(RADIANS('ZIP Coordinates'!$C$2))*SIN(RADIANS(INDEX('ZIP Coordinates'!$C:$C,MATCH($A17,'ZIP Coordinates'!$A:$A,0))))+COS(RADIANS('ZIP Coordinates'!$C$2))*COS(RADIANS(INDEX('ZIP Coordinates'!$C:$C,MATCH($A17,'ZIP Coordinates'!$A:$A,0))))*COS(RADIANS(INDEX('ZIP Coordinates'!$D:$D,MATCH($A17,'ZIP Coordinates'!$A:$A,0))-'ZIP Coordinates'!$D$2))))),"N/A")</f>
        <v>N/A</v>
      </c>
    </row>
    <row r="18" spans="1:6" x14ac:dyDescent="0.2">
      <c r="A18" s="3" t="s">
        <v>4</v>
      </c>
      <c r="B18" s="3" t="s">
        <v>257</v>
      </c>
      <c r="C18" s="3" t="s">
        <v>256</v>
      </c>
      <c r="D18" s="3" t="s">
        <v>98</v>
      </c>
      <c r="E18" s="28">
        <f>SUMIFS('Raw Data'!$I$2:$I$878,'Raw Data'!$A$2:$A$878,$A18,'Raw Data'!$B$2:$B$878,$B18,'Raw Data'!$D$2:$D$878,$D18)</f>
        <v>716</v>
      </c>
      <c r="F18" s="5" t="str">
        <f>IFERROR(3958.8*ACOS(MIN(1,MAX(-1,SIN(RADIANS('ZIP Coordinates'!$C$2))*SIN(RADIANS(INDEX('ZIP Coordinates'!$C:$C,MATCH($A18,'ZIP Coordinates'!$A:$A,0))))+COS(RADIANS('ZIP Coordinates'!$C$2))*COS(RADIANS(INDEX('ZIP Coordinates'!$C:$C,MATCH($A18,'ZIP Coordinates'!$A:$A,0))))*COS(RADIANS(INDEX('ZIP Coordinates'!$D:$D,MATCH($A18,'ZIP Coordinates'!$A:$A,0))-'ZIP Coordinates'!$D$2))))),"N/A")</f>
        <v>N/A</v>
      </c>
    </row>
    <row r="19" spans="1:6" x14ac:dyDescent="0.2">
      <c r="A19" s="3" t="s">
        <v>4</v>
      </c>
      <c r="B19" s="3" t="s">
        <v>257</v>
      </c>
      <c r="C19" s="3" t="s">
        <v>256</v>
      </c>
      <c r="D19" s="3" t="s">
        <v>101</v>
      </c>
      <c r="E19" s="28">
        <f>SUMIFS('Raw Data'!$I$2:$I$878,'Raw Data'!$A$2:$A$878,$A19,'Raw Data'!$B$2:$B$878,$B19,'Raw Data'!$D$2:$D$878,$D19)</f>
        <v>433</v>
      </c>
      <c r="F19" s="5" t="str">
        <f>IFERROR(3958.8*ACOS(MIN(1,MAX(-1,SIN(RADIANS('ZIP Coordinates'!$C$2))*SIN(RADIANS(INDEX('ZIP Coordinates'!$C:$C,MATCH($A19,'ZIP Coordinates'!$A:$A,0))))+COS(RADIANS('ZIP Coordinates'!$C$2))*COS(RADIANS(INDEX('ZIP Coordinates'!$C:$C,MATCH($A19,'ZIP Coordinates'!$A:$A,0))))*COS(RADIANS(INDEX('ZIP Coordinates'!$D:$D,MATCH($A19,'ZIP Coordinates'!$A:$A,0))-'ZIP Coordinates'!$D$2))))),"N/A")</f>
        <v>N/A</v>
      </c>
    </row>
    <row r="20" spans="1:6" x14ac:dyDescent="0.2">
      <c r="A20" s="3" t="s">
        <v>4</v>
      </c>
      <c r="B20" s="3" t="s">
        <v>257</v>
      </c>
      <c r="C20" s="3" t="s">
        <v>256</v>
      </c>
      <c r="D20" s="3" t="s">
        <v>116</v>
      </c>
      <c r="E20" s="28">
        <f>SUMIFS('Raw Data'!$I$2:$I$878,'Raw Data'!$A$2:$A$878,$A20,'Raw Data'!$B$2:$B$878,$B20,'Raw Data'!$D$2:$D$878,$D20)</f>
        <v>5</v>
      </c>
      <c r="F20" s="5" t="str">
        <f>IFERROR(3958.8*ACOS(MIN(1,MAX(-1,SIN(RADIANS('ZIP Coordinates'!$C$2))*SIN(RADIANS(INDEX('ZIP Coordinates'!$C:$C,MATCH($A20,'ZIP Coordinates'!$A:$A,0))))+COS(RADIANS('ZIP Coordinates'!$C$2))*COS(RADIANS(INDEX('ZIP Coordinates'!$C:$C,MATCH($A20,'ZIP Coordinates'!$A:$A,0))))*COS(RADIANS(INDEX('ZIP Coordinates'!$D:$D,MATCH($A20,'ZIP Coordinates'!$A:$A,0))-'ZIP Coordinates'!$D$2))))),"N/A")</f>
        <v>N/A</v>
      </c>
    </row>
    <row r="21" spans="1:6" x14ac:dyDescent="0.2">
      <c r="A21" s="3" t="s">
        <v>5</v>
      </c>
      <c r="B21" s="3" t="s">
        <v>258</v>
      </c>
      <c r="C21" s="3" t="s">
        <v>240</v>
      </c>
      <c r="D21" s="3" t="s">
        <v>112</v>
      </c>
      <c r="E21" s="28">
        <f>SUMIFS('Raw Data'!$I$2:$I$878,'Raw Data'!$A$2:$A$878,$A21,'Raw Data'!$B$2:$B$878,$B21,'Raw Data'!$D$2:$D$878,$D21)</f>
        <v>88</v>
      </c>
      <c r="F21" s="5">
        <f>IFERROR(3958.8*ACOS(MIN(1,MAX(-1,SIN(RADIANS('ZIP Coordinates'!$C$2))*SIN(RADIANS(INDEX('ZIP Coordinates'!$C:$C,MATCH($A21,'ZIP Coordinates'!$A:$A,0))))+COS(RADIANS('ZIP Coordinates'!$C$2))*COS(RADIANS(INDEX('ZIP Coordinates'!$C:$C,MATCH($A21,'ZIP Coordinates'!$A:$A,0))))*COS(RADIANS(INDEX('ZIP Coordinates'!$D:$D,MATCH($A21,'ZIP Coordinates'!$A:$A,0))-'ZIP Coordinates'!$D$2))))),"N/A")</f>
        <v>174.0800745988588</v>
      </c>
    </row>
    <row r="22" spans="1:6" x14ac:dyDescent="0.2">
      <c r="A22" s="3" t="s">
        <v>5</v>
      </c>
      <c r="B22" s="3" t="s">
        <v>239</v>
      </c>
      <c r="C22" s="3" t="s">
        <v>240</v>
      </c>
      <c r="D22" s="3" t="s">
        <v>135</v>
      </c>
      <c r="E22" s="28">
        <f>SUMIFS('Raw Data'!$I$2:$I$878,'Raw Data'!$A$2:$A$878,$A22,'Raw Data'!$B$2:$B$878,$B22,'Raw Data'!$D$2:$D$878,$D22)</f>
        <v>16</v>
      </c>
      <c r="F22" s="5">
        <f>IFERROR(3958.8*ACOS(MIN(1,MAX(-1,SIN(RADIANS('ZIP Coordinates'!$C$2))*SIN(RADIANS(INDEX('ZIP Coordinates'!$C:$C,MATCH($A22,'ZIP Coordinates'!$A:$A,0))))+COS(RADIANS('ZIP Coordinates'!$C$2))*COS(RADIANS(INDEX('ZIP Coordinates'!$C:$C,MATCH($A22,'ZIP Coordinates'!$A:$A,0))))*COS(RADIANS(INDEX('ZIP Coordinates'!$D:$D,MATCH($A22,'ZIP Coordinates'!$A:$A,0))-'ZIP Coordinates'!$D$2))))),"N/A")</f>
        <v>174.0800745988588</v>
      </c>
    </row>
    <row r="23" spans="1:6" x14ac:dyDescent="0.2">
      <c r="A23" s="3" t="s">
        <v>5</v>
      </c>
      <c r="B23" s="3" t="s">
        <v>259</v>
      </c>
      <c r="C23" s="3" t="s">
        <v>260</v>
      </c>
      <c r="D23" s="3" t="s">
        <v>123</v>
      </c>
      <c r="E23" s="28">
        <f>SUMIFS('Raw Data'!$I$2:$I$878,'Raw Data'!$A$2:$A$878,$A23,'Raw Data'!$B$2:$B$878,$B23,'Raw Data'!$D$2:$D$878,$D23)</f>
        <v>992</v>
      </c>
      <c r="F23" s="5">
        <f>IFERROR(3958.8*ACOS(MIN(1,MAX(-1,SIN(RADIANS('ZIP Coordinates'!$C$2))*SIN(RADIANS(INDEX('ZIP Coordinates'!$C:$C,MATCH($A23,'ZIP Coordinates'!$A:$A,0))))+COS(RADIANS('ZIP Coordinates'!$C$2))*COS(RADIANS(INDEX('ZIP Coordinates'!$C:$C,MATCH($A23,'ZIP Coordinates'!$A:$A,0))))*COS(RADIANS(INDEX('ZIP Coordinates'!$D:$D,MATCH($A23,'ZIP Coordinates'!$A:$A,0))-'ZIP Coordinates'!$D$2))))),"N/A")</f>
        <v>174.0800745988588</v>
      </c>
    </row>
    <row r="24" spans="1:6" x14ac:dyDescent="0.2">
      <c r="A24" s="3" t="s">
        <v>5</v>
      </c>
      <c r="B24" s="3" t="s">
        <v>261</v>
      </c>
      <c r="C24" s="3" t="s">
        <v>260</v>
      </c>
      <c r="D24" s="3" t="s">
        <v>112</v>
      </c>
      <c r="E24" s="28">
        <f>SUMIFS('Raw Data'!$I$2:$I$878,'Raw Data'!$A$2:$A$878,$A24,'Raw Data'!$B$2:$B$878,$B24,'Raw Data'!$D$2:$D$878,$D24)</f>
        <v>2</v>
      </c>
      <c r="F24" s="5">
        <f>IFERROR(3958.8*ACOS(MIN(1,MAX(-1,SIN(RADIANS('ZIP Coordinates'!$C$2))*SIN(RADIANS(INDEX('ZIP Coordinates'!$C:$C,MATCH($A24,'ZIP Coordinates'!$A:$A,0))))+COS(RADIANS('ZIP Coordinates'!$C$2))*COS(RADIANS(INDEX('ZIP Coordinates'!$C:$C,MATCH($A24,'ZIP Coordinates'!$A:$A,0))))*COS(RADIANS(INDEX('ZIP Coordinates'!$D:$D,MATCH($A24,'ZIP Coordinates'!$A:$A,0))-'ZIP Coordinates'!$D$2))))),"N/A")</f>
        <v>174.0800745988588</v>
      </c>
    </row>
    <row r="25" spans="1:6" x14ac:dyDescent="0.2">
      <c r="A25" s="3" t="s">
        <v>5</v>
      </c>
      <c r="B25" s="3" t="s">
        <v>262</v>
      </c>
      <c r="C25" s="3" t="s">
        <v>263</v>
      </c>
      <c r="D25" s="3" t="s">
        <v>135</v>
      </c>
      <c r="E25" s="28">
        <f>SUMIFS('Raw Data'!$I$2:$I$878,'Raw Data'!$A$2:$A$878,$A25,'Raw Data'!$B$2:$B$878,$B25,'Raw Data'!$D$2:$D$878,$D25)</f>
        <v>24</v>
      </c>
      <c r="F25" s="5">
        <f>IFERROR(3958.8*ACOS(MIN(1,MAX(-1,SIN(RADIANS('ZIP Coordinates'!$C$2))*SIN(RADIANS(INDEX('ZIP Coordinates'!$C:$C,MATCH($A25,'ZIP Coordinates'!$A:$A,0))))+COS(RADIANS('ZIP Coordinates'!$C$2))*COS(RADIANS(INDEX('ZIP Coordinates'!$C:$C,MATCH($A25,'ZIP Coordinates'!$A:$A,0))))*COS(RADIANS(INDEX('ZIP Coordinates'!$D:$D,MATCH($A25,'ZIP Coordinates'!$A:$A,0))-'ZIP Coordinates'!$D$2))))),"N/A")</f>
        <v>174.0800745988588</v>
      </c>
    </row>
    <row r="26" spans="1:6" x14ac:dyDescent="0.2">
      <c r="A26" s="3" t="s">
        <v>5</v>
      </c>
      <c r="B26" s="3" t="s">
        <v>264</v>
      </c>
      <c r="C26" s="3" t="s">
        <v>263</v>
      </c>
      <c r="D26" s="3" t="s">
        <v>135</v>
      </c>
      <c r="E26" s="28">
        <f>SUMIFS('Raw Data'!$I$2:$I$878,'Raw Data'!$A$2:$A$878,$A26,'Raw Data'!$B$2:$B$878,$B26,'Raw Data'!$D$2:$D$878,$D26)</f>
        <v>27</v>
      </c>
      <c r="F26" s="5">
        <f>IFERROR(3958.8*ACOS(MIN(1,MAX(-1,SIN(RADIANS('ZIP Coordinates'!$C$2))*SIN(RADIANS(INDEX('ZIP Coordinates'!$C:$C,MATCH($A26,'ZIP Coordinates'!$A:$A,0))))+COS(RADIANS('ZIP Coordinates'!$C$2))*COS(RADIANS(INDEX('ZIP Coordinates'!$C:$C,MATCH($A26,'ZIP Coordinates'!$A:$A,0))))*COS(RADIANS(INDEX('ZIP Coordinates'!$D:$D,MATCH($A26,'ZIP Coordinates'!$A:$A,0))-'ZIP Coordinates'!$D$2))))),"N/A")</f>
        <v>174.0800745988588</v>
      </c>
    </row>
    <row r="27" spans="1:6" x14ac:dyDescent="0.2">
      <c r="A27" s="3" t="s">
        <v>5</v>
      </c>
      <c r="B27" s="3" t="s">
        <v>265</v>
      </c>
      <c r="C27" s="3" t="s">
        <v>266</v>
      </c>
      <c r="D27" s="3" t="s">
        <v>112</v>
      </c>
      <c r="E27" s="28">
        <f>SUMIFS('Raw Data'!$I$2:$I$878,'Raw Data'!$A$2:$A$878,$A27,'Raw Data'!$B$2:$B$878,$B27,'Raw Data'!$D$2:$D$878,$D27)</f>
        <v>13</v>
      </c>
      <c r="F27" s="5">
        <f>IFERROR(3958.8*ACOS(MIN(1,MAX(-1,SIN(RADIANS('ZIP Coordinates'!$C$2))*SIN(RADIANS(INDEX('ZIP Coordinates'!$C:$C,MATCH($A27,'ZIP Coordinates'!$A:$A,0))))+COS(RADIANS('ZIP Coordinates'!$C$2))*COS(RADIANS(INDEX('ZIP Coordinates'!$C:$C,MATCH($A27,'ZIP Coordinates'!$A:$A,0))))*COS(RADIANS(INDEX('ZIP Coordinates'!$D:$D,MATCH($A27,'ZIP Coordinates'!$A:$A,0))-'ZIP Coordinates'!$D$2))))),"N/A")</f>
        <v>174.0800745988588</v>
      </c>
    </row>
    <row r="28" spans="1:6" x14ac:dyDescent="0.2">
      <c r="A28" s="3" t="s">
        <v>5</v>
      </c>
      <c r="B28" s="3" t="s">
        <v>267</v>
      </c>
      <c r="C28" s="3" t="s">
        <v>268</v>
      </c>
      <c r="D28" s="3" t="s">
        <v>112</v>
      </c>
      <c r="E28" s="28">
        <f>SUMIFS('Raw Data'!$I$2:$I$878,'Raw Data'!$A$2:$A$878,$A28,'Raw Data'!$B$2:$B$878,$B28,'Raw Data'!$D$2:$D$878,$D28)</f>
        <v>48</v>
      </c>
      <c r="F28" s="5">
        <f>IFERROR(3958.8*ACOS(MIN(1,MAX(-1,SIN(RADIANS('ZIP Coordinates'!$C$2))*SIN(RADIANS(INDEX('ZIP Coordinates'!$C:$C,MATCH($A28,'ZIP Coordinates'!$A:$A,0))))+COS(RADIANS('ZIP Coordinates'!$C$2))*COS(RADIANS(INDEX('ZIP Coordinates'!$C:$C,MATCH($A28,'ZIP Coordinates'!$A:$A,0))))*COS(RADIANS(INDEX('ZIP Coordinates'!$D:$D,MATCH($A28,'ZIP Coordinates'!$A:$A,0))-'ZIP Coordinates'!$D$2))))),"N/A")</f>
        <v>174.0800745988588</v>
      </c>
    </row>
    <row r="29" spans="1:6" x14ac:dyDescent="0.2">
      <c r="A29" s="3" t="s">
        <v>5</v>
      </c>
      <c r="B29" s="3" t="s">
        <v>269</v>
      </c>
      <c r="C29" s="3" t="s">
        <v>268</v>
      </c>
      <c r="D29" s="3" t="s">
        <v>112</v>
      </c>
      <c r="E29" s="28">
        <f>SUMIFS('Raw Data'!$I$2:$I$878,'Raw Data'!$A$2:$A$878,$A29,'Raw Data'!$B$2:$B$878,$B29,'Raw Data'!$D$2:$D$878,$D29)</f>
        <v>6</v>
      </c>
      <c r="F29" s="5">
        <f>IFERROR(3958.8*ACOS(MIN(1,MAX(-1,SIN(RADIANS('ZIP Coordinates'!$C$2))*SIN(RADIANS(INDEX('ZIP Coordinates'!$C:$C,MATCH($A29,'ZIP Coordinates'!$A:$A,0))))+COS(RADIANS('ZIP Coordinates'!$C$2))*COS(RADIANS(INDEX('ZIP Coordinates'!$C:$C,MATCH($A29,'ZIP Coordinates'!$A:$A,0))))*COS(RADIANS(INDEX('ZIP Coordinates'!$D:$D,MATCH($A29,'ZIP Coordinates'!$A:$A,0))-'ZIP Coordinates'!$D$2))))),"N/A")</f>
        <v>174.0800745988588</v>
      </c>
    </row>
    <row r="30" spans="1:6" x14ac:dyDescent="0.2">
      <c r="A30" s="3" t="s">
        <v>5</v>
      </c>
      <c r="B30" s="3" t="s">
        <v>270</v>
      </c>
      <c r="C30" s="3" t="s">
        <v>242</v>
      </c>
      <c r="D30" s="3" t="s">
        <v>112</v>
      </c>
      <c r="E30" s="28">
        <f>SUMIFS('Raw Data'!$I$2:$I$878,'Raw Data'!$A$2:$A$878,$A30,'Raw Data'!$B$2:$B$878,$B30,'Raw Data'!$D$2:$D$878,$D30)</f>
        <v>27</v>
      </c>
      <c r="F30" s="5">
        <f>IFERROR(3958.8*ACOS(MIN(1,MAX(-1,SIN(RADIANS('ZIP Coordinates'!$C$2))*SIN(RADIANS(INDEX('ZIP Coordinates'!$C:$C,MATCH($A30,'ZIP Coordinates'!$A:$A,0))))+COS(RADIANS('ZIP Coordinates'!$C$2))*COS(RADIANS(INDEX('ZIP Coordinates'!$C:$C,MATCH($A30,'ZIP Coordinates'!$A:$A,0))))*COS(RADIANS(INDEX('ZIP Coordinates'!$D:$D,MATCH($A30,'ZIP Coordinates'!$A:$A,0))-'ZIP Coordinates'!$D$2))))),"N/A")</f>
        <v>174.0800745988588</v>
      </c>
    </row>
    <row r="31" spans="1:6" x14ac:dyDescent="0.2">
      <c r="A31" s="3" t="s">
        <v>5</v>
      </c>
      <c r="B31" s="3" t="s">
        <v>241</v>
      </c>
      <c r="C31" s="3" t="s">
        <v>242</v>
      </c>
      <c r="D31" s="3" t="s">
        <v>112</v>
      </c>
      <c r="E31" s="28">
        <f>SUMIFS('Raw Data'!$I$2:$I$878,'Raw Data'!$A$2:$A$878,$A31,'Raw Data'!$B$2:$B$878,$B31,'Raw Data'!$D$2:$D$878,$D31)</f>
        <v>34</v>
      </c>
      <c r="F31" s="5">
        <f>IFERROR(3958.8*ACOS(MIN(1,MAX(-1,SIN(RADIANS('ZIP Coordinates'!$C$2))*SIN(RADIANS(INDEX('ZIP Coordinates'!$C:$C,MATCH($A31,'ZIP Coordinates'!$A:$A,0))))+COS(RADIANS('ZIP Coordinates'!$C$2))*COS(RADIANS(INDEX('ZIP Coordinates'!$C:$C,MATCH($A31,'ZIP Coordinates'!$A:$A,0))))*COS(RADIANS(INDEX('ZIP Coordinates'!$D:$D,MATCH($A31,'ZIP Coordinates'!$A:$A,0))-'ZIP Coordinates'!$D$2))))),"N/A")</f>
        <v>174.0800745988588</v>
      </c>
    </row>
    <row r="32" spans="1:6" x14ac:dyDescent="0.2">
      <c r="A32" s="3" t="s">
        <v>5</v>
      </c>
      <c r="B32" s="3" t="s">
        <v>271</v>
      </c>
      <c r="C32" s="3" t="s">
        <v>244</v>
      </c>
      <c r="D32" s="3" t="s">
        <v>112</v>
      </c>
      <c r="E32" s="28">
        <f>SUMIFS('Raw Data'!$I$2:$I$878,'Raw Data'!$A$2:$A$878,$A32,'Raw Data'!$B$2:$B$878,$B32,'Raw Data'!$D$2:$D$878,$D32)</f>
        <v>27</v>
      </c>
      <c r="F32" s="5">
        <f>IFERROR(3958.8*ACOS(MIN(1,MAX(-1,SIN(RADIANS('ZIP Coordinates'!$C$2))*SIN(RADIANS(INDEX('ZIP Coordinates'!$C:$C,MATCH($A32,'ZIP Coordinates'!$A:$A,0))))+COS(RADIANS('ZIP Coordinates'!$C$2))*COS(RADIANS(INDEX('ZIP Coordinates'!$C:$C,MATCH($A32,'ZIP Coordinates'!$A:$A,0))))*COS(RADIANS(INDEX('ZIP Coordinates'!$D:$D,MATCH($A32,'ZIP Coordinates'!$A:$A,0))-'ZIP Coordinates'!$D$2))))),"N/A")</f>
        <v>174.0800745988588</v>
      </c>
    </row>
    <row r="33" spans="1:6" x14ac:dyDescent="0.2">
      <c r="A33" s="3" t="s">
        <v>5</v>
      </c>
      <c r="B33" s="3" t="s">
        <v>243</v>
      </c>
      <c r="C33" s="3" t="s">
        <v>244</v>
      </c>
      <c r="D33" s="3" t="s">
        <v>112</v>
      </c>
      <c r="E33" s="28">
        <f>SUMIFS('Raw Data'!$I$2:$I$878,'Raw Data'!$A$2:$A$878,$A33,'Raw Data'!$B$2:$B$878,$B33,'Raw Data'!$D$2:$D$878,$D33)</f>
        <v>35</v>
      </c>
      <c r="F33" s="5">
        <f>IFERROR(3958.8*ACOS(MIN(1,MAX(-1,SIN(RADIANS('ZIP Coordinates'!$C$2))*SIN(RADIANS(INDEX('ZIP Coordinates'!$C:$C,MATCH($A33,'ZIP Coordinates'!$A:$A,0))))+COS(RADIANS('ZIP Coordinates'!$C$2))*COS(RADIANS(INDEX('ZIP Coordinates'!$C:$C,MATCH($A33,'ZIP Coordinates'!$A:$A,0))))*COS(RADIANS(INDEX('ZIP Coordinates'!$D:$D,MATCH($A33,'ZIP Coordinates'!$A:$A,0))-'ZIP Coordinates'!$D$2))))),"N/A")</f>
        <v>174.0800745988588</v>
      </c>
    </row>
    <row r="34" spans="1:6" x14ac:dyDescent="0.2">
      <c r="A34" s="3" t="s">
        <v>5</v>
      </c>
      <c r="B34" s="3" t="s">
        <v>272</v>
      </c>
      <c r="C34" s="3" t="s">
        <v>273</v>
      </c>
      <c r="D34" s="3" t="s">
        <v>112</v>
      </c>
      <c r="E34" s="28">
        <f>SUMIFS('Raw Data'!$I$2:$I$878,'Raw Data'!$A$2:$A$878,$A34,'Raw Data'!$B$2:$B$878,$B34,'Raw Data'!$D$2:$D$878,$D34)</f>
        <v>18</v>
      </c>
      <c r="F34" s="5">
        <f>IFERROR(3958.8*ACOS(MIN(1,MAX(-1,SIN(RADIANS('ZIP Coordinates'!$C$2))*SIN(RADIANS(INDEX('ZIP Coordinates'!$C:$C,MATCH($A34,'ZIP Coordinates'!$A:$A,0))))+COS(RADIANS('ZIP Coordinates'!$C$2))*COS(RADIANS(INDEX('ZIP Coordinates'!$C:$C,MATCH($A34,'ZIP Coordinates'!$A:$A,0))))*COS(RADIANS(INDEX('ZIP Coordinates'!$D:$D,MATCH($A34,'ZIP Coordinates'!$A:$A,0))-'ZIP Coordinates'!$D$2))))),"N/A")</f>
        <v>174.0800745988588</v>
      </c>
    </row>
    <row r="35" spans="1:6" x14ac:dyDescent="0.2">
      <c r="A35" s="3" t="s">
        <v>5</v>
      </c>
      <c r="B35" s="3" t="s">
        <v>274</v>
      </c>
      <c r="C35" s="3" t="s">
        <v>275</v>
      </c>
      <c r="D35" s="3" t="s">
        <v>112</v>
      </c>
      <c r="E35" s="28">
        <f>SUMIFS('Raw Data'!$I$2:$I$878,'Raw Data'!$A$2:$A$878,$A35,'Raw Data'!$B$2:$B$878,$B35,'Raw Data'!$D$2:$D$878,$D35)</f>
        <v>45</v>
      </c>
      <c r="F35" s="5">
        <f>IFERROR(3958.8*ACOS(MIN(1,MAX(-1,SIN(RADIANS('ZIP Coordinates'!$C$2))*SIN(RADIANS(INDEX('ZIP Coordinates'!$C:$C,MATCH($A35,'ZIP Coordinates'!$A:$A,0))))+COS(RADIANS('ZIP Coordinates'!$C$2))*COS(RADIANS(INDEX('ZIP Coordinates'!$C:$C,MATCH($A35,'ZIP Coordinates'!$A:$A,0))))*COS(RADIANS(INDEX('ZIP Coordinates'!$D:$D,MATCH($A35,'ZIP Coordinates'!$A:$A,0))-'ZIP Coordinates'!$D$2))))),"N/A")</f>
        <v>174.0800745988588</v>
      </c>
    </row>
    <row r="36" spans="1:6" x14ac:dyDescent="0.2">
      <c r="A36" s="3" t="s">
        <v>5</v>
      </c>
      <c r="B36" s="3" t="s">
        <v>276</v>
      </c>
      <c r="C36" s="3" t="s">
        <v>275</v>
      </c>
      <c r="D36" s="3" t="s">
        <v>123</v>
      </c>
      <c r="E36" s="28">
        <f>SUMIFS('Raw Data'!$I$2:$I$878,'Raw Data'!$A$2:$A$878,$A36,'Raw Data'!$B$2:$B$878,$B36,'Raw Data'!$D$2:$D$878,$D36)</f>
        <v>85</v>
      </c>
      <c r="F36" s="5">
        <f>IFERROR(3958.8*ACOS(MIN(1,MAX(-1,SIN(RADIANS('ZIP Coordinates'!$C$2))*SIN(RADIANS(INDEX('ZIP Coordinates'!$C:$C,MATCH($A36,'ZIP Coordinates'!$A:$A,0))))+COS(RADIANS('ZIP Coordinates'!$C$2))*COS(RADIANS(INDEX('ZIP Coordinates'!$C:$C,MATCH($A36,'ZIP Coordinates'!$A:$A,0))))*COS(RADIANS(INDEX('ZIP Coordinates'!$D:$D,MATCH($A36,'ZIP Coordinates'!$A:$A,0))-'ZIP Coordinates'!$D$2))))),"N/A")</f>
        <v>174.0800745988588</v>
      </c>
    </row>
    <row r="37" spans="1:6" x14ac:dyDescent="0.2">
      <c r="A37" s="3" t="s">
        <v>5</v>
      </c>
      <c r="B37" s="3" t="s">
        <v>277</v>
      </c>
      <c r="C37" s="3" t="s">
        <v>278</v>
      </c>
      <c r="D37" s="3" t="s">
        <v>112</v>
      </c>
      <c r="E37" s="28">
        <f>SUMIFS('Raw Data'!$I$2:$I$878,'Raw Data'!$A$2:$A$878,$A37,'Raw Data'!$B$2:$B$878,$B37,'Raw Data'!$D$2:$D$878,$D37)</f>
        <v>51</v>
      </c>
      <c r="F37" s="5">
        <f>IFERROR(3958.8*ACOS(MIN(1,MAX(-1,SIN(RADIANS('ZIP Coordinates'!$C$2))*SIN(RADIANS(INDEX('ZIP Coordinates'!$C:$C,MATCH($A37,'ZIP Coordinates'!$A:$A,0))))+COS(RADIANS('ZIP Coordinates'!$C$2))*COS(RADIANS(INDEX('ZIP Coordinates'!$C:$C,MATCH($A37,'ZIP Coordinates'!$A:$A,0))))*COS(RADIANS(INDEX('ZIP Coordinates'!$D:$D,MATCH($A37,'ZIP Coordinates'!$A:$A,0))-'ZIP Coordinates'!$D$2))))),"N/A")</f>
        <v>174.0800745988588</v>
      </c>
    </row>
    <row r="38" spans="1:6" x14ac:dyDescent="0.2">
      <c r="A38" s="3" t="s">
        <v>5</v>
      </c>
      <c r="B38" s="3" t="s">
        <v>279</v>
      </c>
      <c r="C38" s="3" t="s">
        <v>280</v>
      </c>
      <c r="D38" s="3" t="s">
        <v>112</v>
      </c>
      <c r="E38" s="28">
        <f>SUMIFS('Raw Data'!$I$2:$I$878,'Raw Data'!$A$2:$A$878,$A38,'Raw Data'!$B$2:$B$878,$B38,'Raw Data'!$D$2:$D$878,$D38)</f>
        <v>41</v>
      </c>
      <c r="F38" s="5">
        <f>IFERROR(3958.8*ACOS(MIN(1,MAX(-1,SIN(RADIANS('ZIP Coordinates'!$C$2))*SIN(RADIANS(INDEX('ZIP Coordinates'!$C:$C,MATCH($A38,'ZIP Coordinates'!$A:$A,0))))+COS(RADIANS('ZIP Coordinates'!$C$2))*COS(RADIANS(INDEX('ZIP Coordinates'!$C:$C,MATCH($A38,'ZIP Coordinates'!$A:$A,0))))*COS(RADIANS(INDEX('ZIP Coordinates'!$D:$D,MATCH($A38,'ZIP Coordinates'!$A:$A,0))-'ZIP Coordinates'!$D$2))))),"N/A")</f>
        <v>174.0800745988588</v>
      </c>
    </row>
    <row r="39" spans="1:6" x14ac:dyDescent="0.2">
      <c r="A39" s="3" t="s">
        <v>5</v>
      </c>
      <c r="B39" s="3" t="s">
        <v>247</v>
      </c>
      <c r="C39" s="3" t="s">
        <v>246</v>
      </c>
      <c r="D39" s="3" t="s">
        <v>112</v>
      </c>
      <c r="E39" s="28">
        <f>SUMIFS('Raw Data'!$I$2:$I$878,'Raw Data'!$A$2:$A$878,$A39,'Raw Data'!$B$2:$B$878,$B39,'Raw Data'!$D$2:$D$878,$D39)</f>
        <v>75</v>
      </c>
      <c r="F39" s="5">
        <f>IFERROR(3958.8*ACOS(MIN(1,MAX(-1,SIN(RADIANS('ZIP Coordinates'!$C$2))*SIN(RADIANS(INDEX('ZIP Coordinates'!$C:$C,MATCH($A39,'ZIP Coordinates'!$A:$A,0))))+COS(RADIANS('ZIP Coordinates'!$C$2))*COS(RADIANS(INDEX('ZIP Coordinates'!$C:$C,MATCH($A39,'ZIP Coordinates'!$A:$A,0))))*COS(RADIANS(INDEX('ZIP Coordinates'!$D:$D,MATCH($A39,'ZIP Coordinates'!$A:$A,0))-'ZIP Coordinates'!$D$2))))),"N/A")</f>
        <v>174.0800745988588</v>
      </c>
    </row>
    <row r="40" spans="1:6" x14ac:dyDescent="0.2">
      <c r="A40" s="3" t="s">
        <v>5</v>
      </c>
      <c r="B40" s="3" t="s">
        <v>248</v>
      </c>
      <c r="C40" s="3" t="s">
        <v>249</v>
      </c>
      <c r="D40" s="3" t="s">
        <v>135</v>
      </c>
      <c r="E40" s="28">
        <f>SUMIFS('Raw Data'!$I$2:$I$878,'Raw Data'!$A$2:$A$878,$A40,'Raw Data'!$B$2:$B$878,$B40,'Raw Data'!$D$2:$D$878,$D40)</f>
        <v>360</v>
      </c>
      <c r="F40" s="5">
        <f>IFERROR(3958.8*ACOS(MIN(1,MAX(-1,SIN(RADIANS('ZIP Coordinates'!$C$2))*SIN(RADIANS(INDEX('ZIP Coordinates'!$C:$C,MATCH($A40,'ZIP Coordinates'!$A:$A,0))))+COS(RADIANS('ZIP Coordinates'!$C$2))*COS(RADIANS(INDEX('ZIP Coordinates'!$C:$C,MATCH($A40,'ZIP Coordinates'!$A:$A,0))))*COS(RADIANS(INDEX('ZIP Coordinates'!$D:$D,MATCH($A40,'ZIP Coordinates'!$A:$A,0))-'ZIP Coordinates'!$D$2))))),"N/A")</f>
        <v>174.0800745988588</v>
      </c>
    </row>
    <row r="41" spans="1:6" x14ac:dyDescent="0.2">
      <c r="A41" s="3" t="s">
        <v>5</v>
      </c>
      <c r="B41" s="3" t="s">
        <v>250</v>
      </c>
      <c r="C41" s="3" t="s">
        <v>249</v>
      </c>
      <c r="D41" s="3" t="s">
        <v>112</v>
      </c>
      <c r="E41" s="28">
        <f>SUMIFS('Raw Data'!$I$2:$I$878,'Raw Data'!$A$2:$A$878,$A41,'Raw Data'!$B$2:$B$878,$B41,'Raw Data'!$D$2:$D$878,$D41)</f>
        <v>81</v>
      </c>
      <c r="F41" s="5">
        <f>IFERROR(3958.8*ACOS(MIN(1,MAX(-1,SIN(RADIANS('ZIP Coordinates'!$C$2))*SIN(RADIANS(INDEX('ZIP Coordinates'!$C:$C,MATCH($A41,'ZIP Coordinates'!$A:$A,0))))+COS(RADIANS('ZIP Coordinates'!$C$2))*COS(RADIANS(INDEX('ZIP Coordinates'!$C:$C,MATCH($A41,'ZIP Coordinates'!$A:$A,0))))*COS(RADIANS(INDEX('ZIP Coordinates'!$D:$D,MATCH($A41,'ZIP Coordinates'!$A:$A,0))-'ZIP Coordinates'!$D$2))))),"N/A")</f>
        <v>174.0800745988588</v>
      </c>
    </row>
    <row r="42" spans="1:6" x14ac:dyDescent="0.2">
      <c r="A42" s="3" t="s">
        <v>5</v>
      </c>
      <c r="B42" s="3" t="s">
        <v>281</v>
      </c>
      <c r="C42" s="3" t="s">
        <v>252</v>
      </c>
      <c r="D42" s="3" t="s">
        <v>135</v>
      </c>
      <c r="E42" s="28">
        <f>SUMIFS('Raw Data'!$I$2:$I$878,'Raw Data'!$A$2:$A$878,$A42,'Raw Data'!$B$2:$B$878,$B42,'Raw Data'!$D$2:$D$878,$D42)</f>
        <v>20</v>
      </c>
      <c r="F42" s="5">
        <f>IFERROR(3958.8*ACOS(MIN(1,MAX(-1,SIN(RADIANS('ZIP Coordinates'!$C$2))*SIN(RADIANS(INDEX('ZIP Coordinates'!$C:$C,MATCH($A42,'ZIP Coordinates'!$A:$A,0))))+COS(RADIANS('ZIP Coordinates'!$C$2))*COS(RADIANS(INDEX('ZIP Coordinates'!$C:$C,MATCH($A42,'ZIP Coordinates'!$A:$A,0))))*COS(RADIANS(INDEX('ZIP Coordinates'!$D:$D,MATCH($A42,'ZIP Coordinates'!$A:$A,0))-'ZIP Coordinates'!$D$2))))),"N/A")</f>
        <v>174.0800745988588</v>
      </c>
    </row>
    <row r="43" spans="1:6" x14ac:dyDescent="0.2">
      <c r="A43" s="3" t="s">
        <v>5</v>
      </c>
      <c r="B43" s="3" t="s">
        <v>251</v>
      </c>
      <c r="C43" s="3" t="s">
        <v>252</v>
      </c>
      <c r="D43" s="3" t="s">
        <v>112</v>
      </c>
      <c r="E43" s="28">
        <f>SUMIFS('Raw Data'!$I$2:$I$878,'Raw Data'!$A$2:$A$878,$A43,'Raw Data'!$B$2:$B$878,$B43,'Raw Data'!$D$2:$D$878,$D43)</f>
        <v>55</v>
      </c>
      <c r="F43" s="5">
        <f>IFERROR(3958.8*ACOS(MIN(1,MAX(-1,SIN(RADIANS('ZIP Coordinates'!$C$2))*SIN(RADIANS(INDEX('ZIP Coordinates'!$C:$C,MATCH($A43,'ZIP Coordinates'!$A:$A,0))))+COS(RADIANS('ZIP Coordinates'!$C$2))*COS(RADIANS(INDEX('ZIP Coordinates'!$C:$C,MATCH($A43,'ZIP Coordinates'!$A:$A,0))))*COS(RADIANS(INDEX('ZIP Coordinates'!$D:$D,MATCH($A43,'ZIP Coordinates'!$A:$A,0))-'ZIP Coordinates'!$D$2))))),"N/A")</f>
        <v>174.0800745988588</v>
      </c>
    </row>
    <row r="44" spans="1:6" x14ac:dyDescent="0.2">
      <c r="A44" s="3" t="s">
        <v>5</v>
      </c>
      <c r="B44" s="3" t="s">
        <v>282</v>
      </c>
      <c r="C44" s="3" t="s">
        <v>283</v>
      </c>
      <c r="D44" s="3" t="s">
        <v>112</v>
      </c>
      <c r="E44" s="28">
        <f>SUMIFS('Raw Data'!$I$2:$I$878,'Raw Data'!$A$2:$A$878,$A44,'Raw Data'!$B$2:$B$878,$B44,'Raw Data'!$D$2:$D$878,$D44)</f>
        <v>8</v>
      </c>
      <c r="F44" s="5">
        <f>IFERROR(3958.8*ACOS(MIN(1,MAX(-1,SIN(RADIANS('ZIP Coordinates'!$C$2))*SIN(RADIANS(INDEX('ZIP Coordinates'!$C:$C,MATCH($A44,'ZIP Coordinates'!$A:$A,0))))+COS(RADIANS('ZIP Coordinates'!$C$2))*COS(RADIANS(INDEX('ZIP Coordinates'!$C:$C,MATCH($A44,'ZIP Coordinates'!$A:$A,0))))*COS(RADIANS(INDEX('ZIP Coordinates'!$D:$D,MATCH($A44,'ZIP Coordinates'!$A:$A,0))-'ZIP Coordinates'!$D$2))))),"N/A")</f>
        <v>174.0800745988588</v>
      </c>
    </row>
    <row r="45" spans="1:6" x14ac:dyDescent="0.2">
      <c r="A45" s="3" t="s">
        <v>5</v>
      </c>
      <c r="B45" s="3" t="s">
        <v>284</v>
      </c>
      <c r="C45" s="3" t="s">
        <v>285</v>
      </c>
      <c r="D45" s="3" t="s">
        <v>112</v>
      </c>
      <c r="E45" s="28">
        <f>SUMIFS('Raw Data'!$I$2:$I$878,'Raw Data'!$A$2:$A$878,$A45,'Raw Data'!$B$2:$B$878,$B45,'Raw Data'!$D$2:$D$878,$D45)</f>
        <v>25</v>
      </c>
      <c r="F45" s="5">
        <f>IFERROR(3958.8*ACOS(MIN(1,MAX(-1,SIN(RADIANS('ZIP Coordinates'!$C$2))*SIN(RADIANS(INDEX('ZIP Coordinates'!$C:$C,MATCH($A45,'ZIP Coordinates'!$A:$A,0))))+COS(RADIANS('ZIP Coordinates'!$C$2))*COS(RADIANS(INDEX('ZIP Coordinates'!$C:$C,MATCH($A45,'ZIP Coordinates'!$A:$A,0))))*COS(RADIANS(INDEX('ZIP Coordinates'!$D:$D,MATCH($A45,'ZIP Coordinates'!$A:$A,0))-'ZIP Coordinates'!$D$2))))),"N/A")</f>
        <v>174.0800745988588</v>
      </c>
    </row>
    <row r="46" spans="1:6" x14ac:dyDescent="0.2">
      <c r="A46" s="3" t="s">
        <v>5</v>
      </c>
      <c r="B46" s="3" t="s">
        <v>286</v>
      </c>
      <c r="C46" s="3" t="s">
        <v>287</v>
      </c>
      <c r="D46" s="3" t="s">
        <v>112</v>
      </c>
      <c r="E46" s="28">
        <f>SUMIFS('Raw Data'!$I$2:$I$878,'Raw Data'!$A$2:$A$878,$A46,'Raw Data'!$B$2:$B$878,$B46,'Raw Data'!$D$2:$D$878,$D46)</f>
        <v>189</v>
      </c>
      <c r="F46" s="5">
        <f>IFERROR(3958.8*ACOS(MIN(1,MAX(-1,SIN(RADIANS('ZIP Coordinates'!$C$2))*SIN(RADIANS(INDEX('ZIP Coordinates'!$C:$C,MATCH($A46,'ZIP Coordinates'!$A:$A,0))))+COS(RADIANS('ZIP Coordinates'!$C$2))*COS(RADIANS(INDEX('ZIP Coordinates'!$C:$C,MATCH($A46,'ZIP Coordinates'!$A:$A,0))))*COS(RADIANS(INDEX('ZIP Coordinates'!$D:$D,MATCH($A46,'ZIP Coordinates'!$A:$A,0))-'ZIP Coordinates'!$D$2))))),"N/A")</f>
        <v>174.0800745988588</v>
      </c>
    </row>
    <row r="47" spans="1:6" x14ac:dyDescent="0.2">
      <c r="A47" s="3" t="s">
        <v>5</v>
      </c>
      <c r="B47" s="3" t="s">
        <v>288</v>
      </c>
      <c r="C47" s="3" t="s">
        <v>287</v>
      </c>
      <c r="D47" s="3" t="s">
        <v>112</v>
      </c>
      <c r="E47" s="28">
        <f>SUMIFS('Raw Data'!$I$2:$I$878,'Raw Data'!$A$2:$A$878,$A47,'Raw Data'!$B$2:$B$878,$B47,'Raw Data'!$D$2:$D$878,$D47)</f>
        <v>6</v>
      </c>
      <c r="F47" s="5">
        <f>IFERROR(3958.8*ACOS(MIN(1,MAX(-1,SIN(RADIANS('ZIP Coordinates'!$C$2))*SIN(RADIANS(INDEX('ZIP Coordinates'!$C:$C,MATCH($A47,'ZIP Coordinates'!$A:$A,0))))+COS(RADIANS('ZIP Coordinates'!$C$2))*COS(RADIANS(INDEX('ZIP Coordinates'!$C:$C,MATCH($A47,'ZIP Coordinates'!$A:$A,0))))*COS(RADIANS(INDEX('ZIP Coordinates'!$D:$D,MATCH($A47,'ZIP Coordinates'!$A:$A,0))-'ZIP Coordinates'!$D$2))))),"N/A")</f>
        <v>174.0800745988588</v>
      </c>
    </row>
    <row r="48" spans="1:6" x14ac:dyDescent="0.2">
      <c r="A48" s="3" t="s">
        <v>5</v>
      </c>
      <c r="B48" s="3" t="s">
        <v>255</v>
      </c>
      <c r="C48" s="3" t="s">
        <v>256</v>
      </c>
      <c r="D48" s="3" t="s">
        <v>135</v>
      </c>
      <c r="E48" s="28">
        <f>SUMIFS('Raw Data'!$I$2:$I$878,'Raw Data'!$A$2:$A$878,$A48,'Raw Data'!$B$2:$B$878,$B48,'Raw Data'!$D$2:$D$878,$D48)</f>
        <v>2080</v>
      </c>
      <c r="F48" s="5">
        <f>IFERROR(3958.8*ACOS(MIN(1,MAX(-1,SIN(RADIANS('ZIP Coordinates'!$C$2))*SIN(RADIANS(INDEX('ZIP Coordinates'!$C:$C,MATCH($A48,'ZIP Coordinates'!$A:$A,0))))+COS(RADIANS('ZIP Coordinates'!$C$2))*COS(RADIANS(INDEX('ZIP Coordinates'!$C:$C,MATCH($A48,'ZIP Coordinates'!$A:$A,0))))*COS(RADIANS(INDEX('ZIP Coordinates'!$D:$D,MATCH($A48,'ZIP Coordinates'!$A:$A,0))-'ZIP Coordinates'!$D$2))))),"N/A")</f>
        <v>174.0800745988588</v>
      </c>
    </row>
    <row r="49" spans="1:6" x14ac:dyDescent="0.2">
      <c r="A49" s="3" t="s">
        <v>6</v>
      </c>
      <c r="B49" s="3" t="s">
        <v>258</v>
      </c>
      <c r="C49" s="3" t="s">
        <v>240</v>
      </c>
      <c r="D49" s="3" t="s">
        <v>96</v>
      </c>
      <c r="E49" s="28">
        <f>SUMIFS('Raw Data'!$I$2:$I$878,'Raw Data'!$A$2:$A$878,$A49,'Raw Data'!$B$2:$B$878,$B49,'Raw Data'!$D$2:$D$878,$D49)</f>
        <v>128</v>
      </c>
      <c r="F49" s="5">
        <f>IFERROR(3958.8*ACOS(MIN(1,MAX(-1,SIN(RADIANS('ZIP Coordinates'!$C$2))*SIN(RADIANS(INDEX('ZIP Coordinates'!$C:$C,MATCH($A49,'ZIP Coordinates'!$A:$A,0))))+COS(RADIANS('ZIP Coordinates'!$C$2))*COS(RADIANS(INDEX('ZIP Coordinates'!$C:$C,MATCH($A49,'ZIP Coordinates'!$A:$A,0))))*COS(RADIANS(INDEX('ZIP Coordinates'!$D:$D,MATCH($A49,'ZIP Coordinates'!$A:$A,0))-'ZIP Coordinates'!$D$2))))),"N/A")</f>
        <v>170.00670451695677</v>
      </c>
    </row>
    <row r="50" spans="1:6" x14ac:dyDescent="0.2">
      <c r="A50" s="3" t="s">
        <v>6</v>
      </c>
      <c r="B50" s="3" t="s">
        <v>239</v>
      </c>
      <c r="C50" s="3" t="s">
        <v>240</v>
      </c>
      <c r="D50" s="3" t="s">
        <v>96</v>
      </c>
      <c r="E50" s="28">
        <f>SUMIFS('Raw Data'!$I$2:$I$878,'Raw Data'!$A$2:$A$878,$A50,'Raw Data'!$B$2:$B$878,$B50,'Raw Data'!$D$2:$D$878,$D50)</f>
        <v>16</v>
      </c>
      <c r="F50" s="5">
        <f>IFERROR(3958.8*ACOS(MIN(1,MAX(-1,SIN(RADIANS('ZIP Coordinates'!$C$2))*SIN(RADIANS(INDEX('ZIP Coordinates'!$C:$C,MATCH($A50,'ZIP Coordinates'!$A:$A,0))))+COS(RADIANS('ZIP Coordinates'!$C$2))*COS(RADIANS(INDEX('ZIP Coordinates'!$C:$C,MATCH($A50,'ZIP Coordinates'!$A:$A,0))))*COS(RADIANS(INDEX('ZIP Coordinates'!$D:$D,MATCH($A50,'ZIP Coordinates'!$A:$A,0))-'ZIP Coordinates'!$D$2))))),"N/A")</f>
        <v>170.00670451695677</v>
      </c>
    </row>
    <row r="51" spans="1:6" x14ac:dyDescent="0.2">
      <c r="A51" s="3" t="s">
        <v>6</v>
      </c>
      <c r="B51" s="3" t="s">
        <v>259</v>
      </c>
      <c r="C51" s="3" t="s">
        <v>260</v>
      </c>
      <c r="D51" s="3" t="s">
        <v>173</v>
      </c>
      <c r="E51" s="28">
        <f>SUMIFS('Raw Data'!$I$2:$I$878,'Raw Data'!$A$2:$A$878,$A51,'Raw Data'!$B$2:$B$878,$B51,'Raw Data'!$D$2:$D$878,$D51)</f>
        <v>136</v>
      </c>
      <c r="F51" s="5">
        <f>IFERROR(3958.8*ACOS(MIN(1,MAX(-1,SIN(RADIANS('ZIP Coordinates'!$C$2))*SIN(RADIANS(INDEX('ZIP Coordinates'!$C:$C,MATCH($A51,'ZIP Coordinates'!$A:$A,0))))+COS(RADIANS('ZIP Coordinates'!$C$2))*COS(RADIANS(INDEX('ZIP Coordinates'!$C:$C,MATCH($A51,'ZIP Coordinates'!$A:$A,0))))*COS(RADIANS(INDEX('ZIP Coordinates'!$D:$D,MATCH($A51,'ZIP Coordinates'!$A:$A,0))-'ZIP Coordinates'!$D$2))))),"N/A")</f>
        <v>170.00670451695677</v>
      </c>
    </row>
    <row r="52" spans="1:6" x14ac:dyDescent="0.2">
      <c r="A52" s="3" t="s">
        <v>6</v>
      </c>
      <c r="B52" s="3" t="s">
        <v>261</v>
      </c>
      <c r="C52" s="3" t="s">
        <v>260</v>
      </c>
      <c r="D52" s="3" t="s">
        <v>96</v>
      </c>
      <c r="E52" s="28">
        <f>SUMIFS('Raw Data'!$I$2:$I$878,'Raw Data'!$A$2:$A$878,$A52,'Raw Data'!$B$2:$B$878,$B52,'Raw Data'!$D$2:$D$878,$D52)</f>
        <v>16</v>
      </c>
      <c r="F52" s="5">
        <f>IFERROR(3958.8*ACOS(MIN(1,MAX(-1,SIN(RADIANS('ZIP Coordinates'!$C$2))*SIN(RADIANS(INDEX('ZIP Coordinates'!$C:$C,MATCH($A52,'ZIP Coordinates'!$A:$A,0))))+COS(RADIANS('ZIP Coordinates'!$C$2))*COS(RADIANS(INDEX('ZIP Coordinates'!$C:$C,MATCH($A52,'ZIP Coordinates'!$A:$A,0))))*COS(RADIANS(INDEX('ZIP Coordinates'!$D:$D,MATCH($A52,'ZIP Coordinates'!$A:$A,0))-'ZIP Coordinates'!$D$2))))),"N/A")</f>
        <v>170.00670451695677</v>
      </c>
    </row>
    <row r="53" spans="1:6" x14ac:dyDescent="0.2">
      <c r="A53" s="3" t="s">
        <v>6</v>
      </c>
      <c r="B53" s="3" t="s">
        <v>265</v>
      </c>
      <c r="C53" s="3" t="s">
        <v>266</v>
      </c>
      <c r="D53" s="3" t="s">
        <v>173</v>
      </c>
      <c r="E53" s="28">
        <f>SUMIFS('Raw Data'!$I$2:$I$878,'Raw Data'!$A$2:$A$878,$A53,'Raw Data'!$B$2:$B$878,$B53,'Raw Data'!$D$2:$D$878,$D53)</f>
        <v>1</v>
      </c>
      <c r="F53" s="5">
        <f>IFERROR(3958.8*ACOS(MIN(1,MAX(-1,SIN(RADIANS('ZIP Coordinates'!$C$2))*SIN(RADIANS(INDEX('ZIP Coordinates'!$C:$C,MATCH($A53,'ZIP Coordinates'!$A:$A,0))))+COS(RADIANS('ZIP Coordinates'!$C$2))*COS(RADIANS(INDEX('ZIP Coordinates'!$C:$C,MATCH($A53,'ZIP Coordinates'!$A:$A,0))))*COS(RADIANS(INDEX('ZIP Coordinates'!$D:$D,MATCH($A53,'ZIP Coordinates'!$A:$A,0))-'ZIP Coordinates'!$D$2))))),"N/A")</f>
        <v>170.00670451695677</v>
      </c>
    </row>
    <row r="54" spans="1:6" x14ac:dyDescent="0.2">
      <c r="A54" s="3" t="s">
        <v>6</v>
      </c>
      <c r="B54" s="3" t="s">
        <v>267</v>
      </c>
      <c r="C54" s="3" t="s">
        <v>268</v>
      </c>
      <c r="D54" s="3" t="s">
        <v>96</v>
      </c>
      <c r="E54" s="28">
        <f>SUMIFS('Raw Data'!$I$2:$I$878,'Raw Data'!$A$2:$A$878,$A54,'Raw Data'!$B$2:$B$878,$B54,'Raw Data'!$D$2:$D$878,$D54)</f>
        <v>44</v>
      </c>
      <c r="F54" s="5">
        <f>IFERROR(3958.8*ACOS(MIN(1,MAX(-1,SIN(RADIANS('ZIP Coordinates'!$C$2))*SIN(RADIANS(INDEX('ZIP Coordinates'!$C:$C,MATCH($A54,'ZIP Coordinates'!$A:$A,0))))+COS(RADIANS('ZIP Coordinates'!$C$2))*COS(RADIANS(INDEX('ZIP Coordinates'!$C:$C,MATCH($A54,'ZIP Coordinates'!$A:$A,0))))*COS(RADIANS(INDEX('ZIP Coordinates'!$D:$D,MATCH($A54,'ZIP Coordinates'!$A:$A,0))-'ZIP Coordinates'!$D$2))))),"N/A")</f>
        <v>170.00670451695677</v>
      </c>
    </row>
    <row r="55" spans="1:6" x14ac:dyDescent="0.2">
      <c r="A55" s="3" t="s">
        <v>6</v>
      </c>
      <c r="B55" s="3" t="s">
        <v>269</v>
      </c>
      <c r="C55" s="3" t="s">
        <v>268</v>
      </c>
      <c r="D55" s="3" t="s">
        <v>171</v>
      </c>
      <c r="E55" s="28">
        <f>SUMIFS('Raw Data'!$I$2:$I$878,'Raw Data'!$A$2:$A$878,$A55,'Raw Data'!$B$2:$B$878,$B55,'Raw Data'!$D$2:$D$878,$D55)</f>
        <v>20</v>
      </c>
      <c r="F55" s="5">
        <f>IFERROR(3958.8*ACOS(MIN(1,MAX(-1,SIN(RADIANS('ZIP Coordinates'!$C$2))*SIN(RADIANS(INDEX('ZIP Coordinates'!$C:$C,MATCH($A55,'ZIP Coordinates'!$A:$A,0))))+COS(RADIANS('ZIP Coordinates'!$C$2))*COS(RADIANS(INDEX('ZIP Coordinates'!$C:$C,MATCH($A55,'ZIP Coordinates'!$A:$A,0))))*COS(RADIANS(INDEX('ZIP Coordinates'!$D:$D,MATCH($A55,'ZIP Coordinates'!$A:$A,0))-'ZIP Coordinates'!$D$2))))),"N/A")</f>
        <v>170.00670451695677</v>
      </c>
    </row>
    <row r="56" spans="1:6" x14ac:dyDescent="0.2">
      <c r="A56" s="3" t="s">
        <v>6</v>
      </c>
      <c r="B56" s="3" t="s">
        <v>270</v>
      </c>
      <c r="C56" s="3" t="s">
        <v>242</v>
      </c>
      <c r="D56" s="3" t="s">
        <v>96</v>
      </c>
      <c r="E56" s="28">
        <f>SUMIFS('Raw Data'!$I$2:$I$878,'Raw Data'!$A$2:$A$878,$A56,'Raw Data'!$B$2:$B$878,$B56,'Raw Data'!$D$2:$D$878,$D56)</f>
        <v>27</v>
      </c>
      <c r="F56" s="5">
        <f>IFERROR(3958.8*ACOS(MIN(1,MAX(-1,SIN(RADIANS('ZIP Coordinates'!$C$2))*SIN(RADIANS(INDEX('ZIP Coordinates'!$C:$C,MATCH($A56,'ZIP Coordinates'!$A:$A,0))))+COS(RADIANS('ZIP Coordinates'!$C$2))*COS(RADIANS(INDEX('ZIP Coordinates'!$C:$C,MATCH($A56,'ZIP Coordinates'!$A:$A,0))))*COS(RADIANS(INDEX('ZIP Coordinates'!$D:$D,MATCH($A56,'ZIP Coordinates'!$A:$A,0))-'ZIP Coordinates'!$D$2))))),"N/A")</f>
        <v>170.00670451695677</v>
      </c>
    </row>
    <row r="57" spans="1:6" x14ac:dyDescent="0.2">
      <c r="A57" s="3" t="s">
        <v>6</v>
      </c>
      <c r="B57" s="3" t="s">
        <v>241</v>
      </c>
      <c r="C57" s="3" t="s">
        <v>242</v>
      </c>
      <c r="D57" s="3" t="s">
        <v>96</v>
      </c>
      <c r="E57" s="28">
        <f>SUMIFS('Raw Data'!$I$2:$I$878,'Raw Data'!$A$2:$A$878,$A57,'Raw Data'!$B$2:$B$878,$B57,'Raw Data'!$D$2:$D$878,$D57)</f>
        <v>94</v>
      </c>
      <c r="F57" s="5">
        <f>IFERROR(3958.8*ACOS(MIN(1,MAX(-1,SIN(RADIANS('ZIP Coordinates'!$C$2))*SIN(RADIANS(INDEX('ZIP Coordinates'!$C:$C,MATCH($A57,'ZIP Coordinates'!$A:$A,0))))+COS(RADIANS('ZIP Coordinates'!$C$2))*COS(RADIANS(INDEX('ZIP Coordinates'!$C:$C,MATCH($A57,'ZIP Coordinates'!$A:$A,0))))*COS(RADIANS(INDEX('ZIP Coordinates'!$D:$D,MATCH($A57,'ZIP Coordinates'!$A:$A,0))-'ZIP Coordinates'!$D$2))))),"N/A")</f>
        <v>170.00670451695677</v>
      </c>
    </row>
    <row r="58" spans="1:6" x14ac:dyDescent="0.2">
      <c r="A58" s="3" t="s">
        <v>6</v>
      </c>
      <c r="B58" s="3" t="s">
        <v>271</v>
      </c>
      <c r="C58" s="3" t="s">
        <v>244</v>
      </c>
      <c r="D58" s="3" t="s">
        <v>96</v>
      </c>
      <c r="E58" s="28">
        <f>SUMIFS('Raw Data'!$I$2:$I$878,'Raw Data'!$A$2:$A$878,$A58,'Raw Data'!$B$2:$B$878,$B58,'Raw Data'!$D$2:$D$878,$D58)</f>
        <v>9</v>
      </c>
      <c r="F58" s="5">
        <f>IFERROR(3958.8*ACOS(MIN(1,MAX(-1,SIN(RADIANS('ZIP Coordinates'!$C$2))*SIN(RADIANS(INDEX('ZIP Coordinates'!$C:$C,MATCH($A58,'ZIP Coordinates'!$A:$A,0))))+COS(RADIANS('ZIP Coordinates'!$C$2))*COS(RADIANS(INDEX('ZIP Coordinates'!$C:$C,MATCH($A58,'ZIP Coordinates'!$A:$A,0))))*COS(RADIANS(INDEX('ZIP Coordinates'!$D:$D,MATCH($A58,'ZIP Coordinates'!$A:$A,0))-'ZIP Coordinates'!$D$2))))),"N/A")</f>
        <v>170.00670451695677</v>
      </c>
    </row>
    <row r="59" spans="1:6" x14ac:dyDescent="0.2">
      <c r="A59" s="3" t="s">
        <v>6</v>
      </c>
      <c r="B59" s="3" t="s">
        <v>243</v>
      </c>
      <c r="C59" s="3" t="s">
        <v>244</v>
      </c>
      <c r="D59" s="3" t="s">
        <v>96</v>
      </c>
      <c r="E59" s="28">
        <f>SUMIFS('Raw Data'!$I$2:$I$878,'Raw Data'!$A$2:$A$878,$A59,'Raw Data'!$B$2:$B$878,$B59,'Raw Data'!$D$2:$D$878,$D59)</f>
        <v>90</v>
      </c>
      <c r="F59" s="5">
        <f>IFERROR(3958.8*ACOS(MIN(1,MAX(-1,SIN(RADIANS('ZIP Coordinates'!$C$2))*SIN(RADIANS(INDEX('ZIP Coordinates'!$C:$C,MATCH($A59,'ZIP Coordinates'!$A:$A,0))))+COS(RADIANS('ZIP Coordinates'!$C$2))*COS(RADIANS(INDEX('ZIP Coordinates'!$C:$C,MATCH($A59,'ZIP Coordinates'!$A:$A,0))))*COS(RADIANS(INDEX('ZIP Coordinates'!$D:$D,MATCH($A59,'ZIP Coordinates'!$A:$A,0))-'ZIP Coordinates'!$D$2))))),"N/A")</f>
        <v>170.00670451695677</v>
      </c>
    </row>
    <row r="60" spans="1:6" x14ac:dyDescent="0.2">
      <c r="A60" s="3" t="s">
        <v>6</v>
      </c>
      <c r="B60" s="3" t="s">
        <v>272</v>
      </c>
      <c r="C60" s="3" t="s">
        <v>273</v>
      </c>
      <c r="D60" s="3" t="s">
        <v>171</v>
      </c>
      <c r="E60" s="28">
        <f>SUMIFS('Raw Data'!$I$2:$I$878,'Raw Data'!$A$2:$A$878,$A60,'Raw Data'!$B$2:$B$878,$B60,'Raw Data'!$D$2:$D$878,$D60)</f>
        <v>9</v>
      </c>
      <c r="F60" s="5">
        <f>IFERROR(3958.8*ACOS(MIN(1,MAX(-1,SIN(RADIANS('ZIP Coordinates'!$C$2))*SIN(RADIANS(INDEX('ZIP Coordinates'!$C:$C,MATCH($A60,'ZIP Coordinates'!$A:$A,0))))+COS(RADIANS('ZIP Coordinates'!$C$2))*COS(RADIANS(INDEX('ZIP Coordinates'!$C:$C,MATCH($A60,'ZIP Coordinates'!$A:$A,0))))*COS(RADIANS(INDEX('ZIP Coordinates'!$D:$D,MATCH($A60,'ZIP Coordinates'!$A:$A,0))-'ZIP Coordinates'!$D$2))))),"N/A")</f>
        <v>170.00670451695677</v>
      </c>
    </row>
    <row r="61" spans="1:6" x14ac:dyDescent="0.2">
      <c r="A61" s="3" t="s">
        <v>6</v>
      </c>
      <c r="B61" s="3" t="s">
        <v>276</v>
      </c>
      <c r="C61" s="3" t="s">
        <v>275</v>
      </c>
      <c r="D61" s="3" t="s">
        <v>96</v>
      </c>
      <c r="E61" s="28">
        <f>SUMIFS('Raw Data'!$I$2:$I$878,'Raw Data'!$A$2:$A$878,$A61,'Raw Data'!$B$2:$B$878,$B61,'Raw Data'!$D$2:$D$878,$D61)</f>
        <v>81</v>
      </c>
      <c r="F61" s="5">
        <f>IFERROR(3958.8*ACOS(MIN(1,MAX(-1,SIN(RADIANS('ZIP Coordinates'!$C$2))*SIN(RADIANS(INDEX('ZIP Coordinates'!$C:$C,MATCH($A61,'ZIP Coordinates'!$A:$A,0))))+COS(RADIANS('ZIP Coordinates'!$C$2))*COS(RADIANS(INDEX('ZIP Coordinates'!$C:$C,MATCH($A61,'ZIP Coordinates'!$A:$A,0))))*COS(RADIANS(INDEX('ZIP Coordinates'!$D:$D,MATCH($A61,'ZIP Coordinates'!$A:$A,0))-'ZIP Coordinates'!$D$2))))),"N/A")</f>
        <v>170.00670451695677</v>
      </c>
    </row>
    <row r="62" spans="1:6" x14ac:dyDescent="0.2">
      <c r="A62" s="3" t="s">
        <v>6</v>
      </c>
      <c r="B62" s="3" t="s">
        <v>245</v>
      </c>
      <c r="C62" s="3" t="s">
        <v>246</v>
      </c>
      <c r="D62" s="3" t="s">
        <v>171</v>
      </c>
      <c r="E62" s="28">
        <f>SUMIFS('Raw Data'!$I$2:$I$878,'Raw Data'!$A$2:$A$878,$A62,'Raw Data'!$B$2:$B$878,$B62,'Raw Data'!$D$2:$D$878,$D62)</f>
        <v>100</v>
      </c>
      <c r="F62" s="5">
        <f>IFERROR(3958.8*ACOS(MIN(1,MAX(-1,SIN(RADIANS('ZIP Coordinates'!$C$2))*SIN(RADIANS(INDEX('ZIP Coordinates'!$C:$C,MATCH($A62,'ZIP Coordinates'!$A:$A,0))))+COS(RADIANS('ZIP Coordinates'!$C$2))*COS(RADIANS(INDEX('ZIP Coordinates'!$C:$C,MATCH($A62,'ZIP Coordinates'!$A:$A,0))))*COS(RADIANS(INDEX('ZIP Coordinates'!$D:$D,MATCH($A62,'ZIP Coordinates'!$A:$A,0))-'ZIP Coordinates'!$D$2))))),"N/A")</f>
        <v>170.00670451695677</v>
      </c>
    </row>
    <row r="63" spans="1:6" x14ac:dyDescent="0.2">
      <c r="A63" s="3" t="s">
        <v>6</v>
      </c>
      <c r="B63" s="3" t="s">
        <v>247</v>
      </c>
      <c r="C63" s="3" t="s">
        <v>246</v>
      </c>
      <c r="D63" s="3" t="s">
        <v>96</v>
      </c>
      <c r="E63" s="28">
        <f>SUMIFS('Raw Data'!$I$2:$I$878,'Raw Data'!$A$2:$A$878,$A63,'Raw Data'!$B$2:$B$878,$B63,'Raw Data'!$D$2:$D$878,$D63)</f>
        <v>178</v>
      </c>
      <c r="F63" s="5">
        <f>IFERROR(3958.8*ACOS(MIN(1,MAX(-1,SIN(RADIANS('ZIP Coordinates'!$C$2))*SIN(RADIANS(INDEX('ZIP Coordinates'!$C:$C,MATCH($A63,'ZIP Coordinates'!$A:$A,0))))+COS(RADIANS('ZIP Coordinates'!$C$2))*COS(RADIANS(INDEX('ZIP Coordinates'!$C:$C,MATCH($A63,'ZIP Coordinates'!$A:$A,0))))*COS(RADIANS(INDEX('ZIP Coordinates'!$D:$D,MATCH($A63,'ZIP Coordinates'!$A:$A,0))-'ZIP Coordinates'!$D$2))))),"N/A")</f>
        <v>170.00670451695677</v>
      </c>
    </row>
    <row r="64" spans="1:6" x14ac:dyDescent="0.2">
      <c r="A64" s="3" t="s">
        <v>6</v>
      </c>
      <c r="B64" s="3" t="s">
        <v>248</v>
      </c>
      <c r="C64" s="3" t="s">
        <v>249</v>
      </c>
      <c r="D64" s="3" t="s">
        <v>171</v>
      </c>
      <c r="E64" s="28">
        <f>SUMIFS('Raw Data'!$I$2:$I$878,'Raw Data'!$A$2:$A$878,$A64,'Raw Data'!$B$2:$B$878,$B64,'Raw Data'!$D$2:$D$878,$D64)</f>
        <v>300</v>
      </c>
      <c r="F64" s="5">
        <f>IFERROR(3958.8*ACOS(MIN(1,MAX(-1,SIN(RADIANS('ZIP Coordinates'!$C$2))*SIN(RADIANS(INDEX('ZIP Coordinates'!$C:$C,MATCH($A64,'ZIP Coordinates'!$A:$A,0))))+COS(RADIANS('ZIP Coordinates'!$C$2))*COS(RADIANS(INDEX('ZIP Coordinates'!$C:$C,MATCH($A64,'ZIP Coordinates'!$A:$A,0))))*COS(RADIANS(INDEX('ZIP Coordinates'!$D:$D,MATCH($A64,'ZIP Coordinates'!$A:$A,0))-'ZIP Coordinates'!$D$2))))),"N/A")</f>
        <v>170.00670451695677</v>
      </c>
    </row>
    <row r="65" spans="1:6" x14ac:dyDescent="0.2">
      <c r="A65" s="3" t="s">
        <v>6</v>
      </c>
      <c r="B65" s="3" t="s">
        <v>250</v>
      </c>
      <c r="C65" s="3" t="s">
        <v>249</v>
      </c>
      <c r="D65" s="3" t="s">
        <v>96</v>
      </c>
      <c r="E65" s="28">
        <f>SUMIFS('Raw Data'!$I$2:$I$878,'Raw Data'!$A$2:$A$878,$A65,'Raw Data'!$B$2:$B$878,$B65,'Raw Data'!$D$2:$D$878,$D65)</f>
        <v>163</v>
      </c>
      <c r="F65" s="5">
        <f>IFERROR(3958.8*ACOS(MIN(1,MAX(-1,SIN(RADIANS('ZIP Coordinates'!$C$2))*SIN(RADIANS(INDEX('ZIP Coordinates'!$C:$C,MATCH($A65,'ZIP Coordinates'!$A:$A,0))))+COS(RADIANS('ZIP Coordinates'!$C$2))*COS(RADIANS(INDEX('ZIP Coordinates'!$C:$C,MATCH($A65,'ZIP Coordinates'!$A:$A,0))))*COS(RADIANS(INDEX('ZIP Coordinates'!$D:$D,MATCH($A65,'ZIP Coordinates'!$A:$A,0))-'ZIP Coordinates'!$D$2))))),"N/A")</f>
        <v>170.00670451695677</v>
      </c>
    </row>
    <row r="66" spans="1:6" x14ac:dyDescent="0.2">
      <c r="A66" s="3" t="s">
        <v>6</v>
      </c>
      <c r="B66" s="3" t="s">
        <v>281</v>
      </c>
      <c r="C66" s="3" t="s">
        <v>252</v>
      </c>
      <c r="D66" s="3" t="s">
        <v>173</v>
      </c>
      <c r="E66" s="28">
        <f>SUMIFS('Raw Data'!$I$2:$I$878,'Raw Data'!$A$2:$A$878,$A66,'Raw Data'!$B$2:$B$878,$B66,'Raw Data'!$D$2:$D$878,$D66)</f>
        <v>20</v>
      </c>
      <c r="F66" s="5">
        <f>IFERROR(3958.8*ACOS(MIN(1,MAX(-1,SIN(RADIANS('ZIP Coordinates'!$C$2))*SIN(RADIANS(INDEX('ZIP Coordinates'!$C:$C,MATCH($A66,'ZIP Coordinates'!$A:$A,0))))+COS(RADIANS('ZIP Coordinates'!$C$2))*COS(RADIANS(INDEX('ZIP Coordinates'!$C:$C,MATCH($A66,'ZIP Coordinates'!$A:$A,0))))*COS(RADIANS(INDEX('ZIP Coordinates'!$D:$D,MATCH($A66,'ZIP Coordinates'!$A:$A,0))-'ZIP Coordinates'!$D$2))))),"N/A")</f>
        <v>170.00670451695677</v>
      </c>
    </row>
    <row r="67" spans="1:6" x14ac:dyDescent="0.2">
      <c r="A67" s="3" t="s">
        <v>6</v>
      </c>
      <c r="B67" s="3" t="s">
        <v>251</v>
      </c>
      <c r="C67" s="3" t="s">
        <v>252</v>
      </c>
      <c r="D67" s="3" t="s">
        <v>96</v>
      </c>
      <c r="E67" s="28">
        <f>SUMIFS('Raw Data'!$I$2:$I$878,'Raw Data'!$A$2:$A$878,$A67,'Raw Data'!$B$2:$B$878,$B67,'Raw Data'!$D$2:$D$878,$D67)</f>
        <v>145</v>
      </c>
      <c r="F67" s="5">
        <f>IFERROR(3958.8*ACOS(MIN(1,MAX(-1,SIN(RADIANS('ZIP Coordinates'!$C$2))*SIN(RADIANS(INDEX('ZIP Coordinates'!$C:$C,MATCH($A67,'ZIP Coordinates'!$A:$A,0))))+COS(RADIANS('ZIP Coordinates'!$C$2))*COS(RADIANS(INDEX('ZIP Coordinates'!$C:$C,MATCH($A67,'ZIP Coordinates'!$A:$A,0))))*COS(RADIANS(INDEX('ZIP Coordinates'!$D:$D,MATCH($A67,'ZIP Coordinates'!$A:$A,0))-'ZIP Coordinates'!$D$2))))),"N/A")</f>
        <v>170.00670451695677</v>
      </c>
    </row>
    <row r="68" spans="1:6" x14ac:dyDescent="0.2">
      <c r="A68" s="3" t="s">
        <v>6</v>
      </c>
      <c r="B68" s="3" t="s">
        <v>282</v>
      </c>
      <c r="C68" s="3" t="s">
        <v>283</v>
      </c>
      <c r="D68" s="3" t="s">
        <v>96</v>
      </c>
      <c r="E68" s="28">
        <f>SUMIFS('Raw Data'!$I$2:$I$878,'Raw Data'!$A$2:$A$878,$A68,'Raw Data'!$B$2:$B$878,$B68,'Raw Data'!$D$2:$D$878,$D68)</f>
        <v>18</v>
      </c>
      <c r="F68" s="5">
        <f>IFERROR(3958.8*ACOS(MIN(1,MAX(-1,SIN(RADIANS('ZIP Coordinates'!$C$2))*SIN(RADIANS(INDEX('ZIP Coordinates'!$C:$C,MATCH($A68,'ZIP Coordinates'!$A:$A,0))))+COS(RADIANS('ZIP Coordinates'!$C$2))*COS(RADIANS(INDEX('ZIP Coordinates'!$C:$C,MATCH($A68,'ZIP Coordinates'!$A:$A,0))))*COS(RADIANS(INDEX('ZIP Coordinates'!$D:$D,MATCH($A68,'ZIP Coordinates'!$A:$A,0))-'ZIP Coordinates'!$D$2))))),"N/A")</f>
        <v>170.00670451695677</v>
      </c>
    </row>
    <row r="69" spans="1:6" x14ac:dyDescent="0.2">
      <c r="A69" s="3" t="s">
        <v>6</v>
      </c>
      <c r="B69" s="3" t="s">
        <v>284</v>
      </c>
      <c r="C69" s="3" t="s">
        <v>285</v>
      </c>
      <c r="D69" s="3" t="s">
        <v>173</v>
      </c>
      <c r="E69" s="28">
        <f>SUMIFS('Raw Data'!$I$2:$I$878,'Raw Data'!$A$2:$A$878,$A69,'Raw Data'!$B$2:$B$878,$B69,'Raw Data'!$D$2:$D$878,$D69)</f>
        <v>11</v>
      </c>
      <c r="F69" s="5">
        <f>IFERROR(3958.8*ACOS(MIN(1,MAX(-1,SIN(RADIANS('ZIP Coordinates'!$C$2))*SIN(RADIANS(INDEX('ZIP Coordinates'!$C:$C,MATCH($A69,'ZIP Coordinates'!$A:$A,0))))+COS(RADIANS('ZIP Coordinates'!$C$2))*COS(RADIANS(INDEX('ZIP Coordinates'!$C:$C,MATCH($A69,'ZIP Coordinates'!$A:$A,0))))*COS(RADIANS(INDEX('ZIP Coordinates'!$D:$D,MATCH($A69,'ZIP Coordinates'!$A:$A,0))-'ZIP Coordinates'!$D$2))))),"N/A")</f>
        <v>170.00670451695677</v>
      </c>
    </row>
    <row r="70" spans="1:6" x14ac:dyDescent="0.2">
      <c r="A70" s="3" t="s">
        <v>6</v>
      </c>
      <c r="B70" s="3" t="s">
        <v>286</v>
      </c>
      <c r="C70" s="3" t="s">
        <v>287</v>
      </c>
      <c r="D70" s="3" t="s">
        <v>96</v>
      </c>
      <c r="E70" s="28">
        <f>SUMIFS('Raw Data'!$I$2:$I$878,'Raw Data'!$A$2:$A$878,$A70,'Raw Data'!$B$2:$B$878,$B70,'Raw Data'!$D$2:$D$878,$D70)</f>
        <v>369</v>
      </c>
      <c r="F70" s="5">
        <f>IFERROR(3958.8*ACOS(MIN(1,MAX(-1,SIN(RADIANS('ZIP Coordinates'!$C$2))*SIN(RADIANS(INDEX('ZIP Coordinates'!$C:$C,MATCH($A70,'ZIP Coordinates'!$A:$A,0))))+COS(RADIANS('ZIP Coordinates'!$C$2))*COS(RADIANS(INDEX('ZIP Coordinates'!$C:$C,MATCH($A70,'ZIP Coordinates'!$A:$A,0))))*COS(RADIANS(INDEX('ZIP Coordinates'!$D:$D,MATCH($A70,'ZIP Coordinates'!$A:$A,0))-'ZIP Coordinates'!$D$2))))),"N/A")</f>
        <v>170.00670451695677</v>
      </c>
    </row>
    <row r="71" spans="1:6" x14ac:dyDescent="0.2">
      <c r="A71" s="3" t="s">
        <v>6</v>
      </c>
      <c r="B71" s="3" t="s">
        <v>288</v>
      </c>
      <c r="C71" s="3" t="s">
        <v>287</v>
      </c>
      <c r="D71" s="3" t="s">
        <v>96</v>
      </c>
      <c r="E71" s="28">
        <f>SUMIFS('Raw Data'!$I$2:$I$878,'Raw Data'!$A$2:$A$878,$A71,'Raw Data'!$B$2:$B$878,$B71,'Raw Data'!$D$2:$D$878,$D71)</f>
        <v>38</v>
      </c>
      <c r="F71" s="5">
        <f>IFERROR(3958.8*ACOS(MIN(1,MAX(-1,SIN(RADIANS('ZIP Coordinates'!$C$2))*SIN(RADIANS(INDEX('ZIP Coordinates'!$C:$C,MATCH($A71,'ZIP Coordinates'!$A:$A,0))))+COS(RADIANS('ZIP Coordinates'!$C$2))*COS(RADIANS(INDEX('ZIP Coordinates'!$C:$C,MATCH($A71,'ZIP Coordinates'!$A:$A,0))))*COS(RADIANS(INDEX('ZIP Coordinates'!$D:$D,MATCH($A71,'ZIP Coordinates'!$A:$A,0))-'ZIP Coordinates'!$D$2))))),"N/A")</f>
        <v>170.00670451695677</v>
      </c>
    </row>
    <row r="72" spans="1:6" x14ac:dyDescent="0.2">
      <c r="A72" s="3" t="s">
        <v>6</v>
      </c>
      <c r="B72" s="3" t="s">
        <v>255</v>
      </c>
      <c r="C72" s="3" t="s">
        <v>256</v>
      </c>
      <c r="D72" s="3" t="s">
        <v>96</v>
      </c>
      <c r="E72" s="28">
        <f>SUMIFS('Raw Data'!$I$2:$I$878,'Raw Data'!$A$2:$A$878,$A72,'Raw Data'!$B$2:$B$878,$B72,'Raw Data'!$D$2:$D$878,$D72)</f>
        <v>1660</v>
      </c>
      <c r="F72" s="5">
        <f>IFERROR(3958.8*ACOS(MIN(1,MAX(-1,SIN(RADIANS('ZIP Coordinates'!$C$2))*SIN(RADIANS(INDEX('ZIP Coordinates'!$C:$C,MATCH($A72,'ZIP Coordinates'!$A:$A,0))))+COS(RADIANS('ZIP Coordinates'!$C$2))*COS(RADIANS(INDEX('ZIP Coordinates'!$C:$C,MATCH($A72,'ZIP Coordinates'!$A:$A,0))))*COS(RADIANS(INDEX('ZIP Coordinates'!$D:$D,MATCH($A72,'ZIP Coordinates'!$A:$A,0))-'ZIP Coordinates'!$D$2))))),"N/A")</f>
        <v>170.00670451695677</v>
      </c>
    </row>
    <row r="73" spans="1:6" x14ac:dyDescent="0.2">
      <c r="A73" s="3" t="s">
        <v>6</v>
      </c>
      <c r="B73" s="3" t="s">
        <v>257</v>
      </c>
      <c r="C73" s="3" t="s">
        <v>256</v>
      </c>
      <c r="D73" s="3" t="s">
        <v>96</v>
      </c>
      <c r="E73" s="28">
        <f>SUMIFS('Raw Data'!$I$2:$I$878,'Raw Data'!$A$2:$A$878,$A73,'Raw Data'!$B$2:$B$878,$B73,'Raw Data'!$D$2:$D$878,$D73)</f>
        <v>73</v>
      </c>
      <c r="F73" s="5">
        <f>IFERROR(3958.8*ACOS(MIN(1,MAX(-1,SIN(RADIANS('ZIP Coordinates'!$C$2))*SIN(RADIANS(INDEX('ZIP Coordinates'!$C:$C,MATCH($A73,'ZIP Coordinates'!$A:$A,0))))+COS(RADIANS('ZIP Coordinates'!$C$2))*COS(RADIANS(INDEX('ZIP Coordinates'!$C:$C,MATCH($A73,'ZIP Coordinates'!$A:$A,0))))*COS(RADIANS(INDEX('ZIP Coordinates'!$D:$D,MATCH($A73,'ZIP Coordinates'!$A:$A,0))-'ZIP Coordinates'!$D$2))))),"N/A")</f>
        <v>170.00670451695677</v>
      </c>
    </row>
    <row r="74" spans="1:6" x14ac:dyDescent="0.2">
      <c r="A74" s="3" t="s">
        <v>7</v>
      </c>
      <c r="B74" s="3" t="s">
        <v>258</v>
      </c>
      <c r="C74" s="3" t="s">
        <v>240</v>
      </c>
      <c r="D74" s="3" t="s">
        <v>220</v>
      </c>
      <c r="E74" s="28">
        <f>SUMIFS('Raw Data'!$I$2:$I$878,'Raw Data'!$A$2:$A$878,$A74,'Raw Data'!$B$2:$B$878,$B74,'Raw Data'!$D$2:$D$878,$D74)</f>
        <v>4</v>
      </c>
      <c r="F74" s="5">
        <f>IFERROR(3958.8*ACOS(MIN(1,MAX(-1,SIN(RADIANS('ZIP Coordinates'!$C$2))*SIN(RADIANS(INDEX('ZIP Coordinates'!$C:$C,MATCH($A74,'ZIP Coordinates'!$A:$A,0))))+COS(RADIANS('ZIP Coordinates'!$C$2))*COS(RADIANS(INDEX('ZIP Coordinates'!$C:$C,MATCH($A74,'ZIP Coordinates'!$A:$A,0))))*COS(RADIANS(INDEX('ZIP Coordinates'!$D:$D,MATCH($A74,'ZIP Coordinates'!$A:$A,0))-'ZIP Coordinates'!$D$2))))),"N/A")</f>
        <v>186.92635409257193</v>
      </c>
    </row>
    <row r="75" spans="1:6" x14ac:dyDescent="0.2">
      <c r="A75" s="3" t="s">
        <v>7</v>
      </c>
      <c r="B75" s="3" t="s">
        <v>258</v>
      </c>
      <c r="C75" s="3" t="s">
        <v>240</v>
      </c>
      <c r="D75" s="3" t="s">
        <v>121</v>
      </c>
      <c r="E75" s="28">
        <f>SUMIFS('Raw Data'!$I$2:$I$878,'Raw Data'!$A$2:$A$878,$A75,'Raw Data'!$B$2:$B$878,$B75,'Raw Data'!$D$2:$D$878,$D75)</f>
        <v>1292</v>
      </c>
      <c r="F75" s="5">
        <f>IFERROR(3958.8*ACOS(MIN(1,MAX(-1,SIN(RADIANS('ZIP Coordinates'!$C$2))*SIN(RADIANS(INDEX('ZIP Coordinates'!$C:$C,MATCH($A75,'ZIP Coordinates'!$A:$A,0))))+COS(RADIANS('ZIP Coordinates'!$C$2))*COS(RADIANS(INDEX('ZIP Coordinates'!$C:$C,MATCH($A75,'ZIP Coordinates'!$A:$A,0))))*COS(RADIANS(INDEX('ZIP Coordinates'!$D:$D,MATCH($A75,'ZIP Coordinates'!$A:$A,0))-'ZIP Coordinates'!$D$2))))),"N/A")</f>
        <v>186.92635409257193</v>
      </c>
    </row>
    <row r="76" spans="1:6" x14ac:dyDescent="0.2">
      <c r="A76" s="3" t="s">
        <v>7</v>
      </c>
      <c r="B76" s="3" t="s">
        <v>239</v>
      </c>
      <c r="C76" s="3" t="s">
        <v>240</v>
      </c>
      <c r="D76" s="3" t="s">
        <v>153</v>
      </c>
      <c r="E76" s="28">
        <f>SUMIFS('Raw Data'!$I$2:$I$878,'Raw Data'!$A$2:$A$878,$A76,'Raw Data'!$B$2:$B$878,$B76,'Raw Data'!$D$2:$D$878,$D76)</f>
        <v>9</v>
      </c>
      <c r="F76" s="5">
        <f>IFERROR(3958.8*ACOS(MIN(1,MAX(-1,SIN(RADIANS('ZIP Coordinates'!$C$2))*SIN(RADIANS(INDEX('ZIP Coordinates'!$C:$C,MATCH($A76,'ZIP Coordinates'!$A:$A,0))))+COS(RADIANS('ZIP Coordinates'!$C$2))*COS(RADIANS(INDEX('ZIP Coordinates'!$C:$C,MATCH($A76,'ZIP Coordinates'!$A:$A,0))))*COS(RADIANS(INDEX('ZIP Coordinates'!$D:$D,MATCH($A76,'ZIP Coordinates'!$A:$A,0))-'ZIP Coordinates'!$D$2))))),"N/A")</f>
        <v>186.92635409257193</v>
      </c>
    </row>
    <row r="77" spans="1:6" x14ac:dyDescent="0.2">
      <c r="A77" s="3" t="s">
        <v>7</v>
      </c>
      <c r="B77" s="3" t="s">
        <v>259</v>
      </c>
      <c r="C77" s="3" t="s">
        <v>260</v>
      </c>
      <c r="D77" s="3" t="s">
        <v>153</v>
      </c>
      <c r="E77" s="28">
        <f>SUMIFS('Raw Data'!$I$2:$I$878,'Raw Data'!$A$2:$A$878,$A77,'Raw Data'!$B$2:$B$878,$B77,'Raw Data'!$D$2:$D$878,$D77)</f>
        <v>40</v>
      </c>
      <c r="F77" s="5">
        <f>IFERROR(3958.8*ACOS(MIN(1,MAX(-1,SIN(RADIANS('ZIP Coordinates'!$C$2))*SIN(RADIANS(INDEX('ZIP Coordinates'!$C:$C,MATCH($A77,'ZIP Coordinates'!$A:$A,0))))+COS(RADIANS('ZIP Coordinates'!$C$2))*COS(RADIANS(INDEX('ZIP Coordinates'!$C:$C,MATCH($A77,'ZIP Coordinates'!$A:$A,0))))*COS(RADIANS(INDEX('ZIP Coordinates'!$D:$D,MATCH($A77,'ZIP Coordinates'!$A:$A,0))-'ZIP Coordinates'!$D$2))))),"N/A")</f>
        <v>186.92635409257193</v>
      </c>
    </row>
    <row r="78" spans="1:6" x14ac:dyDescent="0.2">
      <c r="A78" s="3" t="s">
        <v>7</v>
      </c>
      <c r="B78" s="3" t="s">
        <v>262</v>
      </c>
      <c r="C78" s="3" t="s">
        <v>263</v>
      </c>
      <c r="D78" s="3" t="s">
        <v>121</v>
      </c>
      <c r="E78" s="28">
        <f>SUMIFS('Raw Data'!$I$2:$I$878,'Raw Data'!$A$2:$A$878,$A78,'Raw Data'!$B$2:$B$878,$B78,'Raw Data'!$D$2:$D$878,$D78)</f>
        <v>168</v>
      </c>
      <c r="F78" s="5">
        <f>IFERROR(3958.8*ACOS(MIN(1,MAX(-1,SIN(RADIANS('ZIP Coordinates'!$C$2))*SIN(RADIANS(INDEX('ZIP Coordinates'!$C:$C,MATCH($A78,'ZIP Coordinates'!$A:$A,0))))+COS(RADIANS('ZIP Coordinates'!$C$2))*COS(RADIANS(INDEX('ZIP Coordinates'!$C:$C,MATCH($A78,'ZIP Coordinates'!$A:$A,0))))*COS(RADIANS(INDEX('ZIP Coordinates'!$D:$D,MATCH($A78,'ZIP Coordinates'!$A:$A,0))-'ZIP Coordinates'!$D$2))))),"N/A")</f>
        <v>186.92635409257193</v>
      </c>
    </row>
    <row r="79" spans="1:6" x14ac:dyDescent="0.2">
      <c r="A79" s="3" t="s">
        <v>7</v>
      </c>
      <c r="B79" s="3" t="s">
        <v>267</v>
      </c>
      <c r="C79" s="3" t="s">
        <v>268</v>
      </c>
      <c r="D79" s="3" t="s">
        <v>211</v>
      </c>
      <c r="E79" s="28">
        <f>SUMIFS('Raw Data'!$I$2:$I$878,'Raw Data'!$A$2:$A$878,$A79,'Raw Data'!$B$2:$B$878,$B79,'Raw Data'!$D$2:$D$878,$D79)</f>
        <v>16</v>
      </c>
      <c r="F79" s="5">
        <f>IFERROR(3958.8*ACOS(MIN(1,MAX(-1,SIN(RADIANS('ZIP Coordinates'!$C$2))*SIN(RADIANS(INDEX('ZIP Coordinates'!$C:$C,MATCH($A79,'ZIP Coordinates'!$A:$A,0))))+COS(RADIANS('ZIP Coordinates'!$C$2))*COS(RADIANS(INDEX('ZIP Coordinates'!$C:$C,MATCH($A79,'ZIP Coordinates'!$A:$A,0))))*COS(RADIANS(INDEX('ZIP Coordinates'!$D:$D,MATCH($A79,'ZIP Coordinates'!$A:$A,0))-'ZIP Coordinates'!$D$2))))),"N/A")</f>
        <v>186.92635409257193</v>
      </c>
    </row>
    <row r="80" spans="1:6" x14ac:dyDescent="0.2">
      <c r="A80" s="3" t="s">
        <v>7</v>
      </c>
      <c r="B80" s="3" t="s">
        <v>269</v>
      </c>
      <c r="C80" s="3" t="s">
        <v>268</v>
      </c>
      <c r="D80" s="3" t="s">
        <v>153</v>
      </c>
      <c r="E80" s="28">
        <f>SUMIFS('Raw Data'!$I$2:$I$878,'Raw Data'!$A$2:$A$878,$A80,'Raw Data'!$B$2:$B$878,$B80,'Raw Data'!$D$2:$D$878,$D80)</f>
        <v>2</v>
      </c>
      <c r="F80" s="5">
        <f>IFERROR(3958.8*ACOS(MIN(1,MAX(-1,SIN(RADIANS('ZIP Coordinates'!$C$2))*SIN(RADIANS(INDEX('ZIP Coordinates'!$C:$C,MATCH($A80,'ZIP Coordinates'!$A:$A,0))))+COS(RADIANS('ZIP Coordinates'!$C$2))*COS(RADIANS(INDEX('ZIP Coordinates'!$C:$C,MATCH($A80,'ZIP Coordinates'!$A:$A,0))))*COS(RADIANS(INDEX('ZIP Coordinates'!$D:$D,MATCH($A80,'ZIP Coordinates'!$A:$A,0))-'ZIP Coordinates'!$D$2))))),"N/A")</f>
        <v>186.92635409257193</v>
      </c>
    </row>
    <row r="81" spans="1:6" x14ac:dyDescent="0.2">
      <c r="A81" s="3" t="s">
        <v>7</v>
      </c>
      <c r="B81" s="3" t="s">
        <v>271</v>
      </c>
      <c r="C81" s="3" t="s">
        <v>244</v>
      </c>
      <c r="D81" s="3" t="s">
        <v>145</v>
      </c>
      <c r="E81" s="28">
        <f>SUMIFS('Raw Data'!$I$2:$I$878,'Raw Data'!$A$2:$A$878,$A81,'Raw Data'!$B$2:$B$878,$B81,'Raw Data'!$D$2:$D$878,$D81)</f>
        <v>1080</v>
      </c>
      <c r="F81" s="5">
        <f>IFERROR(3958.8*ACOS(MIN(1,MAX(-1,SIN(RADIANS('ZIP Coordinates'!$C$2))*SIN(RADIANS(INDEX('ZIP Coordinates'!$C:$C,MATCH($A81,'ZIP Coordinates'!$A:$A,0))))+COS(RADIANS('ZIP Coordinates'!$C$2))*COS(RADIANS(INDEX('ZIP Coordinates'!$C:$C,MATCH($A81,'ZIP Coordinates'!$A:$A,0))))*COS(RADIANS(INDEX('ZIP Coordinates'!$D:$D,MATCH($A81,'ZIP Coordinates'!$A:$A,0))-'ZIP Coordinates'!$D$2))))),"N/A")</f>
        <v>186.92635409257193</v>
      </c>
    </row>
    <row r="82" spans="1:6" x14ac:dyDescent="0.2">
      <c r="A82" s="3" t="s">
        <v>7</v>
      </c>
      <c r="B82" s="3" t="s">
        <v>243</v>
      </c>
      <c r="C82" s="3" t="s">
        <v>244</v>
      </c>
      <c r="D82" s="3" t="s">
        <v>153</v>
      </c>
      <c r="E82" s="28">
        <f>SUMIFS('Raw Data'!$I$2:$I$878,'Raw Data'!$A$2:$A$878,$A82,'Raw Data'!$B$2:$B$878,$B82,'Raw Data'!$D$2:$D$878,$D82)</f>
        <v>6</v>
      </c>
      <c r="F82" s="5">
        <f>IFERROR(3958.8*ACOS(MIN(1,MAX(-1,SIN(RADIANS('ZIP Coordinates'!$C$2))*SIN(RADIANS(INDEX('ZIP Coordinates'!$C:$C,MATCH($A82,'ZIP Coordinates'!$A:$A,0))))+COS(RADIANS('ZIP Coordinates'!$C$2))*COS(RADIANS(INDEX('ZIP Coordinates'!$C:$C,MATCH($A82,'ZIP Coordinates'!$A:$A,0))))*COS(RADIANS(INDEX('ZIP Coordinates'!$D:$D,MATCH($A82,'ZIP Coordinates'!$A:$A,0))-'ZIP Coordinates'!$D$2))))),"N/A")</f>
        <v>186.92635409257193</v>
      </c>
    </row>
    <row r="83" spans="1:6" x14ac:dyDescent="0.2">
      <c r="A83" s="3" t="s">
        <v>7</v>
      </c>
      <c r="B83" s="3" t="s">
        <v>276</v>
      </c>
      <c r="C83" s="3" t="s">
        <v>275</v>
      </c>
      <c r="D83" s="3" t="s">
        <v>153</v>
      </c>
      <c r="E83" s="28">
        <f>SUMIFS('Raw Data'!$I$2:$I$878,'Raw Data'!$A$2:$A$878,$A83,'Raw Data'!$B$2:$B$878,$B83,'Raw Data'!$D$2:$D$878,$D83)</f>
        <v>6</v>
      </c>
      <c r="F83" s="5">
        <f>IFERROR(3958.8*ACOS(MIN(1,MAX(-1,SIN(RADIANS('ZIP Coordinates'!$C$2))*SIN(RADIANS(INDEX('ZIP Coordinates'!$C:$C,MATCH($A83,'ZIP Coordinates'!$A:$A,0))))+COS(RADIANS('ZIP Coordinates'!$C$2))*COS(RADIANS(INDEX('ZIP Coordinates'!$C:$C,MATCH($A83,'ZIP Coordinates'!$A:$A,0))))*COS(RADIANS(INDEX('ZIP Coordinates'!$D:$D,MATCH($A83,'ZIP Coordinates'!$A:$A,0))-'ZIP Coordinates'!$D$2))))),"N/A")</f>
        <v>186.92635409257193</v>
      </c>
    </row>
    <row r="84" spans="1:6" x14ac:dyDescent="0.2">
      <c r="A84" s="3" t="s">
        <v>7</v>
      </c>
      <c r="B84" s="3" t="s">
        <v>289</v>
      </c>
      <c r="C84" s="3" t="s">
        <v>280</v>
      </c>
      <c r="D84" s="3" t="s">
        <v>153</v>
      </c>
      <c r="E84" s="28">
        <f>SUMIFS('Raw Data'!$I$2:$I$878,'Raw Data'!$A$2:$A$878,$A84,'Raw Data'!$B$2:$B$878,$B84,'Raw Data'!$D$2:$D$878,$D84)</f>
        <v>63</v>
      </c>
      <c r="F84" s="5">
        <f>IFERROR(3958.8*ACOS(MIN(1,MAX(-1,SIN(RADIANS('ZIP Coordinates'!$C$2))*SIN(RADIANS(INDEX('ZIP Coordinates'!$C:$C,MATCH($A84,'ZIP Coordinates'!$A:$A,0))))+COS(RADIANS('ZIP Coordinates'!$C$2))*COS(RADIANS(INDEX('ZIP Coordinates'!$C:$C,MATCH($A84,'ZIP Coordinates'!$A:$A,0))))*COS(RADIANS(INDEX('ZIP Coordinates'!$D:$D,MATCH($A84,'ZIP Coordinates'!$A:$A,0))-'ZIP Coordinates'!$D$2))))),"N/A")</f>
        <v>186.92635409257193</v>
      </c>
    </row>
    <row r="85" spans="1:6" x14ac:dyDescent="0.2">
      <c r="A85" s="3" t="s">
        <v>7</v>
      </c>
      <c r="B85" s="3" t="s">
        <v>248</v>
      </c>
      <c r="C85" s="3" t="s">
        <v>249</v>
      </c>
      <c r="D85" s="3" t="s">
        <v>88</v>
      </c>
      <c r="E85" s="28">
        <f>SUMIFS('Raw Data'!$I$2:$I$878,'Raw Data'!$A$2:$A$878,$A85,'Raw Data'!$B$2:$B$878,$B85,'Raw Data'!$D$2:$D$878,$D85)</f>
        <v>33500</v>
      </c>
      <c r="F85" s="5">
        <f>IFERROR(3958.8*ACOS(MIN(1,MAX(-1,SIN(RADIANS('ZIP Coordinates'!$C$2))*SIN(RADIANS(INDEX('ZIP Coordinates'!$C:$C,MATCH($A85,'ZIP Coordinates'!$A:$A,0))))+COS(RADIANS('ZIP Coordinates'!$C$2))*COS(RADIANS(INDEX('ZIP Coordinates'!$C:$C,MATCH($A85,'ZIP Coordinates'!$A:$A,0))))*COS(RADIANS(INDEX('ZIP Coordinates'!$D:$D,MATCH($A85,'ZIP Coordinates'!$A:$A,0))-'ZIP Coordinates'!$D$2))))),"N/A")</f>
        <v>186.92635409257193</v>
      </c>
    </row>
    <row r="86" spans="1:6" x14ac:dyDescent="0.2">
      <c r="A86" s="3" t="s">
        <v>7</v>
      </c>
      <c r="B86" s="3" t="s">
        <v>250</v>
      </c>
      <c r="C86" s="3" t="s">
        <v>249</v>
      </c>
      <c r="D86" s="3" t="s">
        <v>153</v>
      </c>
      <c r="E86" s="28">
        <f>SUMIFS('Raw Data'!$I$2:$I$878,'Raw Data'!$A$2:$A$878,$A86,'Raw Data'!$B$2:$B$878,$B86,'Raw Data'!$D$2:$D$878,$D86)</f>
        <v>5</v>
      </c>
      <c r="F86" s="5">
        <f>IFERROR(3958.8*ACOS(MIN(1,MAX(-1,SIN(RADIANS('ZIP Coordinates'!$C$2))*SIN(RADIANS(INDEX('ZIP Coordinates'!$C:$C,MATCH($A86,'ZIP Coordinates'!$A:$A,0))))+COS(RADIANS('ZIP Coordinates'!$C$2))*COS(RADIANS(INDEX('ZIP Coordinates'!$C:$C,MATCH($A86,'ZIP Coordinates'!$A:$A,0))))*COS(RADIANS(INDEX('ZIP Coordinates'!$D:$D,MATCH($A86,'ZIP Coordinates'!$A:$A,0))-'ZIP Coordinates'!$D$2))))),"N/A")</f>
        <v>186.92635409257193</v>
      </c>
    </row>
    <row r="87" spans="1:6" x14ac:dyDescent="0.2">
      <c r="A87" s="3" t="s">
        <v>7</v>
      </c>
      <c r="B87" s="3" t="s">
        <v>281</v>
      </c>
      <c r="C87" s="3" t="s">
        <v>252</v>
      </c>
      <c r="D87" s="3" t="s">
        <v>153</v>
      </c>
      <c r="E87" s="28">
        <f>SUMIFS('Raw Data'!$I$2:$I$878,'Raw Data'!$A$2:$A$878,$A87,'Raw Data'!$B$2:$B$878,$B87,'Raw Data'!$D$2:$D$878,$D87)</f>
        <v>20</v>
      </c>
      <c r="F87" s="5">
        <f>IFERROR(3958.8*ACOS(MIN(1,MAX(-1,SIN(RADIANS('ZIP Coordinates'!$C$2))*SIN(RADIANS(INDEX('ZIP Coordinates'!$C:$C,MATCH($A87,'ZIP Coordinates'!$A:$A,0))))+COS(RADIANS('ZIP Coordinates'!$C$2))*COS(RADIANS(INDEX('ZIP Coordinates'!$C:$C,MATCH($A87,'ZIP Coordinates'!$A:$A,0))))*COS(RADIANS(INDEX('ZIP Coordinates'!$D:$D,MATCH($A87,'ZIP Coordinates'!$A:$A,0))-'ZIP Coordinates'!$D$2))))),"N/A")</f>
        <v>186.92635409257193</v>
      </c>
    </row>
    <row r="88" spans="1:6" x14ac:dyDescent="0.2">
      <c r="A88" s="3" t="s">
        <v>7</v>
      </c>
      <c r="B88" s="3" t="s">
        <v>251</v>
      </c>
      <c r="C88" s="3" t="s">
        <v>252</v>
      </c>
      <c r="D88" s="3" t="s">
        <v>153</v>
      </c>
      <c r="E88" s="28">
        <f>SUMIFS('Raw Data'!$I$2:$I$878,'Raw Data'!$A$2:$A$878,$A88,'Raw Data'!$B$2:$B$878,$B88,'Raw Data'!$D$2:$D$878,$D88)</f>
        <v>34</v>
      </c>
      <c r="F88" s="5">
        <f>IFERROR(3958.8*ACOS(MIN(1,MAX(-1,SIN(RADIANS('ZIP Coordinates'!$C$2))*SIN(RADIANS(INDEX('ZIP Coordinates'!$C:$C,MATCH($A88,'ZIP Coordinates'!$A:$A,0))))+COS(RADIANS('ZIP Coordinates'!$C$2))*COS(RADIANS(INDEX('ZIP Coordinates'!$C:$C,MATCH($A88,'ZIP Coordinates'!$A:$A,0))))*COS(RADIANS(INDEX('ZIP Coordinates'!$D:$D,MATCH($A88,'ZIP Coordinates'!$A:$A,0))-'ZIP Coordinates'!$D$2))))),"N/A")</f>
        <v>186.92635409257193</v>
      </c>
    </row>
    <row r="89" spans="1:6" x14ac:dyDescent="0.2">
      <c r="A89" s="3" t="s">
        <v>7</v>
      </c>
      <c r="B89" s="3" t="s">
        <v>284</v>
      </c>
      <c r="C89" s="3" t="s">
        <v>285</v>
      </c>
      <c r="D89" s="3" t="s">
        <v>153</v>
      </c>
      <c r="E89" s="28">
        <f>SUMIFS('Raw Data'!$I$2:$I$878,'Raw Data'!$A$2:$A$878,$A89,'Raw Data'!$B$2:$B$878,$B89,'Raw Data'!$D$2:$D$878,$D89)</f>
        <v>5</v>
      </c>
      <c r="F89" s="5">
        <f>IFERROR(3958.8*ACOS(MIN(1,MAX(-1,SIN(RADIANS('ZIP Coordinates'!$C$2))*SIN(RADIANS(INDEX('ZIP Coordinates'!$C:$C,MATCH($A89,'ZIP Coordinates'!$A:$A,0))))+COS(RADIANS('ZIP Coordinates'!$C$2))*COS(RADIANS(INDEX('ZIP Coordinates'!$C:$C,MATCH($A89,'ZIP Coordinates'!$A:$A,0))))*COS(RADIANS(INDEX('ZIP Coordinates'!$D:$D,MATCH($A89,'ZIP Coordinates'!$A:$A,0))-'ZIP Coordinates'!$D$2))))),"N/A")</f>
        <v>186.92635409257193</v>
      </c>
    </row>
    <row r="90" spans="1:6" x14ac:dyDescent="0.2">
      <c r="A90" s="3" t="s">
        <v>7</v>
      </c>
      <c r="B90" s="3" t="s">
        <v>286</v>
      </c>
      <c r="C90" s="3" t="s">
        <v>287</v>
      </c>
      <c r="D90" s="3" t="s">
        <v>153</v>
      </c>
      <c r="E90" s="28">
        <f>SUMIFS('Raw Data'!$I$2:$I$878,'Raw Data'!$A$2:$A$878,$A90,'Raw Data'!$B$2:$B$878,$B90,'Raw Data'!$D$2:$D$878,$D90)</f>
        <v>108</v>
      </c>
      <c r="F90" s="5">
        <f>IFERROR(3958.8*ACOS(MIN(1,MAX(-1,SIN(RADIANS('ZIP Coordinates'!$C$2))*SIN(RADIANS(INDEX('ZIP Coordinates'!$C:$C,MATCH($A90,'ZIP Coordinates'!$A:$A,0))))+COS(RADIANS('ZIP Coordinates'!$C$2))*COS(RADIANS(INDEX('ZIP Coordinates'!$C:$C,MATCH($A90,'ZIP Coordinates'!$A:$A,0))))*COS(RADIANS(INDEX('ZIP Coordinates'!$D:$D,MATCH($A90,'ZIP Coordinates'!$A:$A,0))-'ZIP Coordinates'!$D$2))))),"N/A")</f>
        <v>186.92635409257193</v>
      </c>
    </row>
    <row r="91" spans="1:6" x14ac:dyDescent="0.2">
      <c r="A91" s="3" t="s">
        <v>7</v>
      </c>
      <c r="B91" s="3" t="s">
        <v>255</v>
      </c>
      <c r="C91" s="3" t="s">
        <v>256</v>
      </c>
      <c r="D91" s="3" t="s">
        <v>88</v>
      </c>
      <c r="E91" s="28">
        <f>SUMIFS('Raw Data'!$I$2:$I$878,'Raw Data'!$A$2:$A$878,$A91,'Raw Data'!$B$2:$B$878,$B91,'Raw Data'!$D$2:$D$878,$D91)</f>
        <v>69060</v>
      </c>
      <c r="F91" s="5">
        <f>IFERROR(3958.8*ACOS(MIN(1,MAX(-1,SIN(RADIANS('ZIP Coordinates'!$C$2))*SIN(RADIANS(INDEX('ZIP Coordinates'!$C:$C,MATCH($A91,'ZIP Coordinates'!$A:$A,0))))+COS(RADIANS('ZIP Coordinates'!$C$2))*COS(RADIANS(INDEX('ZIP Coordinates'!$C:$C,MATCH($A91,'ZIP Coordinates'!$A:$A,0))))*COS(RADIANS(INDEX('ZIP Coordinates'!$D:$D,MATCH($A91,'ZIP Coordinates'!$A:$A,0))-'ZIP Coordinates'!$D$2))))),"N/A")</f>
        <v>186.92635409257193</v>
      </c>
    </row>
    <row r="92" spans="1:6" x14ac:dyDescent="0.2">
      <c r="A92" s="3" t="s">
        <v>7</v>
      </c>
      <c r="B92" s="3" t="s">
        <v>257</v>
      </c>
      <c r="C92" s="3" t="s">
        <v>256</v>
      </c>
      <c r="D92" s="3" t="s">
        <v>88</v>
      </c>
      <c r="E92" s="28">
        <f>SUMIFS('Raw Data'!$I$2:$I$878,'Raw Data'!$A$2:$A$878,$A92,'Raw Data'!$B$2:$B$878,$B92,'Raw Data'!$D$2:$D$878,$D92)</f>
        <v>17</v>
      </c>
      <c r="F92" s="5">
        <f>IFERROR(3958.8*ACOS(MIN(1,MAX(-1,SIN(RADIANS('ZIP Coordinates'!$C$2))*SIN(RADIANS(INDEX('ZIP Coordinates'!$C:$C,MATCH($A92,'ZIP Coordinates'!$A:$A,0))))+COS(RADIANS('ZIP Coordinates'!$C$2))*COS(RADIANS(INDEX('ZIP Coordinates'!$C:$C,MATCH($A92,'ZIP Coordinates'!$A:$A,0))))*COS(RADIANS(INDEX('ZIP Coordinates'!$D:$D,MATCH($A92,'ZIP Coordinates'!$A:$A,0))-'ZIP Coordinates'!$D$2))))),"N/A")</f>
        <v>186.92635409257193</v>
      </c>
    </row>
    <row r="93" spans="1:6" x14ac:dyDescent="0.2">
      <c r="A93" s="3" t="s">
        <v>8</v>
      </c>
      <c r="B93" s="3" t="s">
        <v>258</v>
      </c>
      <c r="C93" s="3" t="s">
        <v>240</v>
      </c>
      <c r="D93" s="3" t="s">
        <v>118</v>
      </c>
      <c r="E93" s="28">
        <f>SUMIFS('Raw Data'!$I$2:$I$878,'Raw Data'!$A$2:$A$878,$A93,'Raw Data'!$B$2:$B$878,$B93,'Raw Data'!$D$2:$D$878,$D93)</f>
        <v>32</v>
      </c>
      <c r="F93" s="5">
        <f>IFERROR(3958.8*ACOS(MIN(1,MAX(-1,SIN(RADIANS('ZIP Coordinates'!$C$2))*SIN(RADIANS(INDEX('ZIP Coordinates'!$C:$C,MATCH($A93,'ZIP Coordinates'!$A:$A,0))))+COS(RADIANS('ZIP Coordinates'!$C$2))*COS(RADIANS(INDEX('ZIP Coordinates'!$C:$C,MATCH($A93,'ZIP Coordinates'!$A:$A,0))))*COS(RADIANS(INDEX('ZIP Coordinates'!$D:$D,MATCH($A93,'ZIP Coordinates'!$A:$A,0))-'ZIP Coordinates'!$D$2))))),"N/A")</f>
        <v>167.45112096307793</v>
      </c>
    </row>
    <row r="94" spans="1:6" x14ac:dyDescent="0.2">
      <c r="A94" s="3" t="s">
        <v>8</v>
      </c>
      <c r="B94" s="3" t="s">
        <v>239</v>
      </c>
      <c r="C94" s="3" t="s">
        <v>240</v>
      </c>
      <c r="D94" s="3" t="s">
        <v>118</v>
      </c>
      <c r="E94" s="28">
        <f>SUMIFS('Raw Data'!$I$2:$I$878,'Raw Data'!$A$2:$A$878,$A94,'Raw Data'!$B$2:$B$878,$B94,'Raw Data'!$D$2:$D$878,$D94)</f>
        <v>6</v>
      </c>
      <c r="F94" s="5">
        <f>IFERROR(3958.8*ACOS(MIN(1,MAX(-1,SIN(RADIANS('ZIP Coordinates'!$C$2))*SIN(RADIANS(INDEX('ZIP Coordinates'!$C:$C,MATCH($A94,'ZIP Coordinates'!$A:$A,0))))+COS(RADIANS('ZIP Coordinates'!$C$2))*COS(RADIANS(INDEX('ZIP Coordinates'!$C:$C,MATCH($A94,'ZIP Coordinates'!$A:$A,0))))*COS(RADIANS(INDEX('ZIP Coordinates'!$D:$D,MATCH($A94,'ZIP Coordinates'!$A:$A,0))-'ZIP Coordinates'!$D$2))))),"N/A")</f>
        <v>167.45112096307793</v>
      </c>
    </row>
    <row r="95" spans="1:6" x14ac:dyDescent="0.2">
      <c r="A95" s="3" t="s">
        <v>8</v>
      </c>
      <c r="B95" s="3" t="s">
        <v>259</v>
      </c>
      <c r="C95" s="3" t="s">
        <v>260</v>
      </c>
      <c r="D95" s="3" t="s">
        <v>118</v>
      </c>
      <c r="E95" s="28">
        <f>SUMIFS('Raw Data'!$I$2:$I$878,'Raw Data'!$A$2:$A$878,$A95,'Raw Data'!$B$2:$B$878,$B95,'Raw Data'!$D$2:$D$878,$D95)</f>
        <v>64</v>
      </c>
      <c r="F95" s="5">
        <f>IFERROR(3958.8*ACOS(MIN(1,MAX(-1,SIN(RADIANS('ZIP Coordinates'!$C$2))*SIN(RADIANS(INDEX('ZIP Coordinates'!$C:$C,MATCH($A95,'ZIP Coordinates'!$A:$A,0))))+COS(RADIANS('ZIP Coordinates'!$C$2))*COS(RADIANS(INDEX('ZIP Coordinates'!$C:$C,MATCH($A95,'ZIP Coordinates'!$A:$A,0))))*COS(RADIANS(INDEX('ZIP Coordinates'!$D:$D,MATCH($A95,'ZIP Coordinates'!$A:$A,0))-'ZIP Coordinates'!$D$2))))),"N/A")</f>
        <v>167.45112096307793</v>
      </c>
    </row>
    <row r="96" spans="1:6" x14ac:dyDescent="0.2">
      <c r="A96" s="3" t="s">
        <v>8</v>
      </c>
      <c r="B96" s="3" t="s">
        <v>261</v>
      </c>
      <c r="C96" s="3" t="s">
        <v>260</v>
      </c>
      <c r="D96" s="3" t="s">
        <v>118</v>
      </c>
      <c r="E96" s="28">
        <f>SUMIFS('Raw Data'!$I$2:$I$878,'Raw Data'!$A$2:$A$878,$A96,'Raw Data'!$B$2:$B$878,$B96,'Raw Data'!$D$2:$D$878,$D96)</f>
        <v>12</v>
      </c>
      <c r="F96" s="5">
        <f>IFERROR(3958.8*ACOS(MIN(1,MAX(-1,SIN(RADIANS('ZIP Coordinates'!$C$2))*SIN(RADIANS(INDEX('ZIP Coordinates'!$C:$C,MATCH($A96,'ZIP Coordinates'!$A:$A,0))))+COS(RADIANS('ZIP Coordinates'!$C$2))*COS(RADIANS(INDEX('ZIP Coordinates'!$C:$C,MATCH($A96,'ZIP Coordinates'!$A:$A,0))))*COS(RADIANS(INDEX('ZIP Coordinates'!$D:$D,MATCH($A96,'ZIP Coordinates'!$A:$A,0))-'ZIP Coordinates'!$D$2))))),"N/A")</f>
        <v>167.45112096307793</v>
      </c>
    </row>
    <row r="97" spans="1:6" x14ac:dyDescent="0.2">
      <c r="A97" s="3" t="s">
        <v>8</v>
      </c>
      <c r="B97" s="3" t="s">
        <v>267</v>
      </c>
      <c r="C97" s="3" t="s">
        <v>268</v>
      </c>
      <c r="D97" s="3" t="s">
        <v>118</v>
      </c>
      <c r="E97" s="28">
        <f>SUMIFS('Raw Data'!$I$2:$I$878,'Raw Data'!$A$2:$A$878,$A97,'Raw Data'!$B$2:$B$878,$B97,'Raw Data'!$D$2:$D$878,$D97)</f>
        <v>12</v>
      </c>
      <c r="F97" s="5">
        <f>IFERROR(3958.8*ACOS(MIN(1,MAX(-1,SIN(RADIANS('ZIP Coordinates'!$C$2))*SIN(RADIANS(INDEX('ZIP Coordinates'!$C:$C,MATCH($A97,'ZIP Coordinates'!$A:$A,0))))+COS(RADIANS('ZIP Coordinates'!$C$2))*COS(RADIANS(INDEX('ZIP Coordinates'!$C:$C,MATCH($A97,'ZIP Coordinates'!$A:$A,0))))*COS(RADIANS(INDEX('ZIP Coordinates'!$D:$D,MATCH($A97,'ZIP Coordinates'!$A:$A,0))-'ZIP Coordinates'!$D$2))))),"N/A")</f>
        <v>167.45112096307793</v>
      </c>
    </row>
    <row r="98" spans="1:6" x14ac:dyDescent="0.2">
      <c r="A98" s="3" t="s">
        <v>8</v>
      </c>
      <c r="B98" s="3" t="s">
        <v>269</v>
      </c>
      <c r="C98" s="3" t="s">
        <v>268</v>
      </c>
      <c r="D98" s="3" t="s">
        <v>118</v>
      </c>
      <c r="E98" s="28">
        <f>SUMIFS('Raw Data'!$I$2:$I$878,'Raw Data'!$A$2:$A$878,$A98,'Raw Data'!$B$2:$B$878,$B98,'Raw Data'!$D$2:$D$878,$D98)</f>
        <v>13</v>
      </c>
      <c r="F98" s="5">
        <f>IFERROR(3958.8*ACOS(MIN(1,MAX(-1,SIN(RADIANS('ZIP Coordinates'!$C$2))*SIN(RADIANS(INDEX('ZIP Coordinates'!$C:$C,MATCH($A98,'ZIP Coordinates'!$A:$A,0))))+COS(RADIANS('ZIP Coordinates'!$C$2))*COS(RADIANS(INDEX('ZIP Coordinates'!$C:$C,MATCH($A98,'ZIP Coordinates'!$A:$A,0))))*COS(RADIANS(INDEX('ZIP Coordinates'!$D:$D,MATCH($A98,'ZIP Coordinates'!$A:$A,0))-'ZIP Coordinates'!$D$2))))),"N/A")</f>
        <v>167.45112096307793</v>
      </c>
    </row>
    <row r="99" spans="1:6" x14ac:dyDescent="0.2">
      <c r="A99" s="3" t="s">
        <v>8</v>
      </c>
      <c r="B99" s="3" t="s">
        <v>241</v>
      </c>
      <c r="C99" s="3" t="s">
        <v>242</v>
      </c>
      <c r="D99" s="3" t="s">
        <v>118</v>
      </c>
      <c r="E99" s="28">
        <f>SUMIFS('Raw Data'!$I$2:$I$878,'Raw Data'!$A$2:$A$878,$A99,'Raw Data'!$B$2:$B$878,$B99,'Raw Data'!$D$2:$D$878,$D99)</f>
        <v>43</v>
      </c>
      <c r="F99" s="5">
        <f>IFERROR(3958.8*ACOS(MIN(1,MAX(-1,SIN(RADIANS('ZIP Coordinates'!$C$2))*SIN(RADIANS(INDEX('ZIP Coordinates'!$C:$C,MATCH($A99,'ZIP Coordinates'!$A:$A,0))))+COS(RADIANS('ZIP Coordinates'!$C$2))*COS(RADIANS(INDEX('ZIP Coordinates'!$C:$C,MATCH($A99,'ZIP Coordinates'!$A:$A,0))))*COS(RADIANS(INDEX('ZIP Coordinates'!$D:$D,MATCH($A99,'ZIP Coordinates'!$A:$A,0))-'ZIP Coordinates'!$D$2))))),"N/A")</f>
        <v>167.45112096307793</v>
      </c>
    </row>
    <row r="100" spans="1:6" x14ac:dyDescent="0.2">
      <c r="A100" s="3" t="s">
        <v>8</v>
      </c>
      <c r="B100" s="3" t="s">
        <v>243</v>
      </c>
      <c r="C100" s="3" t="s">
        <v>244</v>
      </c>
      <c r="D100" s="3" t="s">
        <v>118</v>
      </c>
      <c r="E100" s="28">
        <f>SUMIFS('Raw Data'!$I$2:$I$878,'Raw Data'!$A$2:$A$878,$A100,'Raw Data'!$B$2:$B$878,$B100,'Raw Data'!$D$2:$D$878,$D100)</f>
        <v>41</v>
      </c>
      <c r="F100" s="5">
        <f>IFERROR(3958.8*ACOS(MIN(1,MAX(-1,SIN(RADIANS('ZIP Coordinates'!$C$2))*SIN(RADIANS(INDEX('ZIP Coordinates'!$C:$C,MATCH($A100,'ZIP Coordinates'!$A:$A,0))))+COS(RADIANS('ZIP Coordinates'!$C$2))*COS(RADIANS(INDEX('ZIP Coordinates'!$C:$C,MATCH($A100,'ZIP Coordinates'!$A:$A,0))))*COS(RADIANS(INDEX('ZIP Coordinates'!$D:$D,MATCH($A100,'ZIP Coordinates'!$A:$A,0))-'ZIP Coordinates'!$D$2))))),"N/A")</f>
        <v>167.45112096307793</v>
      </c>
    </row>
    <row r="101" spans="1:6" x14ac:dyDescent="0.2">
      <c r="A101" s="3" t="s">
        <v>8</v>
      </c>
      <c r="B101" s="3" t="s">
        <v>276</v>
      </c>
      <c r="C101" s="3" t="s">
        <v>275</v>
      </c>
      <c r="D101" s="3" t="s">
        <v>118</v>
      </c>
      <c r="E101" s="28">
        <f>SUMIFS('Raw Data'!$I$2:$I$878,'Raw Data'!$A$2:$A$878,$A101,'Raw Data'!$B$2:$B$878,$B101,'Raw Data'!$D$2:$D$878,$D101)</f>
        <v>36</v>
      </c>
      <c r="F101" s="5">
        <f>IFERROR(3958.8*ACOS(MIN(1,MAX(-1,SIN(RADIANS('ZIP Coordinates'!$C$2))*SIN(RADIANS(INDEX('ZIP Coordinates'!$C:$C,MATCH($A101,'ZIP Coordinates'!$A:$A,0))))+COS(RADIANS('ZIP Coordinates'!$C$2))*COS(RADIANS(INDEX('ZIP Coordinates'!$C:$C,MATCH($A101,'ZIP Coordinates'!$A:$A,0))))*COS(RADIANS(INDEX('ZIP Coordinates'!$D:$D,MATCH($A101,'ZIP Coordinates'!$A:$A,0))-'ZIP Coordinates'!$D$2))))),"N/A")</f>
        <v>167.45112096307793</v>
      </c>
    </row>
    <row r="102" spans="1:6" x14ac:dyDescent="0.2">
      <c r="A102" s="3" t="s">
        <v>8</v>
      </c>
      <c r="B102" s="3" t="s">
        <v>245</v>
      </c>
      <c r="C102" s="3" t="s">
        <v>246</v>
      </c>
      <c r="D102" s="3" t="s">
        <v>118</v>
      </c>
      <c r="E102" s="28">
        <f>SUMIFS('Raw Data'!$I$2:$I$878,'Raw Data'!$A$2:$A$878,$A102,'Raw Data'!$B$2:$B$878,$B102,'Raw Data'!$D$2:$D$878,$D102)</f>
        <v>20</v>
      </c>
      <c r="F102" s="5">
        <f>IFERROR(3958.8*ACOS(MIN(1,MAX(-1,SIN(RADIANS('ZIP Coordinates'!$C$2))*SIN(RADIANS(INDEX('ZIP Coordinates'!$C:$C,MATCH($A102,'ZIP Coordinates'!$A:$A,0))))+COS(RADIANS('ZIP Coordinates'!$C$2))*COS(RADIANS(INDEX('ZIP Coordinates'!$C:$C,MATCH($A102,'ZIP Coordinates'!$A:$A,0))))*COS(RADIANS(INDEX('ZIP Coordinates'!$D:$D,MATCH($A102,'ZIP Coordinates'!$A:$A,0))-'ZIP Coordinates'!$D$2))))),"N/A")</f>
        <v>167.45112096307793</v>
      </c>
    </row>
    <row r="103" spans="1:6" x14ac:dyDescent="0.2">
      <c r="A103" s="3" t="s">
        <v>8</v>
      </c>
      <c r="B103" s="3" t="s">
        <v>247</v>
      </c>
      <c r="C103" s="3" t="s">
        <v>246</v>
      </c>
      <c r="D103" s="3" t="s">
        <v>118</v>
      </c>
      <c r="E103" s="28">
        <f>SUMIFS('Raw Data'!$I$2:$I$878,'Raw Data'!$A$2:$A$878,$A103,'Raw Data'!$B$2:$B$878,$B103,'Raw Data'!$D$2:$D$878,$D103)</f>
        <v>39</v>
      </c>
      <c r="F103" s="5">
        <f>IFERROR(3958.8*ACOS(MIN(1,MAX(-1,SIN(RADIANS('ZIP Coordinates'!$C$2))*SIN(RADIANS(INDEX('ZIP Coordinates'!$C:$C,MATCH($A103,'ZIP Coordinates'!$A:$A,0))))+COS(RADIANS('ZIP Coordinates'!$C$2))*COS(RADIANS(INDEX('ZIP Coordinates'!$C:$C,MATCH($A103,'ZIP Coordinates'!$A:$A,0))))*COS(RADIANS(INDEX('ZIP Coordinates'!$D:$D,MATCH($A103,'ZIP Coordinates'!$A:$A,0))-'ZIP Coordinates'!$D$2))))),"N/A")</f>
        <v>167.45112096307793</v>
      </c>
    </row>
    <row r="104" spans="1:6" x14ac:dyDescent="0.2">
      <c r="A104" s="3" t="s">
        <v>8</v>
      </c>
      <c r="B104" s="3" t="s">
        <v>248</v>
      </c>
      <c r="C104" s="3" t="s">
        <v>249</v>
      </c>
      <c r="D104" s="3" t="s">
        <v>118</v>
      </c>
      <c r="E104" s="28">
        <f>SUMIFS('Raw Data'!$I$2:$I$878,'Raw Data'!$A$2:$A$878,$A104,'Raw Data'!$B$2:$B$878,$B104,'Raw Data'!$D$2:$D$878,$D104)</f>
        <v>60</v>
      </c>
      <c r="F104" s="5">
        <f>IFERROR(3958.8*ACOS(MIN(1,MAX(-1,SIN(RADIANS('ZIP Coordinates'!$C$2))*SIN(RADIANS(INDEX('ZIP Coordinates'!$C:$C,MATCH($A104,'ZIP Coordinates'!$A:$A,0))))+COS(RADIANS('ZIP Coordinates'!$C$2))*COS(RADIANS(INDEX('ZIP Coordinates'!$C:$C,MATCH($A104,'ZIP Coordinates'!$A:$A,0))))*COS(RADIANS(INDEX('ZIP Coordinates'!$D:$D,MATCH($A104,'ZIP Coordinates'!$A:$A,0))-'ZIP Coordinates'!$D$2))))),"N/A")</f>
        <v>167.45112096307793</v>
      </c>
    </row>
    <row r="105" spans="1:6" x14ac:dyDescent="0.2">
      <c r="A105" s="3" t="s">
        <v>8</v>
      </c>
      <c r="B105" s="3" t="s">
        <v>250</v>
      </c>
      <c r="C105" s="3" t="s">
        <v>249</v>
      </c>
      <c r="D105" s="3" t="s">
        <v>118</v>
      </c>
      <c r="E105" s="28">
        <f>SUMIFS('Raw Data'!$I$2:$I$878,'Raw Data'!$A$2:$A$878,$A105,'Raw Data'!$B$2:$B$878,$B105,'Raw Data'!$D$2:$D$878,$D105)</f>
        <v>63</v>
      </c>
      <c r="F105" s="5">
        <f>IFERROR(3958.8*ACOS(MIN(1,MAX(-1,SIN(RADIANS('ZIP Coordinates'!$C$2))*SIN(RADIANS(INDEX('ZIP Coordinates'!$C:$C,MATCH($A105,'ZIP Coordinates'!$A:$A,0))))+COS(RADIANS('ZIP Coordinates'!$C$2))*COS(RADIANS(INDEX('ZIP Coordinates'!$C:$C,MATCH($A105,'ZIP Coordinates'!$A:$A,0))))*COS(RADIANS(INDEX('ZIP Coordinates'!$D:$D,MATCH($A105,'ZIP Coordinates'!$A:$A,0))-'ZIP Coordinates'!$D$2))))),"N/A")</f>
        <v>167.45112096307793</v>
      </c>
    </row>
    <row r="106" spans="1:6" x14ac:dyDescent="0.2">
      <c r="A106" s="3" t="s">
        <v>8</v>
      </c>
      <c r="B106" s="3" t="s">
        <v>281</v>
      </c>
      <c r="C106" s="3" t="s">
        <v>252</v>
      </c>
      <c r="D106" s="3" t="s">
        <v>118</v>
      </c>
      <c r="E106" s="28">
        <f>SUMIFS('Raw Data'!$I$2:$I$878,'Raw Data'!$A$2:$A$878,$A106,'Raw Data'!$B$2:$B$878,$B106,'Raw Data'!$D$2:$D$878,$D106)</f>
        <v>60</v>
      </c>
      <c r="F106" s="5">
        <f>IFERROR(3958.8*ACOS(MIN(1,MAX(-1,SIN(RADIANS('ZIP Coordinates'!$C$2))*SIN(RADIANS(INDEX('ZIP Coordinates'!$C:$C,MATCH($A106,'ZIP Coordinates'!$A:$A,0))))+COS(RADIANS('ZIP Coordinates'!$C$2))*COS(RADIANS(INDEX('ZIP Coordinates'!$C:$C,MATCH($A106,'ZIP Coordinates'!$A:$A,0))))*COS(RADIANS(INDEX('ZIP Coordinates'!$D:$D,MATCH($A106,'ZIP Coordinates'!$A:$A,0))-'ZIP Coordinates'!$D$2))))),"N/A")</f>
        <v>167.45112096307793</v>
      </c>
    </row>
    <row r="107" spans="1:6" x14ac:dyDescent="0.2">
      <c r="A107" s="3" t="s">
        <v>8</v>
      </c>
      <c r="B107" s="3" t="s">
        <v>251</v>
      </c>
      <c r="C107" s="3" t="s">
        <v>252</v>
      </c>
      <c r="D107" s="3" t="s">
        <v>118</v>
      </c>
      <c r="E107" s="28">
        <f>SUMIFS('Raw Data'!$I$2:$I$878,'Raw Data'!$A$2:$A$878,$A107,'Raw Data'!$B$2:$B$878,$B107,'Raw Data'!$D$2:$D$878,$D107)</f>
        <v>48</v>
      </c>
      <c r="F107" s="5">
        <f>IFERROR(3958.8*ACOS(MIN(1,MAX(-1,SIN(RADIANS('ZIP Coordinates'!$C$2))*SIN(RADIANS(INDEX('ZIP Coordinates'!$C:$C,MATCH($A107,'ZIP Coordinates'!$A:$A,0))))+COS(RADIANS('ZIP Coordinates'!$C$2))*COS(RADIANS(INDEX('ZIP Coordinates'!$C:$C,MATCH($A107,'ZIP Coordinates'!$A:$A,0))))*COS(RADIANS(INDEX('ZIP Coordinates'!$D:$D,MATCH($A107,'ZIP Coordinates'!$A:$A,0))-'ZIP Coordinates'!$D$2))))),"N/A")</f>
        <v>167.45112096307793</v>
      </c>
    </row>
    <row r="108" spans="1:6" x14ac:dyDescent="0.2">
      <c r="A108" s="3" t="s">
        <v>8</v>
      </c>
      <c r="B108" s="3" t="s">
        <v>282</v>
      </c>
      <c r="C108" s="3" t="s">
        <v>283</v>
      </c>
      <c r="D108" s="3" t="s">
        <v>118</v>
      </c>
      <c r="E108" s="28">
        <f>SUMIFS('Raw Data'!$I$2:$I$878,'Raw Data'!$A$2:$A$878,$A108,'Raw Data'!$B$2:$B$878,$B108,'Raw Data'!$D$2:$D$878,$D108)</f>
        <v>3</v>
      </c>
      <c r="F108" s="5">
        <f>IFERROR(3958.8*ACOS(MIN(1,MAX(-1,SIN(RADIANS('ZIP Coordinates'!$C$2))*SIN(RADIANS(INDEX('ZIP Coordinates'!$C:$C,MATCH($A108,'ZIP Coordinates'!$A:$A,0))))+COS(RADIANS('ZIP Coordinates'!$C$2))*COS(RADIANS(INDEX('ZIP Coordinates'!$C:$C,MATCH($A108,'ZIP Coordinates'!$A:$A,0))))*COS(RADIANS(INDEX('ZIP Coordinates'!$D:$D,MATCH($A108,'ZIP Coordinates'!$A:$A,0))-'ZIP Coordinates'!$D$2))))),"N/A")</f>
        <v>167.45112096307793</v>
      </c>
    </row>
    <row r="109" spans="1:6" x14ac:dyDescent="0.2">
      <c r="A109" s="3" t="s">
        <v>8</v>
      </c>
      <c r="B109" s="3" t="s">
        <v>284</v>
      </c>
      <c r="C109" s="3" t="s">
        <v>285</v>
      </c>
      <c r="D109" s="3" t="s">
        <v>118</v>
      </c>
      <c r="E109" s="28">
        <f>SUMIFS('Raw Data'!$I$2:$I$878,'Raw Data'!$A$2:$A$878,$A109,'Raw Data'!$B$2:$B$878,$B109,'Raw Data'!$D$2:$D$878,$D109)</f>
        <v>8</v>
      </c>
      <c r="F109" s="5">
        <f>IFERROR(3958.8*ACOS(MIN(1,MAX(-1,SIN(RADIANS('ZIP Coordinates'!$C$2))*SIN(RADIANS(INDEX('ZIP Coordinates'!$C:$C,MATCH($A109,'ZIP Coordinates'!$A:$A,0))))+COS(RADIANS('ZIP Coordinates'!$C$2))*COS(RADIANS(INDEX('ZIP Coordinates'!$C:$C,MATCH($A109,'ZIP Coordinates'!$A:$A,0))))*COS(RADIANS(INDEX('ZIP Coordinates'!$D:$D,MATCH($A109,'ZIP Coordinates'!$A:$A,0))-'ZIP Coordinates'!$D$2))))),"N/A")</f>
        <v>167.45112096307793</v>
      </c>
    </row>
    <row r="110" spans="1:6" x14ac:dyDescent="0.2">
      <c r="A110" s="3" t="s">
        <v>8</v>
      </c>
      <c r="B110" s="3" t="s">
        <v>286</v>
      </c>
      <c r="C110" s="3" t="s">
        <v>287</v>
      </c>
      <c r="D110" s="3" t="s">
        <v>118</v>
      </c>
      <c r="E110" s="28">
        <f>SUMIFS('Raw Data'!$I$2:$I$878,'Raw Data'!$A$2:$A$878,$A110,'Raw Data'!$B$2:$B$878,$B110,'Raw Data'!$D$2:$D$878,$D110)</f>
        <v>171</v>
      </c>
      <c r="F110" s="5">
        <f>IFERROR(3958.8*ACOS(MIN(1,MAX(-1,SIN(RADIANS('ZIP Coordinates'!$C$2))*SIN(RADIANS(INDEX('ZIP Coordinates'!$C:$C,MATCH($A110,'ZIP Coordinates'!$A:$A,0))))+COS(RADIANS('ZIP Coordinates'!$C$2))*COS(RADIANS(INDEX('ZIP Coordinates'!$C:$C,MATCH($A110,'ZIP Coordinates'!$A:$A,0))))*COS(RADIANS(INDEX('ZIP Coordinates'!$D:$D,MATCH($A110,'ZIP Coordinates'!$A:$A,0))-'ZIP Coordinates'!$D$2))))),"N/A")</f>
        <v>167.45112096307793</v>
      </c>
    </row>
    <row r="111" spans="1:6" x14ac:dyDescent="0.2">
      <c r="A111" s="3" t="s">
        <v>8</v>
      </c>
      <c r="B111" s="3" t="s">
        <v>255</v>
      </c>
      <c r="C111" s="3" t="s">
        <v>256</v>
      </c>
      <c r="D111" s="3" t="s">
        <v>118</v>
      </c>
      <c r="E111" s="28">
        <f>SUMIFS('Raw Data'!$I$2:$I$878,'Raw Data'!$A$2:$A$878,$A111,'Raw Data'!$B$2:$B$878,$B111,'Raw Data'!$D$2:$D$878,$D111)</f>
        <v>620</v>
      </c>
      <c r="F111" s="5">
        <f>IFERROR(3958.8*ACOS(MIN(1,MAX(-1,SIN(RADIANS('ZIP Coordinates'!$C$2))*SIN(RADIANS(INDEX('ZIP Coordinates'!$C:$C,MATCH($A111,'ZIP Coordinates'!$A:$A,0))))+COS(RADIANS('ZIP Coordinates'!$C$2))*COS(RADIANS(INDEX('ZIP Coordinates'!$C:$C,MATCH($A111,'ZIP Coordinates'!$A:$A,0))))*COS(RADIANS(INDEX('ZIP Coordinates'!$D:$D,MATCH($A111,'ZIP Coordinates'!$A:$A,0))-'ZIP Coordinates'!$D$2))))),"N/A")</f>
        <v>167.45112096307793</v>
      </c>
    </row>
    <row r="112" spans="1:6" x14ac:dyDescent="0.2">
      <c r="A112" s="3" t="s">
        <v>9</v>
      </c>
      <c r="B112" s="3" t="s">
        <v>258</v>
      </c>
      <c r="C112" s="3" t="s">
        <v>240</v>
      </c>
      <c r="D112" s="3" t="s">
        <v>146</v>
      </c>
      <c r="E112" s="28">
        <f>SUMIFS('Raw Data'!$I$2:$I$878,'Raw Data'!$A$2:$A$878,$A112,'Raw Data'!$B$2:$B$878,$B112,'Raw Data'!$D$2:$D$878,$D112)</f>
        <v>448</v>
      </c>
      <c r="F112" s="5">
        <f>IFERROR(3958.8*ACOS(MIN(1,MAX(-1,SIN(RADIANS('ZIP Coordinates'!$C$2))*SIN(RADIANS(INDEX('ZIP Coordinates'!$C:$C,MATCH($A112,'ZIP Coordinates'!$A:$A,0))))+COS(RADIANS('ZIP Coordinates'!$C$2))*COS(RADIANS(INDEX('ZIP Coordinates'!$C:$C,MATCH($A112,'ZIP Coordinates'!$A:$A,0))))*COS(RADIANS(INDEX('ZIP Coordinates'!$D:$D,MATCH($A112,'ZIP Coordinates'!$A:$A,0))-'ZIP Coordinates'!$D$2))))),"N/A")</f>
        <v>158.36354605751467</v>
      </c>
    </row>
    <row r="113" spans="1:6" x14ac:dyDescent="0.2">
      <c r="A113" s="3" t="s">
        <v>9</v>
      </c>
      <c r="B113" s="3" t="s">
        <v>259</v>
      </c>
      <c r="C113" s="3" t="s">
        <v>260</v>
      </c>
      <c r="D113" s="3" t="s">
        <v>107</v>
      </c>
      <c r="E113" s="28">
        <f>SUMIFS('Raw Data'!$I$2:$I$878,'Raw Data'!$A$2:$A$878,$A113,'Raw Data'!$B$2:$B$878,$B113,'Raw Data'!$D$2:$D$878,$D113)</f>
        <v>100</v>
      </c>
      <c r="F113" s="5">
        <f>IFERROR(3958.8*ACOS(MIN(1,MAX(-1,SIN(RADIANS('ZIP Coordinates'!$C$2))*SIN(RADIANS(INDEX('ZIP Coordinates'!$C:$C,MATCH($A113,'ZIP Coordinates'!$A:$A,0))))+COS(RADIANS('ZIP Coordinates'!$C$2))*COS(RADIANS(INDEX('ZIP Coordinates'!$C:$C,MATCH($A113,'ZIP Coordinates'!$A:$A,0))))*COS(RADIANS(INDEX('ZIP Coordinates'!$D:$D,MATCH($A113,'ZIP Coordinates'!$A:$A,0))-'ZIP Coordinates'!$D$2))))),"N/A")</f>
        <v>158.36354605751467</v>
      </c>
    </row>
    <row r="114" spans="1:6" x14ac:dyDescent="0.2">
      <c r="A114" s="3" t="s">
        <v>9</v>
      </c>
      <c r="B114" s="3" t="s">
        <v>241</v>
      </c>
      <c r="C114" s="3" t="s">
        <v>242</v>
      </c>
      <c r="D114" s="3" t="s">
        <v>107</v>
      </c>
      <c r="E114" s="28">
        <f>SUMIFS('Raw Data'!$I$2:$I$878,'Raw Data'!$A$2:$A$878,$A114,'Raw Data'!$B$2:$B$878,$B114,'Raw Data'!$D$2:$D$878,$D114)</f>
        <v>52</v>
      </c>
      <c r="F114" s="5">
        <f>IFERROR(3958.8*ACOS(MIN(1,MAX(-1,SIN(RADIANS('ZIP Coordinates'!$C$2))*SIN(RADIANS(INDEX('ZIP Coordinates'!$C:$C,MATCH($A114,'ZIP Coordinates'!$A:$A,0))))+COS(RADIANS('ZIP Coordinates'!$C$2))*COS(RADIANS(INDEX('ZIP Coordinates'!$C:$C,MATCH($A114,'ZIP Coordinates'!$A:$A,0))))*COS(RADIANS(INDEX('ZIP Coordinates'!$D:$D,MATCH($A114,'ZIP Coordinates'!$A:$A,0))-'ZIP Coordinates'!$D$2))))),"N/A")</f>
        <v>158.36354605751467</v>
      </c>
    </row>
    <row r="115" spans="1:6" x14ac:dyDescent="0.2">
      <c r="A115" s="3" t="s">
        <v>9</v>
      </c>
      <c r="B115" s="3" t="s">
        <v>243</v>
      </c>
      <c r="C115" s="3" t="s">
        <v>244</v>
      </c>
      <c r="D115" s="3" t="s">
        <v>107</v>
      </c>
      <c r="E115" s="28">
        <f>SUMIFS('Raw Data'!$I$2:$I$878,'Raw Data'!$A$2:$A$878,$A115,'Raw Data'!$B$2:$B$878,$B115,'Raw Data'!$D$2:$D$878,$D115)</f>
        <v>52</v>
      </c>
      <c r="F115" s="5">
        <f>IFERROR(3958.8*ACOS(MIN(1,MAX(-1,SIN(RADIANS('ZIP Coordinates'!$C$2))*SIN(RADIANS(INDEX('ZIP Coordinates'!$C:$C,MATCH($A115,'ZIP Coordinates'!$A:$A,0))))+COS(RADIANS('ZIP Coordinates'!$C$2))*COS(RADIANS(INDEX('ZIP Coordinates'!$C:$C,MATCH($A115,'ZIP Coordinates'!$A:$A,0))))*COS(RADIANS(INDEX('ZIP Coordinates'!$D:$D,MATCH($A115,'ZIP Coordinates'!$A:$A,0))-'ZIP Coordinates'!$D$2))))),"N/A")</f>
        <v>158.36354605751467</v>
      </c>
    </row>
    <row r="116" spans="1:6" x14ac:dyDescent="0.2">
      <c r="A116" s="3" t="s">
        <v>9</v>
      </c>
      <c r="B116" s="3" t="s">
        <v>276</v>
      </c>
      <c r="C116" s="3" t="s">
        <v>275</v>
      </c>
      <c r="D116" s="3" t="s">
        <v>107</v>
      </c>
      <c r="E116" s="28">
        <f>SUMIFS('Raw Data'!$I$2:$I$878,'Raw Data'!$A$2:$A$878,$A116,'Raw Data'!$B$2:$B$878,$B116,'Raw Data'!$D$2:$D$878,$D116)</f>
        <v>57</v>
      </c>
      <c r="F116" s="5">
        <f>IFERROR(3958.8*ACOS(MIN(1,MAX(-1,SIN(RADIANS('ZIP Coordinates'!$C$2))*SIN(RADIANS(INDEX('ZIP Coordinates'!$C:$C,MATCH($A116,'ZIP Coordinates'!$A:$A,0))))+COS(RADIANS('ZIP Coordinates'!$C$2))*COS(RADIANS(INDEX('ZIP Coordinates'!$C:$C,MATCH($A116,'ZIP Coordinates'!$A:$A,0))))*COS(RADIANS(INDEX('ZIP Coordinates'!$D:$D,MATCH($A116,'ZIP Coordinates'!$A:$A,0))-'ZIP Coordinates'!$D$2))))),"N/A")</f>
        <v>158.36354605751467</v>
      </c>
    </row>
    <row r="117" spans="1:6" x14ac:dyDescent="0.2">
      <c r="A117" s="3" t="s">
        <v>9</v>
      </c>
      <c r="B117" s="3" t="s">
        <v>277</v>
      </c>
      <c r="C117" s="3" t="s">
        <v>278</v>
      </c>
      <c r="D117" s="3" t="s">
        <v>107</v>
      </c>
      <c r="E117" s="28">
        <f>SUMIFS('Raw Data'!$I$2:$I$878,'Raw Data'!$A$2:$A$878,$A117,'Raw Data'!$B$2:$B$878,$B117,'Raw Data'!$D$2:$D$878,$D117)</f>
        <v>66</v>
      </c>
      <c r="F117" s="5">
        <f>IFERROR(3958.8*ACOS(MIN(1,MAX(-1,SIN(RADIANS('ZIP Coordinates'!$C$2))*SIN(RADIANS(INDEX('ZIP Coordinates'!$C:$C,MATCH($A117,'ZIP Coordinates'!$A:$A,0))))+COS(RADIANS('ZIP Coordinates'!$C$2))*COS(RADIANS(INDEX('ZIP Coordinates'!$C:$C,MATCH($A117,'ZIP Coordinates'!$A:$A,0))))*COS(RADIANS(INDEX('ZIP Coordinates'!$D:$D,MATCH($A117,'ZIP Coordinates'!$A:$A,0))-'ZIP Coordinates'!$D$2))))),"N/A")</f>
        <v>158.36354605751467</v>
      </c>
    </row>
    <row r="118" spans="1:6" x14ac:dyDescent="0.2">
      <c r="A118" s="3" t="s">
        <v>9</v>
      </c>
      <c r="B118" s="3" t="s">
        <v>279</v>
      </c>
      <c r="C118" s="3" t="s">
        <v>280</v>
      </c>
      <c r="D118" s="3" t="s">
        <v>107</v>
      </c>
      <c r="E118" s="28">
        <f>SUMIFS('Raw Data'!$I$2:$I$878,'Raw Data'!$A$2:$A$878,$A118,'Raw Data'!$B$2:$B$878,$B118,'Raw Data'!$D$2:$D$878,$D118)</f>
        <v>63</v>
      </c>
      <c r="F118" s="5">
        <f>IFERROR(3958.8*ACOS(MIN(1,MAX(-1,SIN(RADIANS('ZIP Coordinates'!$C$2))*SIN(RADIANS(INDEX('ZIP Coordinates'!$C:$C,MATCH($A118,'ZIP Coordinates'!$A:$A,0))))+COS(RADIANS('ZIP Coordinates'!$C$2))*COS(RADIANS(INDEX('ZIP Coordinates'!$C:$C,MATCH($A118,'ZIP Coordinates'!$A:$A,0))))*COS(RADIANS(INDEX('ZIP Coordinates'!$D:$D,MATCH($A118,'ZIP Coordinates'!$A:$A,0))-'ZIP Coordinates'!$D$2))))),"N/A")</f>
        <v>158.36354605751467</v>
      </c>
    </row>
    <row r="119" spans="1:6" x14ac:dyDescent="0.2">
      <c r="A119" s="3" t="s">
        <v>9</v>
      </c>
      <c r="B119" s="3" t="s">
        <v>247</v>
      </c>
      <c r="C119" s="3" t="s">
        <v>246</v>
      </c>
      <c r="D119" s="3" t="s">
        <v>107</v>
      </c>
      <c r="E119" s="28">
        <f>SUMIFS('Raw Data'!$I$2:$I$878,'Raw Data'!$A$2:$A$878,$A119,'Raw Data'!$B$2:$B$878,$B119,'Raw Data'!$D$2:$D$878,$D119)</f>
        <v>76</v>
      </c>
      <c r="F119" s="5">
        <f>IFERROR(3958.8*ACOS(MIN(1,MAX(-1,SIN(RADIANS('ZIP Coordinates'!$C$2))*SIN(RADIANS(INDEX('ZIP Coordinates'!$C:$C,MATCH($A119,'ZIP Coordinates'!$A:$A,0))))+COS(RADIANS('ZIP Coordinates'!$C$2))*COS(RADIANS(INDEX('ZIP Coordinates'!$C:$C,MATCH($A119,'ZIP Coordinates'!$A:$A,0))))*COS(RADIANS(INDEX('ZIP Coordinates'!$D:$D,MATCH($A119,'ZIP Coordinates'!$A:$A,0))-'ZIP Coordinates'!$D$2))))),"N/A")</f>
        <v>158.36354605751467</v>
      </c>
    </row>
    <row r="120" spans="1:6" x14ac:dyDescent="0.2">
      <c r="A120" s="3" t="s">
        <v>9</v>
      </c>
      <c r="B120" s="3" t="s">
        <v>250</v>
      </c>
      <c r="C120" s="3" t="s">
        <v>249</v>
      </c>
      <c r="D120" s="3" t="s">
        <v>107</v>
      </c>
      <c r="E120" s="28">
        <f>SUMIFS('Raw Data'!$I$2:$I$878,'Raw Data'!$A$2:$A$878,$A120,'Raw Data'!$B$2:$B$878,$B120,'Raw Data'!$D$2:$D$878,$D120)</f>
        <v>72</v>
      </c>
      <c r="F120" s="5">
        <f>IFERROR(3958.8*ACOS(MIN(1,MAX(-1,SIN(RADIANS('ZIP Coordinates'!$C$2))*SIN(RADIANS(INDEX('ZIP Coordinates'!$C:$C,MATCH($A120,'ZIP Coordinates'!$A:$A,0))))+COS(RADIANS('ZIP Coordinates'!$C$2))*COS(RADIANS(INDEX('ZIP Coordinates'!$C:$C,MATCH($A120,'ZIP Coordinates'!$A:$A,0))))*COS(RADIANS(INDEX('ZIP Coordinates'!$D:$D,MATCH($A120,'ZIP Coordinates'!$A:$A,0))-'ZIP Coordinates'!$D$2))))),"N/A")</f>
        <v>158.36354605751467</v>
      </c>
    </row>
    <row r="121" spans="1:6" x14ac:dyDescent="0.2">
      <c r="A121" s="3" t="s">
        <v>9</v>
      </c>
      <c r="B121" s="3" t="s">
        <v>251</v>
      </c>
      <c r="C121" s="3" t="s">
        <v>252</v>
      </c>
      <c r="D121" s="3" t="s">
        <v>107</v>
      </c>
      <c r="E121" s="28">
        <f>SUMIFS('Raw Data'!$I$2:$I$878,'Raw Data'!$A$2:$A$878,$A121,'Raw Data'!$B$2:$B$878,$B121,'Raw Data'!$D$2:$D$878,$D121)</f>
        <v>85</v>
      </c>
      <c r="F121" s="5">
        <f>IFERROR(3958.8*ACOS(MIN(1,MAX(-1,SIN(RADIANS('ZIP Coordinates'!$C$2))*SIN(RADIANS(INDEX('ZIP Coordinates'!$C:$C,MATCH($A121,'ZIP Coordinates'!$A:$A,0))))+COS(RADIANS('ZIP Coordinates'!$C$2))*COS(RADIANS(INDEX('ZIP Coordinates'!$C:$C,MATCH($A121,'ZIP Coordinates'!$A:$A,0))))*COS(RADIANS(INDEX('ZIP Coordinates'!$D:$D,MATCH($A121,'ZIP Coordinates'!$A:$A,0))-'ZIP Coordinates'!$D$2))))),"N/A")</f>
        <v>158.36354605751467</v>
      </c>
    </row>
    <row r="122" spans="1:6" x14ac:dyDescent="0.2">
      <c r="A122" s="3" t="s">
        <v>9</v>
      </c>
      <c r="B122" s="3" t="s">
        <v>282</v>
      </c>
      <c r="C122" s="3" t="s">
        <v>283</v>
      </c>
      <c r="D122" s="3" t="s">
        <v>107</v>
      </c>
      <c r="E122" s="28">
        <f>SUMIFS('Raw Data'!$I$2:$I$878,'Raw Data'!$A$2:$A$878,$A122,'Raw Data'!$B$2:$B$878,$B122,'Raw Data'!$D$2:$D$878,$D122)</f>
        <v>14</v>
      </c>
      <c r="F122" s="5">
        <f>IFERROR(3958.8*ACOS(MIN(1,MAX(-1,SIN(RADIANS('ZIP Coordinates'!$C$2))*SIN(RADIANS(INDEX('ZIP Coordinates'!$C:$C,MATCH($A122,'ZIP Coordinates'!$A:$A,0))))+COS(RADIANS('ZIP Coordinates'!$C$2))*COS(RADIANS(INDEX('ZIP Coordinates'!$C:$C,MATCH($A122,'ZIP Coordinates'!$A:$A,0))))*COS(RADIANS(INDEX('ZIP Coordinates'!$D:$D,MATCH($A122,'ZIP Coordinates'!$A:$A,0))-'ZIP Coordinates'!$D$2))))),"N/A")</f>
        <v>158.36354605751467</v>
      </c>
    </row>
    <row r="123" spans="1:6" x14ac:dyDescent="0.2">
      <c r="A123" s="3" t="s">
        <v>9</v>
      </c>
      <c r="B123" s="3" t="s">
        <v>284</v>
      </c>
      <c r="C123" s="3" t="s">
        <v>285</v>
      </c>
      <c r="D123" s="3" t="s">
        <v>107</v>
      </c>
      <c r="E123" s="28">
        <f>SUMIFS('Raw Data'!$I$2:$I$878,'Raw Data'!$A$2:$A$878,$A123,'Raw Data'!$B$2:$B$878,$B123,'Raw Data'!$D$2:$D$878,$D123)</f>
        <v>22</v>
      </c>
      <c r="F123" s="5">
        <f>IFERROR(3958.8*ACOS(MIN(1,MAX(-1,SIN(RADIANS('ZIP Coordinates'!$C$2))*SIN(RADIANS(INDEX('ZIP Coordinates'!$C:$C,MATCH($A123,'ZIP Coordinates'!$A:$A,0))))+COS(RADIANS('ZIP Coordinates'!$C$2))*COS(RADIANS(INDEX('ZIP Coordinates'!$C:$C,MATCH($A123,'ZIP Coordinates'!$A:$A,0))))*COS(RADIANS(INDEX('ZIP Coordinates'!$D:$D,MATCH($A123,'ZIP Coordinates'!$A:$A,0))-'ZIP Coordinates'!$D$2))))),"N/A")</f>
        <v>158.36354605751467</v>
      </c>
    </row>
    <row r="124" spans="1:6" x14ac:dyDescent="0.2">
      <c r="A124" s="3" t="s">
        <v>9</v>
      </c>
      <c r="B124" s="3" t="s">
        <v>286</v>
      </c>
      <c r="C124" s="3" t="s">
        <v>287</v>
      </c>
      <c r="D124" s="3" t="s">
        <v>107</v>
      </c>
      <c r="E124" s="28">
        <f>SUMIFS('Raw Data'!$I$2:$I$878,'Raw Data'!$A$2:$A$878,$A124,'Raw Data'!$B$2:$B$878,$B124,'Raw Data'!$D$2:$D$878,$D124)</f>
        <v>54</v>
      </c>
      <c r="F124" s="5">
        <f>IFERROR(3958.8*ACOS(MIN(1,MAX(-1,SIN(RADIANS('ZIP Coordinates'!$C$2))*SIN(RADIANS(INDEX('ZIP Coordinates'!$C:$C,MATCH($A124,'ZIP Coordinates'!$A:$A,0))))+COS(RADIANS('ZIP Coordinates'!$C$2))*COS(RADIANS(INDEX('ZIP Coordinates'!$C:$C,MATCH($A124,'ZIP Coordinates'!$A:$A,0))))*COS(RADIANS(INDEX('ZIP Coordinates'!$D:$D,MATCH($A124,'ZIP Coordinates'!$A:$A,0))-'ZIP Coordinates'!$D$2))))),"N/A")</f>
        <v>158.36354605751467</v>
      </c>
    </row>
    <row r="125" spans="1:6" x14ac:dyDescent="0.2">
      <c r="A125" s="3" t="s">
        <v>9</v>
      </c>
      <c r="B125" s="3" t="s">
        <v>288</v>
      </c>
      <c r="C125" s="3" t="s">
        <v>287</v>
      </c>
      <c r="D125" s="3" t="s">
        <v>107</v>
      </c>
      <c r="E125" s="28">
        <f>SUMIFS('Raw Data'!$I$2:$I$878,'Raw Data'!$A$2:$A$878,$A125,'Raw Data'!$B$2:$B$878,$B125,'Raw Data'!$D$2:$D$878,$D125)</f>
        <v>36</v>
      </c>
      <c r="F125" s="5">
        <f>IFERROR(3958.8*ACOS(MIN(1,MAX(-1,SIN(RADIANS('ZIP Coordinates'!$C$2))*SIN(RADIANS(INDEX('ZIP Coordinates'!$C:$C,MATCH($A125,'ZIP Coordinates'!$A:$A,0))))+COS(RADIANS('ZIP Coordinates'!$C$2))*COS(RADIANS(INDEX('ZIP Coordinates'!$C:$C,MATCH($A125,'ZIP Coordinates'!$A:$A,0))))*COS(RADIANS(INDEX('ZIP Coordinates'!$D:$D,MATCH($A125,'ZIP Coordinates'!$A:$A,0))-'ZIP Coordinates'!$D$2))))),"N/A")</f>
        <v>158.36354605751467</v>
      </c>
    </row>
    <row r="126" spans="1:6" x14ac:dyDescent="0.2">
      <c r="A126" s="3" t="s">
        <v>9</v>
      </c>
      <c r="B126" s="3" t="s">
        <v>255</v>
      </c>
      <c r="C126" s="3" t="s">
        <v>256</v>
      </c>
      <c r="D126" s="3" t="s">
        <v>107</v>
      </c>
      <c r="E126" s="28">
        <f>SUMIFS('Raw Data'!$I$2:$I$878,'Raw Data'!$A$2:$A$878,$A126,'Raw Data'!$B$2:$B$878,$B126,'Raw Data'!$D$2:$D$878,$D126)</f>
        <v>300</v>
      </c>
      <c r="F126" s="5">
        <f>IFERROR(3958.8*ACOS(MIN(1,MAX(-1,SIN(RADIANS('ZIP Coordinates'!$C$2))*SIN(RADIANS(INDEX('ZIP Coordinates'!$C:$C,MATCH($A126,'ZIP Coordinates'!$A:$A,0))))+COS(RADIANS('ZIP Coordinates'!$C$2))*COS(RADIANS(INDEX('ZIP Coordinates'!$C:$C,MATCH($A126,'ZIP Coordinates'!$A:$A,0))))*COS(RADIANS(INDEX('ZIP Coordinates'!$D:$D,MATCH($A126,'ZIP Coordinates'!$A:$A,0))-'ZIP Coordinates'!$D$2))))),"N/A")</f>
        <v>158.36354605751467</v>
      </c>
    </row>
    <row r="127" spans="1:6" x14ac:dyDescent="0.2">
      <c r="A127" s="3" t="s">
        <v>10</v>
      </c>
      <c r="B127" s="3" t="s">
        <v>258</v>
      </c>
      <c r="C127" s="3" t="s">
        <v>240</v>
      </c>
      <c r="D127" s="3" t="s">
        <v>149</v>
      </c>
      <c r="E127" s="28">
        <f>SUMIFS('Raw Data'!$I$2:$I$878,'Raw Data'!$A$2:$A$878,$A127,'Raw Data'!$B$2:$B$878,$B127,'Raw Data'!$D$2:$D$878,$D127)</f>
        <v>20</v>
      </c>
      <c r="F127" s="5">
        <f>IFERROR(3958.8*ACOS(MIN(1,MAX(-1,SIN(RADIANS('ZIP Coordinates'!$C$2))*SIN(RADIANS(INDEX('ZIP Coordinates'!$C:$C,MATCH($A127,'ZIP Coordinates'!$A:$A,0))))+COS(RADIANS('ZIP Coordinates'!$C$2))*COS(RADIANS(INDEX('ZIP Coordinates'!$C:$C,MATCH($A127,'ZIP Coordinates'!$A:$A,0))))*COS(RADIANS(INDEX('ZIP Coordinates'!$D:$D,MATCH($A127,'ZIP Coordinates'!$A:$A,0))-'ZIP Coordinates'!$D$2))))),"N/A")</f>
        <v>165.79391068473419</v>
      </c>
    </row>
    <row r="128" spans="1:6" x14ac:dyDescent="0.2">
      <c r="A128" s="3" t="s">
        <v>10</v>
      </c>
      <c r="B128" s="3" t="s">
        <v>239</v>
      </c>
      <c r="C128" s="3" t="s">
        <v>240</v>
      </c>
      <c r="D128" s="3" t="s">
        <v>97</v>
      </c>
      <c r="E128" s="28">
        <f>SUMIFS('Raw Data'!$I$2:$I$878,'Raw Data'!$A$2:$A$878,$A128,'Raw Data'!$B$2:$B$878,$B128,'Raw Data'!$D$2:$D$878,$D128)</f>
        <v>57</v>
      </c>
      <c r="F128" s="5">
        <f>IFERROR(3958.8*ACOS(MIN(1,MAX(-1,SIN(RADIANS('ZIP Coordinates'!$C$2))*SIN(RADIANS(INDEX('ZIP Coordinates'!$C:$C,MATCH($A128,'ZIP Coordinates'!$A:$A,0))))+COS(RADIANS('ZIP Coordinates'!$C$2))*COS(RADIANS(INDEX('ZIP Coordinates'!$C:$C,MATCH($A128,'ZIP Coordinates'!$A:$A,0))))*COS(RADIANS(INDEX('ZIP Coordinates'!$D:$D,MATCH($A128,'ZIP Coordinates'!$A:$A,0))-'ZIP Coordinates'!$D$2))))),"N/A")</f>
        <v>165.79391068473419</v>
      </c>
    </row>
    <row r="129" spans="1:6" x14ac:dyDescent="0.2">
      <c r="A129" s="3" t="s">
        <v>10</v>
      </c>
      <c r="B129" s="3" t="s">
        <v>259</v>
      </c>
      <c r="C129" s="3" t="s">
        <v>260</v>
      </c>
      <c r="D129" s="3" t="s">
        <v>149</v>
      </c>
      <c r="E129" s="28">
        <f>SUMIFS('Raw Data'!$I$2:$I$878,'Raw Data'!$A$2:$A$878,$A129,'Raw Data'!$B$2:$B$878,$B129,'Raw Data'!$D$2:$D$878,$D129)</f>
        <v>4</v>
      </c>
      <c r="F129" s="5">
        <f>IFERROR(3958.8*ACOS(MIN(1,MAX(-1,SIN(RADIANS('ZIP Coordinates'!$C$2))*SIN(RADIANS(INDEX('ZIP Coordinates'!$C:$C,MATCH($A129,'ZIP Coordinates'!$A:$A,0))))+COS(RADIANS('ZIP Coordinates'!$C$2))*COS(RADIANS(INDEX('ZIP Coordinates'!$C:$C,MATCH($A129,'ZIP Coordinates'!$A:$A,0))))*COS(RADIANS(INDEX('ZIP Coordinates'!$D:$D,MATCH($A129,'ZIP Coordinates'!$A:$A,0))-'ZIP Coordinates'!$D$2))))),"N/A")</f>
        <v>165.79391068473419</v>
      </c>
    </row>
    <row r="130" spans="1:6" x14ac:dyDescent="0.2">
      <c r="A130" s="3" t="s">
        <v>10</v>
      </c>
      <c r="B130" s="3" t="s">
        <v>261</v>
      </c>
      <c r="C130" s="3" t="s">
        <v>260</v>
      </c>
      <c r="D130" s="3" t="s">
        <v>97</v>
      </c>
      <c r="E130" s="28">
        <f>SUMIFS('Raw Data'!$I$2:$I$878,'Raw Data'!$A$2:$A$878,$A130,'Raw Data'!$B$2:$B$878,$B130,'Raw Data'!$D$2:$D$878,$D130)</f>
        <v>46</v>
      </c>
      <c r="F130" s="5">
        <f>IFERROR(3958.8*ACOS(MIN(1,MAX(-1,SIN(RADIANS('ZIP Coordinates'!$C$2))*SIN(RADIANS(INDEX('ZIP Coordinates'!$C:$C,MATCH($A130,'ZIP Coordinates'!$A:$A,0))))+COS(RADIANS('ZIP Coordinates'!$C$2))*COS(RADIANS(INDEX('ZIP Coordinates'!$C:$C,MATCH($A130,'ZIP Coordinates'!$A:$A,0))))*COS(RADIANS(INDEX('ZIP Coordinates'!$D:$D,MATCH($A130,'ZIP Coordinates'!$A:$A,0))-'ZIP Coordinates'!$D$2))))),"N/A")</f>
        <v>165.79391068473419</v>
      </c>
    </row>
    <row r="131" spans="1:6" x14ac:dyDescent="0.2">
      <c r="A131" s="3" t="s">
        <v>10</v>
      </c>
      <c r="B131" s="3" t="s">
        <v>267</v>
      </c>
      <c r="C131" s="3" t="s">
        <v>268</v>
      </c>
      <c r="D131" s="3" t="s">
        <v>149</v>
      </c>
      <c r="E131" s="28">
        <f>SUMIFS('Raw Data'!$I$2:$I$878,'Raw Data'!$A$2:$A$878,$A131,'Raw Data'!$B$2:$B$878,$B131,'Raw Data'!$D$2:$D$878,$D131)</f>
        <v>8</v>
      </c>
      <c r="F131" s="5">
        <f>IFERROR(3958.8*ACOS(MIN(1,MAX(-1,SIN(RADIANS('ZIP Coordinates'!$C$2))*SIN(RADIANS(INDEX('ZIP Coordinates'!$C:$C,MATCH($A131,'ZIP Coordinates'!$A:$A,0))))+COS(RADIANS('ZIP Coordinates'!$C$2))*COS(RADIANS(INDEX('ZIP Coordinates'!$C:$C,MATCH($A131,'ZIP Coordinates'!$A:$A,0))))*COS(RADIANS(INDEX('ZIP Coordinates'!$D:$D,MATCH($A131,'ZIP Coordinates'!$A:$A,0))-'ZIP Coordinates'!$D$2))))),"N/A")</f>
        <v>165.79391068473419</v>
      </c>
    </row>
    <row r="132" spans="1:6" x14ac:dyDescent="0.2">
      <c r="A132" s="3" t="s">
        <v>10</v>
      </c>
      <c r="B132" s="3" t="s">
        <v>269</v>
      </c>
      <c r="C132" s="3" t="s">
        <v>268</v>
      </c>
      <c r="D132" s="3" t="s">
        <v>149</v>
      </c>
      <c r="E132" s="28">
        <f>SUMIFS('Raw Data'!$I$2:$I$878,'Raw Data'!$A$2:$A$878,$A132,'Raw Data'!$B$2:$B$878,$B132,'Raw Data'!$D$2:$D$878,$D132)</f>
        <v>13</v>
      </c>
      <c r="F132" s="5">
        <f>IFERROR(3958.8*ACOS(MIN(1,MAX(-1,SIN(RADIANS('ZIP Coordinates'!$C$2))*SIN(RADIANS(INDEX('ZIP Coordinates'!$C:$C,MATCH($A132,'ZIP Coordinates'!$A:$A,0))))+COS(RADIANS('ZIP Coordinates'!$C$2))*COS(RADIANS(INDEX('ZIP Coordinates'!$C:$C,MATCH($A132,'ZIP Coordinates'!$A:$A,0))))*COS(RADIANS(INDEX('ZIP Coordinates'!$D:$D,MATCH($A132,'ZIP Coordinates'!$A:$A,0))-'ZIP Coordinates'!$D$2))))),"N/A")</f>
        <v>165.79391068473419</v>
      </c>
    </row>
    <row r="133" spans="1:6" x14ac:dyDescent="0.2">
      <c r="A133" s="3" t="s">
        <v>10</v>
      </c>
      <c r="B133" s="3" t="s">
        <v>270</v>
      </c>
      <c r="C133" s="3" t="s">
        <v>242</v>
      </c>
      <c r="D133" s="3" t="s">
        <v>149</v>
      </c>
      <c r="E133" s="28">
        <f>SUMIFS('Raw Data'!$I$2:$I$878,'Raw Data'!$A$2:$A$878,$A133,'Raw Data'!$B$2:$B$878,$B133,'Raw Data'!$D$2:$D$878,$D133)</f>
        <v>117</v>
      </c>
      <c r="F133" s="5">
        <f>IFERROR(3958.8*ACOS(MIN(1,MAX(-1,SIN(RADIANS('ZIP Coordinates'!$C$2))*SIN(RADIANS(INDEX('ZIP Coordinates'!$C:$C,MATCH($A133,'ZIP Coordinates'!$A:$A,0))))+COS(RADIANS('ZIP Coordinates'!$C$2))*COS(RADIANS(INDEX('ZIP Coordinates'!$C:$C,MATCH($A133,'ZIP Coordinates'!$A:$A,0))))*COS(RADIANS(INDEX('ZIP Coordinates'!$D:$D,MATCH($A133,'ZIP Coordinates'!$A:$A,0))-'ZIP Coordinates'!$D$2))))),"N/A")</f>
        <v>165.79391068473419</v>
      </c>
    </row>
    <row r="134" spans="1:6" x14ac:dyDescent="0.2">
      <c r="A134" s="3" t="s">
        <v>10</v>
      </c>
      <c r="B134" s="3" t="s">
        <v>241</v>
      </c>
      <c r="C134" s="3" t="s">
        <v>242</v>
      </c>
      <c r="D134" s="3" t="s">
        <v>97</v>
      </c>
      <c r="E134" s="28">
        <f>SUMIFS('Raw Data'!$I$2:$I$878,'Raw Data'!$A$2:$A$878,$A134,'Raw Data'!$B$2:$B$878,$B134,'Raw Data'!$D$2:$D$878,$D134)</f>
        <v>60</v>
      </c>
      <c r="F134" s="5">
        <f>IFERROR(3958.8*ACOS(MIN(1,MAX(-1,SIN(RADIANS('ZIP Coordinates'!$C$2))*SIN(RADIANS(INDEX('ZIP Coordinates'!$C:$C,MATCH($A134,'ZIP Coordinates'!$A:$A,0))))+COS(RADIANS('ZIP Coordinates'!$C$2))*COS(RADIANS(INDEX('ZIP Coordinates'!$C:$C,MATCH($A134,'ZIP Coordinates'!$A:$A,0))))*COS(RADIANS(INDEX('ZIP Coordinates'!$D:$D,MATCH($A134,'ZIP Coordinates'!$A:$A,0))-'ZIP Coordinates'!$D$2))))),"N/A")</f>
        <v>165.79391068473419</v>
      </c>
    </row>
    <row r="135" spans="1:6" x14ac:dyDescent="0.2">
      <c r="A135" s="3" t="s">
        <v>10</v>
      </c>
      <c r="B135" s="3" t="s">
        <v>271</v>
      </c>
      <c r="C135" s="3" t="s">
        <v>244</v>
      </c>
      <c r="D135" s="3" t="s">
        <v>160</v>
      </c>
      <c r="E135" s="28">
        <f>SUMIFS('Raw Data'!$I$2:$I$878,'Raw Data'!$A$2:$A$878,$A135,'Raw Data'!$B$2:$B$878,$B135,'Raw Data'!$D$2:$D$878,$D135)</f>
        <v>729</v>
      </c>
      <c r="F135" s="5">
        <f>IFERROR(3958.8*ACOS(MIN(1,MAX(-1,SIN(RADIANS('ZIP Coordinates'!$C$2))*SIN(RADIANS(INDEX('ZIP Coordinates'!$C:$C,MATCH($A135,'ZIP Coordinates'!$A:$A,0))))+COS(RADIANS('ZIP Coordinates'!$C$2))*COS(RADIANS(INDEX('ZIP Coordinates'!$C:$C,MATCH($A135,'ZIP Coordinates'!$A:$A,0))))*COS(RADIANS(INDEX('ZIP Coordinates'!$D:$D,MATCH($A135,'ZIP Coordinates'!$A:$A,0))-'ZIP Coordinates'!$D$2))))),"N/A")</f>
        <v>165.79391068473419</v>
      </c>
    </row>
    <row r="136" spans="1:6" x14ac:dyDescent="0.2">
      <c r="A136" s="3" t="s">
        <v>10</v>
      </c>
      <c r="B136" s="3" t="s">
        <v>243</v>
      </c>
      <c r="C136" s="3" t="s">
        <v>244</v>
      </c>
      <c r="D136" s="3" t="s">
        <v>97</v>
      </c>
      <c r="E136" s="28">
        <f>SUMIFS('Raw Data'!$I$2:$I$878,'Raw Data'!$A$2:$A$878,$A136,'Raw Data'!$B$2:$B$878,$B136,'Raw Data'!$D$2:$D$878,$D136)</f>
        <v>54</v>
      </c>
      <c r="F136" s="5">
        <f>IFERROR(3958.8*ACOS(MIN(1,MAX(-1,SIN(RADIANS('ZIP Coordinates'!$C$2))*SIN(RADIANS(INDEX('ZIP Coordinates'!$C:$C,MATCH($A136,'ZIP Coordinates'!$A:$A,0))))+COS(RADIANS('ZIP Coordinates'!$C$2))*COS(RADIANS(INDEX('ZIP Coordinates'!$C:$C,MATCH($A136,'ZIP Coordinates'!$A:$A,0))))*COS(RADIANS(INDEX('ZIP Coordinates'!$D:$D,MATCH($A136,'ZIP Coordinates'!$A:$A,0))-'ZIP Coordinates'!$D$2))))),"N/A")</f>
        <v>165.79391068473419</v>
      </c>
    </row>
    <row r="137" spans="1:6" x14ac:dyDescent="0.2">
      <c r="A137" s="3" t="s">
        <v>10</v>
      </c>
      <c r="B137" s="3" t="s">
        <v>272</v>
      </c>
      <c r="C137" s="3" t="s">
        <v>273</v>
      </c>
      <c r="D137" s="3" t="s">
        <v>149</v>
      </c>
      <c r="E137" s="28">
        <f>SUMIFS('Raw Data'!$I$2:$I$878,'Raw Data'!$A$2:$A$878,$A137,'Raw Data'!$B$2:$B$878,$B137,'Raw Data'!$D$2:$D$878,$D137)</f>
        <v>4</v>
      </c>
      <c r="F137" s="5">
        <f>IFERROR(3958.8*ACOS(MIN(1,MAX(-1,SIN(RADIANS('ZIP Coordinates'!$C$2))*SIN(RADIANS(INDEX('ZIP Coordinates'!$C:$C,MATCH($A137,'ZIP Coordinates'!$A:$A,0))))+COS(RADIANS('ZIP Coordinates'!$C$2))*COS(RADIANS(INDEX('ZIP Coordinates'!$C:$C,MATCH($A137,'ZIP Coordinates'!$A:$A,0))))*COS(RADIANS(INDEX('ZIP Coordinates'!$D:$D,MATCH($A137,'ZIP Coordinates'!$A:$A,0))-'ZIP Coordinates'!$D$2))))),"N/A")</f>
        <v>165.79391068473419</v>
      </c>
    </row>
    <row r="138" spans="1:6" x14ac:dyDescent="0.2">
      <c r="A138" s="3" t="s">
        <v>10</v>
      </c>
      <c r="B138" s="3" t="s">
        <v>274</v>
      </c>
      <c r="C138" s="3" t="s">
        <v>275</v>
      </c>
      <c r="D138" s="3" t="s">
        <v>149</v>
      </c>
      <c r="E138" s="28">
        <f>SUMIFS('Raw Data'!$I$2:$I$878,'Raw Data'!$A$2:$A$878,$A138,'Raw Data'!$B$2:$B$878,$B138,'Raw Data'!$D$2:$D$878,$D138)</f>
        <v>81</v>
      </c>
      <c r="F138" s="5">
        <f>IFERROR(3958.8*ACOS(MIN(1,MAX(-1,SIN(RADIANS('ZIP Coordinates'!$C$2))*SIN(RADIANS(INDEX('ZIP Coordinates'!$C:$C,MATCH($A138,'ZIP Coordinates'!$A:$A,0))))+COS(RADIANS('ZIP Coordinates'!$C$2))*COS(RADIANS(INDEX('ZIP Coordinates'!$C:$C,MATCH($A138,'ZIP Coordinates'!$A:$A,0))))*COS(RADIANS(INDEX('ZIP Coordinates'!$D:$D,MATCH($A138,'ZIP Coordinates'!$A:$A,0))-'ZIP Coordinates'!$D$2))))),"N/A")</f>
        <v>165.79391068473419</v>
      </c>
    </row>
    <row r="139" spans="1:6" x14ac:dyDescent="0.2">
      <c r="A139" s="3" t="s">
        <v>10</v>
      </c>
      <c r="B139" s="3" t="s">
        <v>276</v>
      </c>
      <c r="C139" s="3" t="s">
        <v>275</v>
      </c>
      <c r="D139" s="3" t="s">
        <v>97</v>
      </c>
      <c r="E139" s="28">
        <f>SUMIFS('Raw Data'!$I$2:$I$878,'Raw Data'!$A$2:$A$878,$A139,'Raw Data'!$B$2:$B$878,$B139,'Raw Data'!$D$2:$D$878,$D139)</f>
        <v>97</v>
      </c>
      <c r="F139" s="5">
        <f>IFERROR(3958.8*ACOS(MIN(1,MAX(-1,SIN(RADIANS('ZIP Coordinates'!$C$2))*SIN(RADIANS(INDEX('ZIP Coordinates'!$C:$C,MATCH($A139,'ZIP Coordinates'!$A:$A,0))))+COS(RADIANS('ZIP Coordinates'!$C$2))*COS(RADIANS(INDEX('ZIP Coordinates'!$C:$C,MATCH($A139,'ZIP Coordinates'!$A:$A,0))))*COS(RADIANS(INDEX('ZIP Coordinates'!$D:$D,MATCH($A139,'ZIP Coordinates'!$A:$A,0))-'ZIP Coordinates'!$D$2))))),"N/A")</f>
        <v>165.79391068473419</v>
      </c>
    </row>
    <row r="140" spans="1:6" x14ac:dyDescent="0.2">
      <c r="A140" s="3" t="s">
        <v>10</v>
      </c>
      <c r="B140" s="3" t="s">
        <v>290</v>
      </c>
      <c r="C140" s="3" t="s">
        <v>278</v>
      </c>
      <c r="D140" s="3" t="s">
        <v>149</v>
      </c>
      <c r="E140" s="28">
        <f>SUMIFS('Raw Data'!$I$2:$I$878,'Raw Data'!$A$2:$A$878,$A140,'Raw Data'!$B$2:$B$878,$B140,'Raw Data'!$D$2:$D$878,$D140)</f>
        <v>108</v>
      </c>
      <c r="F140" s="5">
        <f>IFERROR(3958.8*ACOS(MIN(1,MAX(-1,SIN(RADIANS('ZIP Coordinates'!$C$2))*SIN(RADIANS(INDEX('ZIP Coordinates'!$C:$C,MATCH($A140,'ZIP Coordinates'!$A:$A,0))))+COS(RADIANS('ZIP Coordinates'!$C$2))*COS(RADIANS(INDEX('ZIP Coordinates'!$C:$C,MATCH($A140,'ZIP Coordinates'!$A:$A,0))))*COS(RADIANS(INDEX('ZIP Coordinates'!$D:$D,MATCH($A140,'ZIP Coordinates'!$A:$A,0))-'ZIP Coordinates'!$D$2))))),"N/A")</f>
        <v>165.79391068473419</v>
      </c>
    </row>
    <row r="141" spans="1:6" x14ac:dyDescent="0.2">
      <c r="A141" s="3" t="s">
        <v>10</v>
      </c>
      <c r="B141" s="3" t="s">
        <v>245</v>
      </c>
      <c r="C141" s="3" t="s">
        <v>246</v>
      </c>
      <c r="D141" s="3" t="s">
        <v>149</v>
      </c>
      <c r="E141" s="28">
        <f>SUMIFS('Raw Data'!$I$2:$I$878,'Raw Data'!$A$2:$A$878,$A141,'Raw Data'!$B$2:$B$878,$B141,'Raw Data'!$D$2:$D$878,$D141)</f>
        <v>80</v>
      </c>
      <c r="F141" s="5">
        <f>IFERROR(3958.8*ACOS(MIN(1,MAX(-1,SIN(RADIANS('ZIP Coordinates'!$C$2))*SIN(RADIANS(INDEX('ZIP Coordinates'!$C:$C,MATCH($A141,'ZIP Coordinates'!$A:$A,0))))+COS(RADIANS('ZIP Coordinates'!$C$2))*COS(RADIANS(INDEX('ZIP Coordinates'!$C:$C,MATCH($A141,'ZIP Coordinates'!$A:$A,0))))*COS(RADIANS(INDEX('ZIP Coordinates'!$D:$D,MATCH($A141,'ZIP Coordinates'!$A:$A,0))-'ZIP Coordinates'!$D$2))))),"N/A")</f>
        <v>165.79391068473419</v>
      </c>
    </row>
    <row r="142" spans="1:6" x14ac:dyDescent="0.2">
      <c r="A142" s="3" t="s">
        <v>10</v>
      </c>
      <c r="B142" s="3" t="s">
        <v>247</v>
      </c>
      <c r="C142" s="3" t="s">
        <v>246</v>
      </c>
      <c r="D142" s="3" t="s">
        <v>97</v>
      </c>
      <c r="E142" s="28">
        <f>SUMIFS('Raw Data'!$I$2:$I$878,'Raw Data'!$A$2:$A$878,$A142,'Raw Data'!$B$2:$B$878,$B142,'Raw Data'!$D$2:$D$878,$D142)</f>
        <v>102</v>
      </c>
      <c r="F142" s="5">
        <f>IFERROR(3958.8*ACOS(MIN(1,MAX(-1,SIN(RADIANS('ZIP Coordinates'!$C$2))*SIN(RADIANS(INDEX('ZIP Coordinates'!$C:$C,MATCH($A142,'ZIP Coordinates'!$A:$A,0))))+COS(RADIANS('ZIP Coordinates'!$C$2))*COS(RADIANS(INDEX('ZIP Coordinates'!$C:$C,MATCH($A142,'ZIP Coordinates'!$A:$A,0))))*COS(RADIANS(INDEX('ZIP Coordinates'!$D:$D,MATCH($A142,'ZIP Coordinates'!$A:$A,0))-'ZIP Coordinates'!$D$2))))),"N/A")</f>
        <v>165.79391068473419</v>
      </c>
    </row>
    <row r="143" spans="1:6" x14ac:dyDescent="0.2">
      <c r="A143" s="3" t="s">
        <v>10</v>
      </c>
      <c r="B143" s="3" t="s">
        <v>248</v>
      </c>
      <c r="C143" s="3" t="s">
        <v>249</v>
      </c>
      <c r="D143" s="3" t="s">
        <v>149</v>
      </c>
      <c r="E143" s="28">
        <f>SUMIFS('Raw Data'!$I$2:$I$878,'Raw Data'!$A$2:$A$878,$A143,'Raw Data'!$B$2:$B$878,$B143,'Raw Data'!$D$2:$D$878,$D143)</f>
        <v>40</v>
      </c>
      <c r="F143" s="5">
        <f>IFERROR(3958.8*ACOS(MIN(1,MAX(-1,SIN(RADIANS('ZIP Coordinates'!$C$2))*SIN(RADIANS(INDEX('ZIP Coordinates'!$C:$C,MATCH($A143,'ZIP Coordinates'!$A:$A,0))))+COS(RADIANS('ZIP Coordinates'!$C$2))*COS(RADIANS(INDEX('ZIP Coordinates'!$C:$C,MATCH($A143,'ZIP Coordinates'!$A:$A,0))))*COS(RADIANS(INDEX('ZIP Coordinates'!$D:$D,MATCH($A143,'ZIP Coordinates'!$A:$A,0))-'ZIP Coordinates'!$D$2))))),"N/A")</f>
        <v>165.79391068473419</v>
      </c>
    </row>
    <row r="144" spans="1:6" x14ac:dyDescent="0.2">
      <c r="A144" s="3" t="s">
        <v>10</v>
      </c>
      <c r="B144" s="3" t="s">
        <v>250</v>
      </c>
      <c r="C144" s="3" t="s">
        <v>249</v>
      </c>
      <c r="D144" s="3" t="s">
        <v>97</v>
      </c>
      <c r="E144" s="28">
        <f>SUMIFS('Raw Data'!$I$2:$I$878,'Raw Data'!$A$2:$A$878,$A144,'Raw Data'!$B$2:$B$878,$B144,'Raw Data'!$D$2:$D$878,$D144)</f>
        <v>89</v>
      </c>
      <c r="F144" s="5">
        <f>IFERROR(3958.8*ACOS(MIN(1,MAX(-1,SIN(RADIANS('ZIP Coordinates'!$C$2))*SIN(RADIANS(INDEX('ZIP Coordinates'!$C:$C,MATCH($A144,'ZIP Coordinates'!$A:$A,0))))+COS(RADIANS('ZIP Coordinates'!$C$2))*COS(RADIANS(INDEX('ZIP Coordinates'!$C:$C,MATCH($A144,'ZIP Coordinates'!$A:$A,0))))*COS(RADIANS(INDEX('ZIP Coordinates'!$D:$D,MATCH($A144,'ZIP Coordinates'!$A:$A,0))-'ZIP Coordinates'!$D$2))))),"N/A")</f>
        <v>165.79391068473419</v>
      </c>
    </row>
    <row r="145" spans="1:6" x14ac:dyDescent="0.2">
      <c r="A145" s="3" t="s">
        <v>10</v>
      </c>
      <c r="B145" s="3" t="s">
        <v>281</v>
      </c>
      <c r="C145" s="3" t="s">
        <v>252</v>
      </c>
      <c r="D145" s="3" t="s">
        <v>149</v>
      </c>
      <c r="E145" s="28">
        <f>SUMIFS('Raw Data'!$I$2:$I$878,'Raw Data'!$A$2:$A$878,$A145,'Raw Data'!$B$2:$B$878,$B145,'Raw Data'!$D$2:$D$878,$D145)</f>
        <v>60</v>
      </c>
      <c r="F145" s="5">
        <f>IFERROR(3958.8*ACOS(MIN(1,MAX(-1,SIN(RADIANS('ZIP Coordinates'!$C$2))*SIN(RADIANS(INDEX('ZIP Coordinates'!$C:$C,MATCH($A145,'ZIP Coordinates'!$A:$A,0))))+COS(RADIANS('ZIP Coordinates'!$C$2))*COS(RADIANS(INDEX('ZIP Coordinates'!$C:$C,MATCH($A145,'ZIP Coordinates'!$A:$A,0))))*COS(RADIANS(INDEX('ZIP Coordinates'!$D:$D,MATCH($A145,'ZIP Coordinates'!$A:$A,0))-'ZIP Coordinates'!$D$2))))),"N/A")</f>
        <v>165.79391068473419</v>
      </c>
    </row>
    <row r="146" spans="1:6" x14ac:dyDescent="0.2">
      <c r="A146" s="3" t="s">
        <v>10</v>
      </c>
      <c r="B146" s="3" t="s">
        <v>251</v>
      </c>
      <c r="C146" s="3" t="s">
        <v>252</v>
      </c>
      <c r="D146" s="3" t="s">
        <v>97</v>
      </c>
      <c r="E146" s="28">
        <f>SUMIFS('Raw Data'!$I$2:$I$878,'Raw Data'!$A$2:$A$878,$A146,'Raw Data'!$B$2:$B$878,$B146,'Raw Data'!$D$2:$D$878,$D146)</f>
        <v>68</v>
      </c>
      <c r="F146" s="5">
        <f>IFERROR(3958.8*ACOS(MIN(1,MAX(-1,SIN(RADIANS('ZIP Coordinates'!$C$2))*SIN(RADIANS(INDEX('ZIP Coordinates'!$C:$C,MATCH($A146,'ZIP Coordinates'!$A:$A,0))))+COS(RADIANS('ZIP Coordinates'!$C$2))*COS(RADIANS(INDEX('ZIP Coordinates'!$C:$C,MATCH($A146,'ZIP Coordinates'!$A:$A,0))))*COS(RADIANS(INDEX('ZIP Coordinates'!$D:$D,MATCH($A146,'ZIP Coordinates'!$A:$A,0))-'ZIP Coordinates'!$D$2))))),"N/A")</f>
        <v>165.79391068473419</v>
      </c>
    </row>
    <row r="147" spans="1:6" x14ac:dyDescent="0.2">
      <c r="A147" s="3" t="s">
        <v>10</v>
      </c>
      <c r="B147" s="3" t="s">
        <v>282</v>
      </c>
      <c r="C147" s="3" t="s">
        <v>283</v>
      </c>
      <c r="D147" s="3" t="s">
        <v>149</v>
      </c>
      <c r="E147" s="28">
        <f>SUMIFS('Raw Data'!$I$2:$I$878,'Raw Data'!$A$2:$A$878,$A147,'Raw Data'!$B$2:$B$878,$B147,'Raw Data'!$D$2:$D$878,$D147)</f>
        <v>2</v>
      </c>
      <c r="F147" s="5">
        <f>IFERROR(3958.8*ACOS(MIN(1,MAX(-1,SIN(RADIANS('ZIP Coordinates'!$C$2))*SIN(RADIANS(INDEX('ZIP Coordinates'!$C:$C,MATCH($A147,'ZIP Coordinates'!$A:$A,0))))+COS(RADIANS('ZIP Coordinates'!$C$2))*COS(RADIANS(INDEX('ZIP Coordinates'!$C:$C,MATCH($A147,'ZIP Coordinates'!$A:$A,0))))*COS(RADIANS(INDEX('ZIP Coordinates'!$D:$D,MATCH($A147,'ZIP Coordinates'!$A:$A,0))-'ZIP Coordinates'!$D$2))))),"N/A")</f>
        <v>165.79391068473419</v>
      </c>
    </row>
    <row r="148" spans="1:6" x14ac:dyDescent="0.2">
      <c r="A148" s="3" t="s">
        <v>10</v>
      </c>
      <c r="B148" s="3" t="s">
        <v>284</v>
      </c>
      <c r="C148" s="3" t="s">
        <v>285</v>
      </c>
      <c r="D148" s="3" t="s">
        <v>97</v>
      </c>
      <c r="E148" s="28">
        <f>SUMIFS('Raw Data'!$I$2:$I$878,'Raw Data'!$A$2:$A$878,$A148,'Raw Data'!$B$2:$B$878,$B148,'Raw Data'!$D$2:$D$878,$D148)</f>
        <v>4</v>
      </c>
      <c r="F148" s="5">
        <f>IFERROR(3958.8*ACOS(MIN(1,MAX(-1,SIN(RADIANS('ZIP Coordinates'!$C$2))*SIN(RADIANS(INDEX('ZIP Coordinates'!$C:$C,MATCH($A148,'ZIP Coordinates'!$A:$A,0))))+COS(RADIANS('ZIP Coordinates'!$C$2))*COS(RADIANS(INDEX('ZIP Coordinates'!$C:$C,MATCH($A148,'ZIP Coordinates'!$A:$A,0))))*COS(RADIANS(INDEX('ZIP Coordinates'!$D:$D,MATCH($A148,'ZIP Coordinates'!$A:$A,0))-'ZIP Coordinates'!$D$2))))),"N/A")</f>
        <v>165.79391068473419</v>
      </c>
    </row>
    <row r="149" spans="1:6" x14ac:dyDescent="0.2">
      <c r="A149" s="3" t="s">
        <v>10</v>
      </c>
      <c r="B149" s="3" t="s">
        <v>286</v>
      </c>
      <c r="C149" s="3" t="s">
        <v>287</v>
      </c>
      <c r="D149" s="3" t="s">
        <v>149</v>
      </c>
      <c r="E149" s="28">
        <f>SUMIFS('Raw Data'!$I$2:$I$878,'Raw Data'!$A$2:$A$878,$A149,'Raw Data'!$B$2:$B$878,$B149,'Raw Data'!$D$2:$D$878,$D149)</f>
        <v>270</v>
      </c>
      <c r="F149" s="5">
        <f>IFERROR(3958.8*ACOS(MIN(1,MAX(-1,SIN(RADIANS('ZIP Coordinates'!$C$2))*SIN(RADIANS(INDEX('ZIP Coordinates'!$C:$C,MATCH($A149,'ZIP Coordinates'!$A:$A,0))))+COS(RADIANS('ZIP Coordinates'!$C$2))*COS(RADIANS(INDEX('ZIP Coordinates'!$C:$C,MATCH($A149,'ZIP Coordinates'!$A:$A,0))))*COS(RADIANS(INDEX('ZIP Coordinates'!$D:$D,MATCH($A149,'ZIP Coordinates'!$A:$A,0))-'ZIP Coordinates'!$D$2))))),"N/A")</f>
        <v>165.79391068473419</v>
      </c>
    </row>
    <row r="150" spans="1:6" x14ac:dyDescent="0.2">
      <c r="A150" s="3" t="s">
        <v>10</v>
      </c>
      <c r="B150" s="3" t="s">
        <v>288</v>
      </c>
      <c r="C150" s="3" t="s">
        <v>287</v>
      </c>
      <c r="D150" s="3" t="s">
        <v>97</v>
      </c>
      <c r="E150" s="28">
        <f>SUMIFS('Raw Data'!$I$2:$I$878,'Raw Data'!$A$2:$A$878,$A150,'Raw Data'!$B$2:$B$878,$B150,'Raw Data'!$D$2:$D$878,$D150)</f>
        <v>220</v>
      </c>
      <c r="F150" s="5">
        <f>IFERROR(3958.8*ACOS(MIN(1,MAX(-1,SIN(RADIANS('ZIP Coordinates'!$C$2))*SIN(RADIANS(INDEX('ZIP Coordinates'!$C:$C,MATCH($A150,'ZIP Coordinates'!$A:$A,0))))+COS(RADIANS('ZIP Coordinates'!$C$2))*COS(RADIANS(INDEX('ZIP Coordinates'!$C:$C,MATCH($A150,'ZIP Coordinates'!$A:$A,0))))*COS(RADIANS(INDEX('ZIP Coordinates'!$D:$D,MATCH($A150,'ZIP Coordinates'!$A:$A,0))-'ZIP Coordinates'!$D$2))))),"N/A")</f>
        <v>165.79391068473419</v>
      </c>
    </row>
    <row r="151" spans="1:6" x14ac:dyDescent="0.2">
      <c r="A151" s="3" t="s">
        <v>10</v>
      </c>
      <c r="B151" s="3" t="s">
        <v>255</v>
      </c>
      <c r="C151" s="3" t="s">
        <v>256</v>
      </c>
      <c r="D151" s="3" t="s">
        <v>149</v>
      </c>
      <c r="E151" s="28">
        <f>SUMIFS('Raw Data'!$I$2:$I$878,'Raw Data'!$A$2:$A$878,$A151,'Raw Data'!$B$2:$B$878,$B151,'Raw Data'!$D$2:$D$878,$D151)</f>
        <v>140</v>
      </c>
      <c r="F151" s="5">
        <f>IFERROR(3958.8*ACOS(MIN(1,MAX(-1,SIN(RADIANS('ZIP Coordinates'!$C$2))*SIN(RADIANS(INDEX('ZIP Coordinates'!$C:$C,MATCH($A151,'ZIP Coordinates'!$A:$A,0))))+COS(RADIANS('ZIP Coordinates'!$C$2))*COS(RADIANS(INDEX('ZIP Coordinates'!$C:$C,MATCH($A151,'ZIP Coordinates'!$A:$A,0))))*COS(RADIANS(INDEX('ZIP Coordinates'!$D:$D,MATCH($A151,'ZIP Coordinates'!$A:$A,0))-'ZIP Coordinates'!$D$2))))),"N/A")</f>
        <v>165.79391068473419</v>
      </c>
    </row>
    <row r="152" spans="1:6" x14ac:dyDescent="0.2">
      <c r="A152" s="3" t="s">
        <v>10</v>
      </c>
      <c r="B152" s="3" t="s">
        <v>257</v>
      </c>
      <c r="C152" s="3" t="s">
        <v>256</v>
      </c>
      <c r="D152" s="3" t="s">
        <v>97</v>
      </c>
      <c r="E152" s="28">
        <f>SUMIFS('Raw Data'!$I$2:$I$878,'Raw Data'!$A$2:$A$878,$A152,'Raw Data'!$B$2:$B$878,$B152,'Raw Data'!$D$2:$D$878,$D152)</f>
        <v>266</v>
      </c>
      <c r="F152" s="5">
        <f>IFERROR(3958.8*ACOS(MIN(1,MAX(-1,SIN(RADIANS('ZIP Coordinates'!$C$2))*SIN(RADIANS(INDEX('ZIP Coordinates'!$C:$C,MATCH($A152,'ZIP Coordinates'!$A:$A,0))))+COS(RADIANS('ZIP Coordinates'!$C$2))*COS(RADIANS(INDEX('ZIP Coordinates'!$C:$C,MATCH($A152,'ZIP Coordinates'!$A:$A,0))))*COS(RADIANS(INDEX('ZIP Coordinates'!$D:$D,MATCH($A152,'ZIP Coordinates'!$A:$A,0))-'ZIP Coordinates'!$D$2))))),"N/A")</f>
        <v>165.79391068473419</v>
      </c>
    </row>
    <row r="153" spans="1:6" x14ac:dyDescent="0.2">
      <c r="A153" s="3" t="s">
        <v>11</v>
      </c>
      <c r="B153" s="3" t="s">
        <v>258</v>
      </c>
      <c r="C153" s="3" t="s">
        <v>240</v>
      </c>
      <c r="D153" s="3" t="s">
        <v>105</v>
      </c>
      <c r="E153" s="28">
        <f>SUMIFS('Raw Data'!$I$2:$I$878,'Raw Data'!$A$2:$A$878,$A153,'Raw Data'!$B$2:$B$878,$B153,'Raw Data'!$D$2:$D$878,$D153)</f>
        <v>128</v>
      </c>
      <c r="F153" s="5">
        <f>IFERROR(3958.8*ACOS(MIN(1,MAX(-1,SIN(RADIANS('ZIP Coordinates'!$C$2))*SIN(RADIANS(INDEX('ZIP Coordinates'!$C:$C,MATCH($A153,'ZIP Coordinates'!$A:$A,0))))+COS(RADIANS('ZIP Coordinates'!$C$2))*COS(RADIANS(INDEX('ZIP Coordinates'!$C:$C,MATCH($A153,'ZIP Coordinates'!$A:$A,0))))*COS(RADIANS(INDEX('ZIP Coordinates'!$D:$D,MATCH($A153,'ZIP Coordinates'!$A:$A,0))-'ZIP Coordinates'!$D$2))))),"N/A")</f>
        <v>199.33243106906986</v>
      </c>
    </row>
    <row r="154" spans="1:6" x14ac:dyDescent="0.2">
      <c r="A154" s="3" t="s">
        <v>11</v>
      </c>
      <c r="B154" s="3" t="s">
        <v>259</v>
      </c>
      <c r="C154" s="3" t="s">
        <v>260</v>
      </c>
      <c r="D154" s="3" t="s">
        <v>105</v>
      </c>
      <c r="E154" s="28">
        <f>SUMIFS('Raw Data'!$I$2:$I$878,'Raw Data'!$A$2:$A$878,$A154,'Raw Data'!$B$2:$B$878,$B154,'Raw Data'!$D$2:$D$878,$D154)</f>
        <v>148</v>
      </c>
      <c r="F154" s="5">
        <f>IFERROR(3958.8*ACOS(MIN(1,MAX(-1,SIN(RADIANS('ZIP Coordinates'!$C$2))*SIN(RADIANS(INDEX('ZIP Coordinates'!$C:$C,MATCH($A154,'ZIP Coordinates'!$A:$A,0))))+COS(RADIANS('ZIP Coordinates'!$C$2))*COS(RADIANS(INDEX('ZIP Coordinates'!$C:$C,MATCH($A154,'ZIP Coordinates'!$A:$A,0))))*COS(RADIANS(INDEX('ZIP Coordinates'!$D:$D,MATCH($A154,'ZIP Coordinates'!$A:$A,0))-'ZIP Coordinates'!$D$2))))),"N/A")</f>
        <v>199.33243106906986</v>
      </c>
    </row>
    <row r="155" spans="1:6" x14ac:dyDescent="0.2">
      <c r="A155" s="3" t="s">
        <v>11</v>
      </c>
      <c r="B155" s="3" t="s">
        <v>241</v>
      </c>
      <c r="C155" s="3" t="s">
        <v>242</v>
      </c>
      <c r="D155" s="3" t="s">
        <v>105</v>
      </c>
      <c r="E155" s="28">
        <f>SUMIFS('Raw Data'!$I$2:$I$878,'Raw Data'!$A$2:$A$878,$A155,'Raw Data'!$B$2:$B$878,$B155,'Raw Data'!$D$2:$D$878,$D155)</f>
        <v>50</v>
      </c>
      <c r="F155" s="5">
        <f>IFERROR(3958.8*ACOS(MIN(1,MAX(-1,SIN(RADIANS('ZIP Coordinates'!$C$2))*SIN(RADIANS(INDEX('ZIP Coordinates'!$C:$C,MATCH($A155,'ZIP Coordinates'!$A:$A,0))))+COS(RADIANS('ZIP Coordinates'!$C$2))*COS(RADIANS(INDEX('ZIP Coordinates'!$C:$C,MATCH($A155,'ZIP Coordinates'!$A:$A,0))))*COS(RADIANS(INDEX('ZIP Coordinates'!$D:$D,MATCH($A155,'ZIP Coordinates'!$A:$A,0))-'ZIP Coordinates'!$D$2))))),"N/A")</f>
        <v>199.33243106906986</v>
      </c>
    </row>
    <row r="156" spans="1:6" x14ac:dyDescent="0.2">
      <c r="A156" s="3" t="s">
        <v>11</v>
      </c>
      <c r="B156" s="3" t="s">
        <v>271</v>
      </c>
      <c r="C156" s="3" t="s">
        <v>244</v>
      </c>
      <c r="D156" s="3" t="s">
        <v>105</v>
      </c>
      <c r="E156" s="28">
        <f>SUMIFS('Raw Data'!$I$2:$I$878,'Raw Data'!$A$2:$A$878,$A156,'Raw Data'!$B$2:$B$878,$B156,'Raw Data'!$D$2:$D$878,$D156)</f>
        <v>45</v>
      </c>
      <c r="F156" s="5">
        <f>IFERROR(3958.8*ACOS(MIN(1,MAX(-1,SIN(RADIANS('ZIP Coordinates'!$C$2))*SIN(RADIANS(INDEX('ZIP Coordinates'!$C:$C,MATCH($A156,'ZIP Coordinates'!$A:$A,0))))+COS(RADIANS('ZIP Coordinates'!$C$2))*COS(RADIANS(INDEX('ZIP Coordinates'!$C:$C,MATCH($A156,'ZIP Coordinates'!$A:$A,0))))*COS(RADIANS(INDEX('ZIP Coordinates'!$D:$D,MATCH($A156,'ZIP Coordinates'!$A:$A,0))-'ZIP Coordinates'!$D$2))))),"N/A")</f>
        <v>199.33243106906986</v>
      </c>
    </row>
    <row r="157" spans="1:6" x14ac:dyDescent="0.2">
      <c r="A157" s="3" t="s">
        <v>11</v>
      </c>
      <c r="B157" s="3" t="s">
        <v>243</v>
      </c>
      <c r="C157" s="3" t="s">
        <v>244</v>
      </c>
      <c r="D157" s="3" t="s">
        <v>105</v>
      </c>
      <c r="E157" s="28">
        <f>SUMIFS('Raw Data'!$I$2:$I$878,'Raw Data'!$A$2:$A$878,$A157,'Raw Data'!$B$2:$B$878,$B157,'Raw Data'!$D$2:$D$878,$D157)</f>
        <v>33</v>
      </c>
      <c r="F157" s="5">
        <f>IFERROR(3958.8*ACOS(MIN(1,MAX(-1,SIN(RADIANS('ZIP Coordinates'!$C$2))*SIN(RADIANS(INDEX('ZIP Coordinates'!$C:$C,MATCH($A157,'ZIP Coordinates'!$A:$A,0))))+COS(RADIANS('ZIP Coordinates'!$C$2))*COS(RADIANS(INDEX('ZIP Coordinates'!$C:$C,MATCH($A157,'ZIP Coordinates'!$A:$A,0))))*COS(RADIANS(INDEX('ZIP Coordinates'!$D:$D,MATCH($A157,'ZIP Coordinates'!$A:$A,0))-'ZIP Coordinates'!$D$2))))),"N/A")</f>
        <v>199.33243106906986</v>
      </c>
    </row>
    <row r="158" spans="1:6" x14ac:dyDescent="0.2">
      <c r="A158" s="3" t="s">
        <v>11</v>
      </c>
      <c r="B158" s="3" t="s">
        <v>274</v>
      </c>
      <c r="C158" s="3" t="s">
        <v>275</v>
      </c>
      <c r="D158" s="3" t="s">
        <v>105</v>
      </c>
      <c r="E158" s="28">
        <f>SUMIFS('Raw Data'!$I$2:$I$878,'Raw Data'!$A$2:$A$878,$A158,'Raw Data'!$B$2:$B$878,$B158,'Raw Data'!$D$2:$D$878,$D158)</f>
        <v>81</v>
      </c>
      <c r="F158" s="5">
        <f>IFERROR(3958.8*ACOS(MIN(1,MAX(-1,SIN(RADIANS('ZIP Coordinates'!$C$2))*SIN(RADIANS(INDEX('ZIP Coordinates'!$C:$C,MATCH($A158,'ZIP Coordinates'!$A:$A,0))))+COS(RADIANS('ZIP Coordinates'!$C$2))*COS(RADIANS(INDEX('ZIP Coordinates'!$C:$C,MATCH($A158,'ZIP Coordinates'!$A:$A,0))))*COS(RADIANS(INDEX('ZIP Coordinates'!$D:$D,MATCH($A158,'ZIP Coordinates'!$A:$A,0))-'ZIP Coordinates'!$D$2))))),"N/A")</f>
        <v>199.33243106906986</v>
      </c>
    </row>
    <row r="159" spans="1:6" x14ac:dyDescent="0.2">
      <c r="A159" s="3" t="s">
        <v>11</v>
      </c>
      <c r="B159" s="3" t="s">
        <v>276</v>
      </c>
      <c r="C159" s="3" t="s">
        <v>275</v>
      </c>
      <c r="D159" s="3" t="s">
        <v>105</v>
      </c>
      <c r="E159" s="28">
        <f>SUMIFS('Raw Data'!$I$2:$I$878,'Raw Data'!$A$2:$A$878,$A159,'Raw Data'!$B$2:$B$878,$B159,'Raw Data'!$D$2:$D$878,$D159)</f>
        <v>25</v>
      </c>
      <c r="F159" s="5">
        <f>IFERROR(3958.8*ACOS(MIN(1,MAX(-1,SIN(RADIANS('ZIP Coordinates'!$C$2))*SIN(RADIANS(INDEX('ZIP Coordinates'!$C:$C,MATCH($A159,'ZIP Coordinates'!$A:$A,0))))+COS(RADIANS('ZIP Coordinates'!$C$2))*COS(RADIANS(INDEX('ZIP Coordinates'!$C:$C,MATCH($A159,'ZIP Coordinates'!$A:$A,0))))*COS(RADIANS(INDEX('ZIP Coordinates'!$D:$D,MATCH($A159,'ZIP Coordinates'!$A:$A,0))-'ZIP Coordinates'!$D$2))))),"N/A")</f>
        <v>199.33243106906986</v>
      </c>
    </row>
    <row r="160" spans="1:6" x14ac:dyDescent="0.2">
      <c r="A160" s="3" t="s">
        <v>11</v>
      </c>
      <c r="B160" s="3" t="s">
        <v>277</v>
      </c>
      <c r="C160" s="3" t="s">
        <v>278</v>
      </c>
      <c r="D160" s="3" t="s">
        <v>105</v>
      </c>
      <c r="E160" s="28">
        <f>SUMIFS('Raw Data'!$I$2:$I$878,'Raw Data'!$A$2:$A$878,$A160,'Raw Data'!$B$2:$B$878,$B160,'Raw Data'!$D$2:$D$878,$D160)</f>
        <v>47</v>
      </c>
      <c r="F160" s="5">
        <f>IFERROR(3958.8*ACOS(MIN(1,MAX(-1,SIN(RADIANS('ZIP Coordinates'!$C$2))*SIN(RADIANS(INDEX('ZIP Coordinates'!$C:$C,MATCH($A160,'ZIP Coordinates'!$A:$A,0))))+COS(RADIANS('ZIP Coordinates'!$C$2))*COS(RADIANS(INDEX('ZIP Coordinates'!$C:$C,MATCH($A160,'ZIP Coordinates'!$A:$A,0))))*COS(RADIANS(INDEX('ZIP Coordinates'!$D:$D,MATCH($A160,'ZIP Coordinates'!$A:$A,0))-'ZIP Coordinates'!$D$2))))),"N/A")</f>
        <v>199.33243106906986</v>
      </c>
    </row>
    <row r="161" spans="1:6" x14ac:dyDescent="0.2">
      <c r="A161" s="3" t="s">
        <v>11</v>
      </c>
      <c r="B161" s="3" t="s">
        <v>247</v>
      </c>
      <c r="C161" s="3" t="s">
        <v>246</v>
      </c>
      <c r="D161" s="3" t="s">
        <v>105</v>
      </c>
      <c r="E161" s="28">
        <f>SUMIFS('Raw Data'!$I$2:$I$878,'Raw Data'!$A$2:$A$878,$A161,'Raw Data'!$B$2:$B$878,$B161,'Raw Data'!$D$2:$D$878,$D161)</f>
        <v>83</v>
      </c>
      <c r="F161" s="5">
        <f>IFERROR(3958.8*ACOS(MIN(1,MAX(-1,SIN(RADIANS('ZIP Coordinates'!$C$2))*SIN(RADIANS(INDEX('ZIP Coordinates'!$C:$C,MATCH($A161,'ZIP Coordinates'!$A:$A,0))))+COS(RADIANS('ZIP Coordinates'!$C$2))*COS(RADIANS(INDEX('ZIP Coordinates'!$C:$C,MATCH($A161,'ZIP Coordinates'!$A:$A,0))))*COS(RADIANS(INDEX('ZIP Coordinates'!$D:$D,MATCH($A161,'ZIP Coordinates'!$A:$A,0))-'ZIP Coordinates'!$D$2))))),"N/A")</f>
        <v>199.33243106906986</v>
      </c>
    </row>
    <row r="162" spans="1:6" x14ac:dyDescent="0.2">
      <c r="A162" s="3" t="s">
        <v>11</v>
      </c>
      <c r="B162" s="3" t="s">
        <v>250</v>
      </c>
      <c r="C162" s="3" t="s">
        <v>249</v>
      </c>
      <c r="D162" s="3" t="s">
        <v>105</v>
      </c>
      <c r="E162" s="28">
        <f>SUMIFS('Raw Data'!$I$2:$I$878,'Raw Data'!$A$2:$A$878,$A162,'Raw Data'!$B$2:$B$878,$B162,'Raw Data'!$D$2:$D$878,$D162)</f>
        <v>99</v>
      </c>
      <c r="F162" s="5">
        <f>IFERROR(3958.8*ACOS(MIN(1,MAX(-1,SIN(RADIANS('ZIP Coordinates'!$C$2))*SIN(RADIANS(INDEX('ZIP Coordinates'!$C:$C,MATCH($A162,'ZIP Coordinates'!$A:$A,0))))+COS(RADIANS('ZIP Coordinates'!$C$2))*COS(RADIANS(INDEX('ZIP Coordinates'!$C:$C,MATCH($A162,'ZIP Coordinates'!$A:$A,0))))*COS(RADIANS(INDEX('ZIP Coordinates'!$D:$D,MATCH($A162,'ZIP Coordinates'!$A:$A,0))-'ZIP Coordinates'!$D$2))))),"N/A")</f>
        <v>199.33243106906986</v>
      </c>
    </row>
    <row r="163" spans="1:6" x14ac:dyDescent="0.2">
      <c r="A163" s="3" t="s">
        <v>11</v>
      </c>
      <c r="B163" s="3" t="s">
        <v>281</v>
      </c>
      <c r="C163" s="3" t="s">
        <v>252</v>
      </c>
      <c r="D163" s="3" t="s">
        <v>105</v>
      </c>
      <c r="E163" s="28">
        <f>SUMIFS('Raw Data'!$I$2:$I$878,'Raw Data'!$A$2:$A$878,$A163,'Raw Data'!$B$2:$B$878,$B163,'Raw Data'!$D$2:$D$878,$D163)</f>
        <v>40</v>
      </c>
      <c r="F163" s="5">
        <f>IFERROR(3958.8*ACOS(MIN(1,MAX(-1,SIN(RADIANS('ZIP Coordinates'!$C$2))*SIN(RADIANS(INDEX('ZIP Coordinates'!$C:$C,MATCH($A163,'ZIP Coordinates'!$A:$A,0))))+COS(RADIANS('ZIP Coordinates'!$C$2))*COS(RADIANS(INDEX('ZIP Coordinates'!$C:$C,MATCH($A163,'ZIP Coordinates'!$A:$A,0))))*COS(RADIANS(INDEX('ZIP Coordinates'!$D:$D,MATCH($A163,'ZIP Coordinates'!$A:$A,0))-'ZIP Coordinates'!$D$2))))),"N/A")</f>
        <v>199.33243106906986</v>
      </c>
    </row>
    <row r="164" spans="1:6" x14ac:dyDescent="0.2">
      <c r="A164" s="3" t="s">
        <v>11</v>
      </c>
      <c r="B164" s="3" t="s">
        <v>251</v>
      </c>
      <c r="C164" s="3" t="s">
        <v>252</v>
      </c>
      <c r="D164" s="3" t="s">
        <v>105</v>
      </c>
      <c r="E164" s="28">
        <f>SUMIFS('Raw Data'!$I$2:$I$878,'Raw Data'!$A$2:$A$878,$A164,'Raw Data'!$B$2:$B$878,$B164,'Raw Data'!$D$2:$D$878,$D164)</f>
        <v>90</v>
      </c>
      <c r="F164" s="5">
        <f>IFERROR(3958.8*ACOS(MIN(1,MAX(-1,SIN(RADIANS('ZIP Coordinates'!$C$2))*SIN(RADIANS(INDEX('ZIP Coordinates'!$C:$C,MATCH($A164,'ZIP Coordinates'!$A:$A,0))))+COS(RADIANS('ZIP Coordinates'!$C$2))*COS(RADIANS(INDEX('ZIP Coordinates'!$C:$C,MATCH($A164,'ZIP Coordinates'!$A:$A,0))))*COS(RADIANS(INDEX('ZIP Coordinates'!$D:$D,MATCH($A164,'ZIP Coordinates'!$A:$A,0))-'ZIP Coordinates'!$D$2))))),"N/A")</f>
        <v>199.33243106906986</v>
      </c>
    </row>
    <row r="165" spans="1:6" x14ac:dyDescent="0.2">
      <c r="A165" s="3" t="s">
        <v>11</v>
      </c>
      <c r="B165" s="3" t="s">
        <v>282</v>
      </c>
      <c r="C165" s="3" t="s">
        <v>283</v>
      </c>
      <c r="D165" s="3" t="s">
        <v>105</v>
      </c>
      <c r="E165" s="28">
        <f>SUMIFS('Raw Data'!$I$2:$I$878,'Raw Data'!$A$2:$A$878,$A165,'Raw Data'!$B$2:$B$878,$B165,'Raw Data'!$D$2:$D$878,$D165)</f>
        <v>39</v>
      </c>
      <c r="F165" s="5">
        <f>IFERROR(3958.8*ACOS(MIN(1,MAX(-1,SIN(RADIANS('ZIP Coordinates'!$C$2))*SIN(RADIANS(INDEX('ZIP Coordinates'!$C:$C,MATCH($A165,'ZIP Coordinates'!$A:$A,0))))+COS(RADIANS('ZIP Coordinates'!$C$2))*COS(RADIANS(INDEX('ZIP Coordinates'!$C:$C,MATCH($A165,'ZIP Coordinates'!$A:$A,0))))*COS(RADIANS(INDEX('ZIP Coordinates'!$D:$D,MATCH($A165,'ZIP Coordinates'!$A:$A,0))-'ZIP Coordinates'!$D$2))))),"N/A")</f>
        <v>199.33243106906986</v>
      </c>
    </row>
    <row r="166" spans="1:6" x14ac:dyDescent="0.2">
      <c r="A166" s="3" t="s">
        <v>11</v>
      </c>
      <c r="B166" s="3" t="s">
        <v>284</v>
      </c>
      <c r="C166" s="3" t="s">
        <v>285</v>
      </c>
      <c r="D166" s="3" t="s">
        <v>105</v>
      </c>
      <c r="E166" s="28">
        <f>SUMIFS('Raw Data'!$I$2:$I$878,'Raw Data'!$A$2:$A$878,$A166,'Raw Data'!$B$2:$B$878,$B166,'Raw Data'!$D$2:$D$878,$D166)</f>
        <v>18</v>
      </c>
      <c r="F166" s="5">
        <f>IFERROR(3958.8*ACOS(MIN(1,MAX(-1,SIN(RADIANS('ZIP Coordinates'!$C$2))*SIN(RADIANS(INDEX('ZIP Coordinates'!$C:$C,MATCH($A166,'ZIP Coordinates'!$A:$A,0))))+COS(RADIANS('ZIP Coordinates'!$C$2))*COS(RADIANS(INDEX('ZIP Coordinates'!$C:$C,MATCH($A166,'ZIP Coordinates'!$A:$A,0))))*COS(RADIANS(INDEX('ZIP Coordinates'!$D:$D,MATCH($A166,'ZIP Coordinates'!$A:$A,0))-'ZIP Coordinates'!$D$2))))),"N/A")</f>
        <v>199.33243106906986</v>
      </c>
    </row>
    <row r="167" spans="1:6" x14ac:dyDescent="0.2">
      <c r="A167" s="3" t="s">
        <v>11</v>
      </c>
      <c r="B167" s="3" t="s">
        <v>286</v>
      </c>
      <c r="C167" s="3" t="s">
        <v>287</v>
      </c>
      <c r="D167" s="3" t="s">
        <v>105</v>
      </c>
      <c r="E167" s="28">
        <f>SUMIFS('Raw Data'!$I$2:$I$878,'Raw Data'!$A$2:$A$878,$A167,'Raw Data'!$B$2:$B$878,$B167,'Raw Data'!$D$2:$D$878,$D167)</f>
        <v>144</v>
      </c>
      <c r="F167" s="5">
        <f>IFERROR(3958.8*ACOS(MIN(1,MAX(-1,SIN(RADIANS('ZIP Coordinates'!$C$2))*SIN(RADIANS(INDEX('ZIP Coordinates'!$C:$C,MATCH($A167,'ZIP Coordinates'!$A:$A,0))))+COS(RADIANS('ZIP Coordinates'!$C$2))*COS(RADIANS(INDEX('ZIP Coordinates'!$C:$C,MATCH($A167,'ZIP Coordinates'!$A:$A,0))))*COS(RADIANS(INDEX('ZIP Coordinates'!$D:$D,MATCH($A167,'ZIP Coordinates'!$A:$A,0))-'ZIP Coordinates'!$D$2))))),"N/A")</f>
        <v>199.33243106906986</v>
      </c>
    </row>
    <row r="168" spans="1:6" x14ac:dyDescent="0.2">
      <c r="A168" s="3" t="s">
        <v>11</v>
      </c>
      <c r="B168" s="3" t="s">
        <v>288</v>
      </c>
      <c r="C168" s="3" t="s">
        <v>287</v>
      </c>
      <c r="D168" s="3" t="s">
        <v>105</v>
      </c>
      <c r="E168" s="28">
        <f>SUMIFS('Raw Data'!$I$2:$I$878,'Raw Data'!$A$2:$A$878,$A168,'Raw Data'!$B$2:$B$878,$B168,'Raw Data'!$D$2:$D$878,$D168)</f>
        <v>25</v>
      </c>
      <c r="F168" s="5">
        <f>IFERROR(3958.8*ACOS(MIN(1,MAX(-1,SIN(RADIANS('ZIP Coordinates'!$C$2))*SIN(RADIANS(INDEX('ZIP Coordinates'!$C:$C,MATCH($A168,'ZIP Coordinates'!$A:$A,0))))+COS(RADIANS('ZIP Coordinates'!$C$2))*COS(RADIANS(INDEX('ZIP Coordinates'!$C:$C,MATCH($A168,'ZIP Coordinates'!$A:$A,0))))*COS(RADIANS(INDEX('ZIP Coordinates'!$D:$D,MATCH($A168,'ZIP Coordinates'!$A:$A,0))-'ZIP Coordinates'!$D$2))))),"N/A")</f>
        <v>199.33243106906986</v>
      </c>
    </row>
    <row r="169" spans="1:6" x14ac:dyDescent="0.2">
      <c r="A169" s="3" t="s">
        <v>11</v>
      </c>
      <c r="B169" s="3" t="s">
        <v>255</v>
      </c>
      <c r="C169" s="3" t="s">
        <v>256</v>
      </c>
      <c r="D169" s="3" t="s">
        <v>105</v>
      </c>
      <c r="E169" s="28">
        <f>SUMIFS('Raw Data'!$I$2:$I$878,'Raw Data'!$A$2:$A$878,$A169,'Raw Data'!$B$2:$B$878,$B169,'Raw Data'!$D$2:$D$878,$D169)</f>
        <v>760</v>
      </c>
      <c r="F169" s="5">
        <f>IFERROR(3958.8*ACOS(MIN(1,MAX(-1,SIN(RADIANS('ZIP Coordinates'!$C$2))*SIN(RADIANS(INDEX('ZIP Coordinates'!$C:$C,MATCH($A169,'ZIP Coordinates'!$A:$A,0))))+COS(RADIANS('ZIP Coordinates'!$C$2))*COS(RADIANS(INDEX('ZIP Coordinates'!$C:$C,MATCH($A169,'ZIP Coordinates'!$A:$A,0))))*COS(RADIANS(INDEX('ZIP Coordinates'!$D:$D,MATCH($A169,'ZIP Coordinates'!$A:$A,0))-'ZIP Coordinates'!$D$2))))),"N/A")</f>
        <v>199.33243106906986</v>
      </c>
    </row>
    <row r="170" spans="1:6" x14ac:dyDescent="0.2">
      <c r="A170" s="3" t="s">
        <v>12</v>
      </c>
      <c r="B170" s="3" t="s">
        <v>239</v>
      </c>
      <c r="C170" s="3" t="s">
        <v>240</v>
      </c>
      <c r="D170" s="3" t="s">
        <v>184</v>
      </c>
      <c r="E170" s="28">
        <f>SUMIFS('Raw Data'!$I$2:$I$878,'Raw Data'!$A$2:$A$878,$A170,'Raw Data'!$B$2:$B$878,$B170,'Raw Data'!$D$2:$D$878,$D170)</f>
        <v>3</v>
      </c>
      <c r="F170" s="5">
        <f>IFERROR(3958.8*ACOS(MIN(1,MAX(-1,SIN(RADIANS('ZIP Coordinates'!$C$2))*SIN(RADIANS(INDEX('ZIP Coordinates'!$C:$C,MATCH($A170,'ZIP Coordinates'!$A:$A,0))))+COS(RADIANS('ZIP Coordinates'!$C$2))*COS(RADIANS(INDEX('ZIP Coordinates'!$C:$C,MATCH($A170,'ZIP Coordinates'!$A:$A,0))))*COS(RADIANS(INDEX('ZIP Coordinates'!$D:$D,MATCH($A170,'ZIP Coordinates'!$A:$A,0))-'ZIP Coordinates'!$D$2))))),"N/A")</f>
        <v>175.36797212753649</v>
      </c>
    </row>
    <row r="171" spans="1:6" x14ac:dyDescent="0.2">
      <c r="A171" s="3" t="s">
        <v>12</v>
      </c>
      <c r="B171" s="3" t="s">
        <v>261</v>
      </c>
      <c r="C171" s="3" t="s">
        <v>260</v>
      </c>
      <c r="D171" s="3" t="s">
        <v>184</v>
      </c>
      <c r="E171" s="28">
        <f>SUMIFS('Raw Data'!$I$2:$I$878,'Raw Data'!$A$2:$A$878,$A171,'Raw Data'!$B$2:$B$878,$B171,'Raw Data'!$D$2:$D$878,$D171)</f>
        <v>3</v>
      </c>
      <c r="F171" s="5">
        <f>IFERROR(3958.8*ACOS(MIN(1,MAX(-1,SIN(RADIANS('ZIP Coordinates'!$C$2))*SIN(RADIANS(INDEX('ZIP Coordinates'!$C:$C,MATCH($A171,'ZIP Coordinates'!$A:$A,0))))+COS(RADIANS('ZIP Coordinates'!$C$2))*COS(RADIANS(INDEX('ZIP Coordinates'!$C:$C,MATCH($A171,'ZIP Coordinates'!$A:$A,0))))*COS(RADIANS(INDEX('ZIP Coordinates'!$D:$D,MATCH($A171,'ZIP Coordinates'!$A:$A,0))-'ZIP Coordinates'!$D$2))))),"N/A")</f>
        <v>175.36797212753649</v>
      </c>
    </row>
    <row r="172" spans="1:6" x14ac:dyDescent="0.2">
      <c r="A172" s="3" t="s">
        <v>12</v>
      </c>
      <c r="B172" s="3" t="s">
        <v>241</v>
      </c>
      <c r="C172" s="3" t="s">
        <v>242</v>
      </c>
      <c r="D172" s="3" t="s">
        <v>163</v>
      </c>
      <c r="E172" s="28">
        <f>SUMIFS('Raw Data'!$I$2:$I$878,'Raw Data'!$A$2:$A$878,$A172,'Raw Data'!$B$2:$B$878,$B172,'Raw Data'!$D$2:$D$878,$D172)</f>
        <v>6</v>
      </c>
      <c r="F172" s="5">
        <f>IFERROR(3958.8*ACOS(MIN(1,MAX(-1,SIN(RADIANS('ZIP Coordinates'!$C$2))*SIN(RADIANS(INDEX('ZIP Coordinates'!$C:$C,MATCH($A172,'ZIP Coordinates'!$A:$A,0))))+COS(RADIANS('ZIP Coordinates'!$C$2))*COS(RADIANS(INDEX('ZIP Coordinates'!$C:$C,MATCH($A172,'ZIP Coordinates'!$A:$A,0))))*COS(RADIANS(INDEX('ZIP Coordinates'!$D:$D,MATCH($A172,'ZIP Coordinates'!$A:$A,0))-'ZIP Coordinates'!$D$2))))),"N/A")</f>
        <v>175.36797212753649</v>
      </c>
    </row>
    <row r="173" spans="1:6" x14ac:dyDescent="0.2">
      <c r="A173" s="3" t="s">
        <v>12</v>
      </c>
      <c r="B173" s="3" t="s">
        <v>271</v>
      </c>
      <c r="C173" s="3" t="s">
        <v>244</v>
      </c>
      <c r="D173" s="3" t="s">
        <v>163</v>
      </c>
      <c r="E173" s="28">
        <f>SUMIFS('Raw Data'!$I$2:$I$878,'Raw Data'!$A$2:$A$878,$A173,'Raw Data'!$B$2:$B$878,$B173,'Raw Data'!$D$2:$D$878,$D173)</f>
        <v>0</v>
      </c>
      <c r="F173" s="5">
        <f>IFERROR(3958.8*ACOS(MIN(1,MAX(-1,SIN(RADIANS('ZIP Coordinates'!$C$2))*SIN(RADIANS(INDEX('ZIP Coordinates'!$C:$C,MATCH($A173,'ZIP Coordinates'!$A:$A,0))))+COS(RADIANS('ZIP Coordinates'!$C$2))*COS(RADIANS(INDEX('ZIP Coordinates'!$C:$C,MATCH($A173,'ZIP Coordinates'!$A:$A,0))))*COS(RADIANS(INDEX('ZIP Coordinates'!$D:$D,MATCH($A173,'ZIP Coordinates'!$A:$A,0))-'ZIP Coordinates'!$D$2))))),"N/A")</f>
        <v>175.36797212753649</v>
      </c>
    </row>
    <row r="174" spans="1:6" x14ac:dyDescent="0.2">
      <c r="A174" s="3" t="s">
        <v>12</v>
      </c>
      <c r="B174" s="3" t="s">
        <v>243</v>
      </c>
      <c r="C174" s="3" t="s">
        <v>244</v>
      </c>
      <c r="D174" s="3" t="s">
        <v>163</v>
      </c>
      <c r="E174" s="28">
        <f>SUMIFS('Raw Data'!$I$2:$I$878,'Raw Data'!$A$2:$A$878,$A174,'Raw Data'!$B$2:$B$878,$B174,'Raw Data'!$D$2:$D$878,$D174)</f>
        <v>28</v>
      </c>
      <c r="F174" s="5">
        <f>IFERROR(3958.8*ACOS(MIN(1,MAX(-1,SIN(RADIANS('ZIP Coordinates'!$C$2))*SIN(RADIANS(INDEX('ZIP Coordinates'!$C:$C,MATCH($A174,'ZIP Coordinates'!$A:$A,0))))+COS(RADIANS('ZIP Coordinates'!$C$2))*COS(RADIANS(INDEX('ZIP Coordinates'!$C:$C,MATCH($A174,'ZIP Coordinates'!$A:$A,0))))*COS(RADIANS(INDEX('ZIP Coordinates'!$D:$D,MATCH($A174,'ZIP Coordinates'!$A:$A,0))-'ZIP Coordinates'!$D$2))))),"N/A")</f>
        <v>175.36797212753649</v>
      </c>
    </row>
    <row r="175" spans="1:6" x14ac:dyDescent="0.2">
      <c r="A175" s="3" t="s">
        <v>12</v>
      </c>
      <c r="B175" s="3" t="s">
        <v>276</v>
      </c>
      <c r="C175" s="3" t="s">
        <v>275</v>
      </c>
      <c r="D175" s="3" t="s">
        <v>163</v>
      </c>
      <c r="E175" s="28">
        <f>SUMIFS('Raw Data'!$I$2:$I$878,'Raw Data'!$A$2:$A$878,$A175,'Raw Data'!$B$2:$B$878,$B175,'Raw Data'!$D$2:$D$878,$D175)</f>
        <v>34</v>
      </c>
      <c r="F175" s="5">
        <f>IFERROR(3958.8*ACOS(MIN(1,MAX(-1,SIN(RADIANS('ZIP Coordinates'!$C$2))*SIN(RADIANS(INDEX('ZIP Coordinates'!$C:$C,MATCH($A175,'ZIP Coordinates'!$A:$A,0))))+COS(RADIANS('ZIP Coordinates'!$C$2))*COS(RADIANS(INDEX('ZIP Coordinates'!$C:$C,MATCH($A175,'ZIP Coordinates'!$A:$A,0))))*COS(RADIANS(INDEX('ZIP Coordinates'!$D:$D,MATCH($A175,'ZIP Coordinates'!$A:$A,0))-'ZIP Coordinates'!$D$2))))),"N/A")</f>
        <v>175.36797212753649</v>
      </c>
    </row>
    <row r="176" spans="1:6" x14ac:dyDescent="0.2">
      <c r="A176" s="3" t="s">
        <v>12</v>
      </c>
      <c r="B176" s="3" t="s">
        <v>247</v>
      </c>
      <c r="C176" s="3" t="s">
        <v>246</v>
      </c>
      <c r="D176" s="3" t="s">
        <v>184</v>
      </c>
      <c r="E176" s="28">
        <f>SUMIFS('Raw Data'!$I$2:$I$878,'Raw Data'!$A$2:$A$878,$A176,'Raw Data'!$B$2:$B$878,$B176,'Raw Data'!$D$2:$D$878,$D176)</f>
        <v>4</v>
      </c>
      <c r="F176" s="5">
        <f>IFERROR(3958.8*ACOS(MIN(1,MAX(-1,SIN(RADIANS('ZIP Coordinates'!$C$2))*SIN(RADIANS(INDEX('ZIP Coordinates'!$C:$C,MATCH($A176,'ZIP Coordinates'!$A:$A,0))))+COS(RADIANS('ZIP Coordinates'!$C$2))*COS(RADIANS(INDEX('ZIP Coordinates'!$C:$C,MATCH($A176,'ZIP Coordinates'!$A:$A,0))))*COS(RADIANS(INDEX('ZIP Coordinates'!$D:$D,MATCH($A176,'ZIP Coordinates'!$A:$A,0))-'ZIP Coordinates'!$D$2))))),"N/A")</f>
        <v>175.36797212753649</v>
      </c>
    </row>
    <row r="177" spans="1:6" x14ac:dyDescent="0.2">
      <c r="A177" s="3" t="s">
        <v>12</v>
      </c>
      <c r="B177" s="3" t="s">
        <v>248</v>
      </c>
      <c r="C177" s="3" t="s">
        <v>249</v>
      </c>
      <c r="D177" s="3" t="s">
        <v>101</v>
      </c>
      <c r="E177" s="28">
        <f>SUMIFS('Raw Data'!$I$2:$I$878,'Raw Data'!$A$2:$A$878,$A177,'Raw Data'!$B$2:$B$878,$B177,'Raw Data'!$D$2:$D$878,$D177)</f>
        <v>100</v>
      </c>
      <c r="F177" s="5">
        <f>IFERROR(3958.8*ACOS(MIN(1,MAX(-1,SIN(RADIANS('ZIP Coordinates'!$C$2))*SIN(RADIANS(INDEX('ZIP Coordinates'!$C:$C,MATCH($A177,'ZIP Coordinates'!$A:$A,0))))+COS(RADIANS('ZIP Coordinates'!$C$2))*COS(RADIANS(INDEX('ZIP Coordinates'!$C:$C,MATCH($A177,'ZIP Coordinates'!$A:$A,0))))*COS(RADIANS(INDEX('ZIP Coordinates'!$D:$D,MATCH($A177,'ZIP Coordinates'!$A:$A,0))-'ZIP Coordinates'!$D$2))))),"N/A")</f>
        <v>175.36797212753649</v>
      </c>
    </row>
    <row r="178" spans="1:6" x14ac:dyDescent="0.2">
      <c r="A178" s="3" t="s">
        <v>12</v>
      </c>
      <c r="B178" s="3" t="s">
        <v>250</v>
      </c>
      <c r="C178" s="3" t="s">
        <v>249</v>
      </c>
      <c r="D178" s="3" t="s">
        <v>184</v>
      </c>
      <c r="E178" s="28">
        <f>SUMIFS('Raw Data'!$I$2:$I$878,'Raw Data'!$A$2:$A$878,$A178,'Raw Data'!$B$2:$B$878,$B178,'Raw Data'!$D$2:$D$878,$D178)</f>
        <v>4</v>
      </c>
      <c r="F178" s="5">
        <f>IFERROR(3958.8*ACOS(MIN(1,MAX(-1,SIN(RADIANS('ZIP Coordinates'!$C$2))*SIN(RADIANS(INDEX('ZIP Coordinates'!$C:$C,MATCH($A178,'ZIP Coordinates'!$A:$A,0))))+COS(RADIANS('ZIP Coordinates'!$C$2))*COS(RADIANS(INDEX('ZIP Coordinates'!$C:$C,MATCH($A178,'ZIP Coordinates'!$A:$A,0))))*COS(RADIANS(INDEX('ZIP Coordinates'!$D:$D,MATCH($A178,'ZIP Coordinates'!$A:$A,0))-'ZIP Coordinates'!$D$2))))),"N/A")</f>
        <v>175.36797212753649</v>
      </c>
    </row>
    <row r="179" spans="1:6" x14ac:dyDescent="0.2">
      <c r="A179" s="3" t="s">
        <v>12</v>
      </c>
      <c r="B179" s="3" t="s">
        <v>281</v>
      </c>
      <c r="C179" s="3" t="s">
        <v>252</v>
      </c>
      <c r="D179" s="3" t="s">
        <v>101</v>
      </c>
      <c r="E179" s="28">
        <f>SUMIFS('Raw Data'!$I$2:$I$878,'Raw Data'!$A$2:$A$878,$A179,'Raw Data'!$B$2:$B$878,$B179,'Raw Data'!$D$2:$D$878,$D179)</f>
        <v>160</v>
      </c>
      <c r="F179" s="5">
        <f>IFERROR(3958.8*ACOS(MIN(1,MAX(-1,SIN(RADIANS('ZIP Coordinates'!$C$2))*SIN(RADIANS(INDEX('ZIP Coordinates'!$C:$C,MATCH($A179,'ZIP Coordinates'!$A:$A,0))))+COS(RADIANS('ZIP Coordinates'!$C$2))*COS(RADIANS(INDEX('ZIP Coordinates'!$C:$C,MATCH($A179,'ZIP Coordinates'!$A:$A,0))))*COS(RADIANS(INDEX('ZIP Coordinates'!$D:$D,MATCH($A179,'ZIP Coordinates'!$A:$A,0))-'ZIP Coordinates'!$D$2))))),"N/A")</f>
        <v>175.36797212753649</v>
      </c>
    </row>
    <row r="180" spans="1:6" x14ac:dyDescent="0.2">
      <c r="A180" s="3" t="s">
        <v>12</v>
      </c>
      <c r="B180" s="3" t="s">
        <v>251</v>
      </c>
      <c r="C180" s="3" t="s">
        <v>252</v>
      </c>
      <c r="D180" s="3" t="s">
        <v>184</v>
      </c>
      <c r="E180" s="28">
        <f>SUMIFS('Raw Data'!$I$2:$I$878,'Raw Data'!$A$2:$A$878,$A180,'Raw Data'!$B$2:$B$878,$B180,'Raw Data'!$D$2:$D$878,$D180)</f>
        <v>4</v>
      </c>
      <c r="F180" s="5">
        <f>IFERROR(3958.8*ACOS(MIN(1,MAX(-1,SIN(RADIANS('ZIP Coordinates'!$C$2))*SIN(RADIANS(INDEX('ZIP Coordinates'!$C:$C,MATCH($A180,'ZIP Coordinates'!$A:$A,0))))+COS(RADIANS('ZIP Coordinates'!$C$2))*COS(RADIANS(INDEX('ZIP Coordinates'!$C:$C,MATCH($A180,'ZIP Coordinates'!$A:$A,0))))*COS(RADIANS(INDEX('ZIP Coordinates'!$D:$D,MATCH($A180,'ZIP Coordinates'!$A:$A,0))-'ZIP Coordinates'!$D$2))))),"N/A")</f>
        <v>175.36797212753649</v>
      </c>
    </row>
    <row r="181" spans="1:6" x14ac:dyDescent="0.2">
      <c r="A181" s="3" t="s">
        <v>12</v>
      </c>
      <c r="B181" s="3" t="s">
        <v>255</v>
      </c>
      <c r="C181" s="3" t="s">
        <v>256</v>
      </c>
      <c r="D181" s="3" t="s">
        <v>101</v>
      </c>
      <c r="E181" s="28">
        <f>SUMIFS('Raw Data'!$I$2:$I$878,'Raw Data'!$A$2:$A$878,$A181,'Raw Data'!$B$2:$B$878,$B181,'Raw Data'!$D$2:$D$878,$D181)</f>
        <v>260</v>
      </c>
      <c r="F181" s="5">
        <f>IFERROR(3958.8*ACOS(MIN(1,MAX(-1,SIN(RADIANS('ZIP Coordinates'!$C$2))*SIN(RADIANS(INDEX('ZIP Coordinates'!$C:$C,MATCH($A181,'ZIP Coordinates'!$A:$A,0))))+COS(RADIANS('ZIP Coordinates'!$C$2))*COS(RADIANS(INDEX('ZIP Coordinates'!$C:$C,MATCH($A181,'ZIP Coordinates'!$A:$A,0))))*COS(RADIANS(INDEX('ZIP Coordinates'!$D:$D,MATCH($A181,'ZIP Coordinates'!$A:$A,0))-'ZIP Coordinates'!$D$2))))),"N/A")</f>
        <v>175.36797212753649</v>
      </c>
    </row>
    <row r="182" spans="1:6" x14ac:dyDescent="0.2">
      <c r="A182" s="3" t="s">
        <v>12</v>
      </c>
      <c r="B182" s="3" t="s">
        <v>257</v>
      </c>
      <c r="C182" s="3" t="s">
        <v>256</v>
      </c>
      <c r="D182" s="3" t="s">
        <v>184</v>
      </c>
      <c r="E182" s="28">
        <f>SUMIFS('Raw Data'!$I$2:$I$878,'Raw Data'!$A$2:$A$878,$A182,'Raw Data'!$B$2:$B$878,$B182,'Raw Data'!$D$2:$D$878,$D182)</f>
        <v>4</v>
      </c>
      <c r="F182" s="5">
        <f>IFERROR(3958.8*ACOS(MIN(1,MAX(-1,SIN(RADIANS('ZIP Coordinates'!$C$2))*SIN(RADIANS(INDEX('ZIP Coordinates'!$C:$C,MATCH($A182,'ZIP Coordinates'!$A:$A,0))))+COS(RADIANS('ZIP Coordinates'!$C$2))*COS(RADIANS(INDEX('ZIP Coordinates'!$C:$C,MATCH($A182,'ZIP Coordinates'!$A:$A,0))))*COS(RADIANS(INDEX('ZIP Coordinates'!$D:$D,MATCH($A182,'ZIP Coordinates'!$A:$A,0))-'ZIP Coordinates'!$D$2))))),"N/A")</f>
        <v>175.36797212753649</v>
      </c>
    </row>
    <row r="183" spans="1:6" x14ac:dyDescent="0.2">
      <c r="A183" s="3" t="s">
        <v>13</v>
      </c>
      <c r="B183" s="3" t="s">
        <v>270</v>
      </c>
      <c r="C183" s="3" t="s">
        <v>242</v>
      </c>
      <c r="D183" s="3" t="s">
        <v>221</v>
      </c>
      <c r="E183" s="28">
        <f>SUMIFS('Raw Data'!$I$2:$I$878,'Raw Data'!$A$2:$A$878,$A183,'Raw Data'!$B$2:$B$878,$B183,'Raw Data'!$D$2:$D$878,$D183)</f>
        <v>9</v>
      </c>
      <c r="F183" s="5">
        <f>IFERROR(3958.8*ACOS(MIN(1,MAX(-1,SIN(RADIANS('ZIP Coordinates'!$C$2))*SIN(RADIANS(INDEX('ZIP Coordinates'!$C:$C,MATCH($A183,'ZIP Coordinates'!$A:$A,0))))+COS(RADIANS('ZIP Coordinates'!$C$2))*COS(RADIANS(INDEX('ZIP Coordinates'!$C:$C,MATCH($A183,'ZIP Coordinates'!$A:$A,0))))*COS(RADIANS(INDEX('ZIP Coordinates'!$D:$D,MATCH($A183,'ZIP Coordinates'!$A:$A,0))-'ZIP Coordinates'!$D$2))))),"N/A")</f>
        <v>188.62928727380364</v>
      </c>
    </row>
    <row r="184" spans="1:6" x14ac:dyDescent="0.2">
      <c r="A184" s="3" t="s">
        <v>14</v>
      </c>
      <c r="B184" s="3" t="s">
        <v>239</v>
      </c>
      <c r="C184" s="3" t="s">
        <v>240</v>
      </c>
      <c r="D184" s="3" t="s">
        <v>126</v>
      </c>
      <c r="E184" s="28">
        <f>SUMIFS('Raw Data'!$I$2:$I$878,'Raw Data'!$A$2:$A$878,$A184,'Raw Data'!$B$2:$B$878,$B184,'Raw Data'!$D$2:$D$878,$D184)</f>
        <v>32</v>
      </c>
      <c r="F184" s="5">
        <f>IFERROR(3958.8*ACOS(MIN(1,MAX(-1,SIN(RADIANS('ZIP Coordinates'!$C$2))*SIN(RADIANS(INDEX('ZIP Coordinates'!$C:$C,MATCH($A184,'ZIP Coordinates'!$A:$A,0))))+COS(RADIANS('ZIP Coordinates'!$C$2))*COS(RADIANS(INDEX('ZIP Coordinates'!$C:$C,MATCH($A184,'ZIP Coordinates'!$A:$A,0))))*COS(RADIANS(INDEX('ZIP Coordinates'!$D:$D,MATCH($A184,'ZIP Coordinates'!$A:$A,0))-'ZIP Coordinates'!$D$2))))),"N/A")</f>
        <v>188.5979879790994</v>
      </c>
    </row>
    <row r="185" spans="1:6" x14ac:dyDescent="0.2">
      <c r="A185" s="3" t="s">
        <v>14</v>
      </c>
      <c r="B185" s="3" t="s">
        <v>261</v>
      </c>
      <c r="C185" s="3" t="s">
        <v>260</v>
      </c>
      <c r="D185" s="3" t="s">
        <v>126</v>
      </c>
      <c r="E185" s="28">
        <f>SUMIFS('Raw Data'!$I$2:$I$878,'Raw Data'!$A$2:$A$878,$A185,'Raw Data'!$B$2:$B$878,$B185,'Raw Data'!$D$2:$D$878,$D185)</f>
        <v>34</v>
      </c>
      <c r="F185" s="5">
        <f>IFERROR(3958.8*ACOS(MIN(1,MAX(-1,SIN(RADIANS('ZIP Coordinates'!$C$2))*SIN(RADIANS(INDEX('ZIP Coordinates'!$C:$C,MATCH($A185,'ZIP Coordinates'!$A:$A,0))))+COS(RADIANS('ZIP Coordinates'!$C$2))*COS(RADIANS(INDEX('ZIP Coordinates'!$C:$C,MATCH($A185,'ZIP Coordinates'!$A:$A,0))))*COS(RADIANS(INDEX('ZIP Coordinates'!$D:$D,MATCH($A185,'ZIP Coordinates'!$A:$A,0))-'ZIP Coordinates'!$D$2))))),"N/A")</f>
        <v>188.5979879790994</v>
      </c>
    </row>
    <row r="186" spans="1:6" x14ac:dyDescent="0.2">
      <c r="A186" s="3" t="s">
        <v>14</v>
      </c>
      <c r="B186" s="3" t="s">
        <v>241</v>
      </c>
      <c r="C186" s="3" t="s">
        <v>242</v>
      </c>
      <c r="D186" s="3" t="s">
        <v>126</v>
      </c>
      <c r="E186" s="28">
        <f>SUMIFS('Raw Data'!$I$2:$I$878,'Raw Data'!$A$2:$A$878,$A186,'Raw Data'!$B$2:$B$878,$B186,'Raw Data'!$D$2:$D$878,$D186)</f>
        <v>7</v>
      </c>
      <c r="F186" s="5">
        <f>IFERROR(3958.8*ACOS(MIN(1,MAX(-1,SIN(RADIANS('ZIP Coordinates'!$C$2))*SIN(RADIANS(INDEX('ZIP Coordinates'!$C:$C,MATCH($A186,'ZIP Coordinates'!$A:$A,0))))+COS(RADIANS('ZIP Coordinates'!$C$2))*COS(RADIANS(INDEX('ZIP Coordinates'!$C:$C,MATCH($A186,'ZIP Coordinates'!$A:$A,0))))*COS(RADIANS(INDEX('ZIP Coordinates'!$D:$D,MATCH($A186,'ZIP Coordinates'!$A:$A,0))-'ZIP Coordinates'!$D$2))))),"N/A")</f>
        <v>188.5979879790994</v>
      </c>
    </row>
    <row r="187" spans="1:6" x14ac:dyDescent="0.2">
      <c r="A187" s="3" t="s">
        <v>14</v>
      </c>
      <c r="B187" s="3" t="s">
        <v>243</v>
      </c>
      <c r="C187" s="3" t="s">
        <v>244</v>
      </c>
      <c r="D187" s="3" t="s">
        <v>126</v>
      </c>
      <c r="E187" s="28">
        <f>SUMIFS('Raw Data'!$I$2:$I$878,'Raw Data'!$A$2:$A$878,$A187,'Raw Data'!$B$2:$B$878,$B187,'Raw Data'!$D$2:$D$878,$D187)</f>
        <v>9</v>
      </c>
      <c r="F187" s="5">
        <f>IFERROR(3958.8*ACOS(MIN(1,MAX(-1,SIN(RADIANS('ZIP Coordinates'!$C$2))*SIN(RADIANS(INDEX('ZIP Coordinates'!$C:$C,MATCH($A187,'ZIP Coordinates'!$A:$A,0))))+COS(RADIANS('ZIP Coordinates'!$C$2))*COS(RADIANS(INDEX('ZIP Coordinates'!$C:$C,MATCH($A187,'ZIP Coordinates'!$A:$A,0))))*COS(RADIANS(INDEX('ZIP Coordinates'!$D:$D,MATCH($A187,'ZIP Coordinates'!$A:$A,0))-'ZIP Coordinates'!$D$2))))),"N/A")</f>
        <v>188.5979879790994</v>
      </c>
    </row>
    <row r="188" spans="1:6" x14ac:dyDescent="0.2">
      <c r="A188" s="3" t="s">
        <v>14</v>
      </c>
      <c r="B188" s="3" t="s">
        <v>276</v>
      </c>
      <c r="C188" s="3" t="s">
        <v>275</v>
      </c>
      <c r="D188" s="3" t="s">
        <v>126</v>
      </c>
      <c r="E188" s="28">
        <f>SUMIFS('Raw Data'!$I$2:$I$878,'Raw Data'!$A$2:$A$878,$A188,'Raw Data'!$B$2:$B$878,$B188,'Raw Data'!$D$2:$D$878,$D188)</f>
        <v>31</v>
      </c>
      <c r="F188" s="5">
        <f>IFERROR(3958.8*ACOS(MIN(1,MAX(-1,SIN(RADIANS('ZIP Coordinates'!$C$2))*SIN(RADIANS(INDEX('ZIP Coordinates'!$C:$C,MATCH($A188,'ZIP Coordinates'!$A:$A,0))))+COS(RADIANS('ZIP Coordinates'!$C$2))*COS(RADIANS(INDEX('ZIP Coordinates'!$C:$C,MATCH($A188,'ZIP Coordinates'!$A:$A,0))))*COS(RADIANS(INDEX('ZIP Coordinates'!$D:$D,MATCH($A188,'ZIP Coordinates'!$A:$A,0))-'ZIP Coordinates'!$D$2))))),"N/A")</f>
        <v>188.5979879790994</v>
      </c>
    </row>
    <row r="189" spans="1:6" x14ac:dyDescent="0.2">
      <c r="A189" s="3" t="s">
        <v>14</v>
      </c>
      <c r="B189" s="3" t="s">
        <v>247</v>
      </c>
      <c r="C189" s="3" t="s">
        <v>246</v>
      </c>
      <c r="D189" s="3" t="s">
        <v>126</v>
      </c>
      <c r="E189" s="28">
        <f>SUMIFS('Raw Data'!$I$2:$I$878,'Raw Data'!$A$2:$A$878,$A189,'Raw Data'!$B$2:$B$878,$B189,'Raw Data'!$D$2:$D$878,$D189)</f>
        <v>12</v>
      </c>
      <c r="F189" s="5">
        <f>IFERROR(3958.8*ACOS(MIN(1,MAX(-1,SIN(RADIANS('ZIP Coordinates'!$C$2))*SIN(RADIANS(INDEX('ZIP Coordinates'!$C:$C,MATCH($A189,'ZIP Coordinates'!$A:$A,0))))+COS(RADIANS('ZIP Coordinates'!$C$2))*COS(RADIANS(INDEX('ZIP Coordinates'!$C:$C,MATCH($A189,'ZIP Coordinates'!$A:$A,0))))*COS(RADIANS(INDEX('ZIP Coordinates'!$D:$D,MATCH($A189,'ZIP Coordinates'!$A:$A,0))-'ZIP Coordinates'!$D$2))))),"N/A")</f>
        <v>188.5979879790994</v>
      </c>
    </row>
    <row r="190" spans="1:6" x14ac:dyDescent="0.2">
      <c r="A190" s="3" t="s">
        <v>14</v>
      </c>
      <c r="B190" s="3" t="s">
        <v>250</v>
      </c>
      <c r="C190" s="3" t="s">
        <v>249</v>
      </c>
      <c r="D190" s="3" t="s">
        <v>126</v>
      </c>
      <c r="E190" s="28">
        <f>SUMIFS('Raw Data'!$I$2:$I$878,'Raw Data'!$A$2:$A$878,$A190,'Raw Data'!$B$2:$B$878,$B190,'Raw Data'!$D$2:$D$878,$D190)</f>
        <v>19</v>
      </c>
      <c r="F190" s="5">
        <f>IFERROR(3958.8*ACOS(MIN(1,MAX(-1,SIN(RADIANS('ZIP Coordinates'!$C$2))*SIN(RADIANS(INDEX('ZIP Coordinates'!$C:$C,MATCH($A190,'ZIP Coordinates'!$A:$A,0))))+COS(RADIANS('ZIP Coordinates'!$C$2))*COS(RADIANS(INDEX('ZIP Coordinates'!$C:$C,MATCH($A190,'ZIP Coordinates'!$A:$A,0))))*COS(RADIANS(INDEX('ZIP Coordinates'!$D:$D,MATCH($A190,'ZIP Coordinates'!$A:$A,0))-'ZIP Coordinates'!$D$2))))),"N/A")</f>
        <v>188.5979879790994</v>
      </c>
    </row>
    <row r="191" spans="1:6" x14ac:dyDescent="0.2">
      <c r="A191" s="3" t="s">
        <v>14</v>
      </c>
      <c r="B191" s="3" t="s">
        <v>251</v>
      </c>
      <c r="C191" s="3" t="s">
        <v>252</v>
      </c>
      <c r="D191" s="3" t="s">
        <v>126</v>
      </c>
      <c r="E191" s="28">
        <f>SUMIFS('Raw Data'!$I$2:$I$878,'Raw Data'!$A$2:$A$878,$A191,'Raw Data'!$B$2:$B$878,$B191,'Raw Data'!$D$2:$D$878,$D191)</f>
        <v>24</v>
      </c>
      <c r="F191" s="5">
        <f>IFERROR(3958.8*ACOS(MIN(1,MAX(-1,SIN(RADIANS('ZIP Coordinates'!$C$2))*SIN(RADIANS(INDEX('ZIP Coordinates'!$C:$C,MATCH($A191,'ZIP Coordinates'!$A:$A,0))))+COS(RADIANS('ZIP Coordinates'!$C$2))*COS(RADIANS(INDEX('ZIP Coordinates'!$C:$C,MATCH($A191,'ZIP Coordinates'!$A:$A,0))))*COS(RADIANS(INDEX('ZIP Coordinates'!$D:$D,MATCH($A191,'ZIP Coordinates'!$A:$A,0))-'ZIP Coordinates'!$D$2))))),"N/A")</f>
        <v>188.5979879790994</v>
      </c>
    </row>
    <row r="192" spans="1:6" x14ac:dyDescent="0.2">
      <c r="A192" s="3" t="s">
        <v>14</v>
      </c>
      <c r="B192" s="3" t="s">
        <v>282</v>
      </c>
      <c r="C192" s="3" t="s">
        <v>283</v>
      </c>
      <c r="D192" s="3" t="s">
        <v>126</v>
      </c>
      <c r="E192" s="28">
        <f>SUMIFS('Raw Data'!$I$2:$I$878,'Raw Data'!$A$2:$A$878,$A192,'Raw Data'!$B$2:$B$878,$B192,'Raw Data'!$D$2:$D$878,$D192)</f>
        <v>2</v>
      </c>
      <c r="F192" s="5">
        <f>IFERROR(3958.8*ACOS(MIN(1,MAX(-1,SIN(RADIANS('ZIP Coordinates'!$C$2))*SIN(RADIANS(INDEX('ZIP Coordinates'!$C:$C,MATCH($A192,'ZIP Coordinates'!$A:$A,0))))+COS(RADIANS('ZIP Coordinates'!$C$2))*COS(RADIANS(INDEX('ZIP Coordinates'!$C:$C,MATCH($A192,'ZIP Coordinates'!$A:$A,0))))*COS(RADIANS(INDEX('ZIP Coordinates'!$D:$D,MATCH($A192,'ZIP Coordinates'!$A:$A,0))-'ZIP Coordinates'!$D$2))))),"N/A")</f>
        <v>188.5979879790994</v>
      </c>
    </row>
    <row r="193" spans="1:6" x14ac:dyDescent="0.2">
      <c r="A193" s="3" t="s">
        <v>14</v>
      </c>
      <c r="B193" s="3" t="s">
        <v>284</v>
      </c>
      <c r="C193" s="3" t="s">
        <v>285</v>
      </c>
      <c r="D193" s="3" t="s">
        <v>126</v>
      </c>
      <c r="E193" s="28">
        <f>SUMIFS('Raw Data'!$I$2:$I$878,'Raw Data'!$A$2:$A$878,$A193,'Raw Data'!$B$2:$B$878,$B193,'Raw Data'!$D$2:$D$878,$D193)</f>
        <v>7</v>
      </c>
      <c r="F193" s="5">
        <f>IFERROR(3958.8*ACOS(MIN(1,MAX(-1,SIN(RADIANS('ZIP Coordinates'!$C$2))*SIN(RADIANS(INDEX('ZIP Coordinates'!$C:$C,MATCH($A193,'ZIP Coordinates'!$A:$A,0))))+COS(RADIANS('ZIP Coordinates'!$C$2))*COS(RADIANS(INDEX('ZIP Coordinates'!$C:$C,MATCH($A193,'ZIP Coordinates'!$A:$A,0))))*COS(RADIANS(INDEX('ZIP Coordinates'!$D:$D,MATCH($A193,'ZIP Coordinates'!$A:$A,0))-'ZIP Coordinates'!$D$2))))),"N/A")</f>
        <v>188.5979879790994</v>
      </c>
    </row>
    <row r="194" spans="1:6" x14ac:dyDescent="0.2">
      <c r="A194" s="3" t="s">
        <v>14</v>
      </c>
      <c r="B194" s="3" t="s">
        <v>257</v>
      </c>
      <c r="C194" s="3" t="s">
        <v>256</v>
      </c>
      <c r="D194" s="3" t="s">
        <v>126</v>
      </c>
      <c r="E194" s="28">
        <f>SUMIFS('Raw Data'!$I$2:$I$878,'Raw Data'!$A$2:$A$878,$A194,'Raw Data'!$B$2:$B$878,$B194,'Raw Data'!$D$2:$D$878,$D194)</f>
        <v>100</v>
      </c>
      <c r="F194" s="5">
        <f>IFERROR(3958.8*ACOS(MIN(1,MAX(-1,SIN(RADIANS('ZIP Coordinates'!$C$2))*SIN(RADIANS(INDEX('ZIP Coordinates'!$C:$C,MATCH($A194,'ZIP Coordinates'!$A:$A,0))))+COS(RADIANS('ZIP Coordinates'!$C$2))*COS(RADIANS(INDEX('ZIP Coordinates'!$C:$C,MATCH($A194,'ZIP Coordinates'!$A:$A,0))))*COS(RADIANS(INDEX('ZIP Coordinates'!$D:$D,MATCH($A194,'ZIP Coordinates'!$A:$A,0))-'ZIP Coordinates'!$D$2))))),"N/A")</f>
        <v>188.5979879790994</v>
      </c>
    </row>
    <row r="195" spans="1:6" x14ac:dyDescent="0.2">
      <c r="A195" s="3" t="s">
        <v>15</v>
      </c>
      <c r="B195" s="3" t="s">
        <v>258</v>
      </c>
      <c r="C195" s="3" t="s">
        <v>240</v>
      </c>
      <c r="D195" s="3" t="s">
        <v>128</v>
      </c>
      <c r="E195" s="28">
        <f>SUMIFS('Raw Data'!$I$2:$I$878,'Raw Data'!$A$2:$A$878,$A195,'Raw Data'!$B$2:$B$878,$B195,'Raw Data'!$D$2:$D$878,$D195)</f>
        <v>20</v>
      </c>
      <c r="F195" s="5">
        <f>IFERROR(3958.8*ACOS(MIN(1,MAX(-1,SIN(RADIANS('ZIP Coordinates'!$C$2))*SIN(RADIANS(INDEX('ZIP Coordinates'!$C:$C,MATCH($A195,'ZIP Coordinates'!$A:$A,0))))+COS(RADIANS('ZIP Coordinates'!$C$2))*COS(RADIANS(INDEX('ZIP Coordinates'!$C:$C,MATCH($A195,'ZIP Coordinates'!$A:$A,0))))*COS(RADIANS(INDEX('ZIP Coordinates'!$D:$D,MATCH($A195,'ZIP Coordinates'!$A:$A,0))-'ZIP Coordinates'!$D$2))))),"N/A")</f>
        <v>173.39844145979413</v>
      </c>
    </row>
    <row r="196" spans="1:6" x14ac:dyDescent="0.2">
      <c r="A196" s="3" t="s">
        <v>15</v>
      </c>
      <c r="B196" s="3" t="s">
        <v>239</v>
      </c>
      <c r="C196" s="3" t="s">
        <v>240</v>
      </c>
      <c r="D196" s="3" t="s">
        <v>93</v>
      </c>
      <c r="E196" s="28">
        <f>SUMIFS('Raw Data'!$I$2:$I$878,'Raw Data'!$A$2:$A$878,$A196,'Raw Data'!$B$2:$B$878,$B196,'Raw Data'!$D$2:$D$878,$D196)</f>
        <v>50</v>
      </c>
      <c r="F196" s="5">
        <f>IFERROR(3958.8*ACOS(MIN(1,MAX(-1,SIN(RADIANS('ZIP Coordinates'!$C$2))*SIN(RADIANS(INDEX('ZIP Coordinates'!$C:$C,MATCH($A196,'ZIP Coordinates'!$A:$A,0))))+COS(RADIANS('ZIP Coordinates'!$C$2))*COS(RADIANS(INDEX('ZIP Coordinates'!$C:$C,MATCH($A196,'ZIP Coordinates'!$A:$A,0))))*COS(RADIANS(INDEX('ZIP Coordinates'!$D:$D,MATCH($A196,'ZIP Coordinates'!$A:$A,0))-'ZIP Coordinates'!$D$2))))),"N/A")</f>
        <v>173.39844145979413</v>
      </c>
    </row>
    <row r="197" spans="1:6" x14ac:dyDescent="0.2">
      <c r="A197" s="3" t="s">
        <v>15</v>
      </c>
      <c r="B197" s="3" t="s">
        <v>239</v>
      </c>
      <c r="C197" s="3" t="s">
        <v>240</v>
      </c>
      <c r="D197" s="3" t="s">
        <v>128</v>
      </c>
      <c r="E197" s="28">
        <f>SUMIFS('Raw Data'!$I$2:$I$878,'Raw Data'!$A$2:$A$878,$A197,'Raw Data'!$B$2:$B$878,$B197,'Raw Data'!$D$2:$D$878,$D197)</f>
        <v>9</v>
      </c>
      <c r="F197" s="5">
        <f>IFERROR(3958.8*ACOS(MIN(1,MAX(-1,SIN(RADIANS('ZIP Coordinates'!$C$2))*SIN(RADIANS(INDEX('ZIP Coordinates'!$C:$C,MATCH($A197,'ZIP Coordinates'!$A:$A,0))))+COS(RADIANS('ZIP Coordinates'!$C$2))*COS(RADIANS(INDEX('ZIP Coordinates'!$C:$C,MATCH($A197,'ZIP Coordinates'!$A:$A,0))))*COS(RADIANS(INDEX('ZIP Coordinates'!$D:$D,MATCH($A197,'ZIP Coordinates'!$A:$A,0))-'ZIP Coordinates'!$D$2))))),"N/A")</f>
        <v>173.39844145979413</v>
      </c>
    </row>
    <row r="198" spans="1:6" x14ac:dyDescent="0.2">
      <c r="A198" s="3" t="s">
        <v>15</v>
      </c>
      <c r="B198" s="3" t="s">
        <v>259</v>
      </c>
      <c r="C198" s="3" t="s">
        <v>260</v>
      </c>
      <c r="D198" s="3" t="s">
        <v>93</v>
      </c>
      <c r="E198" s="28">
        <f>SUMIFS('Raw Data'!$I$2:$I$878,'Raw Data'!$A$2:$A$878,$A198,'Raw Data'!$B$2:$B$878,$B198,'Raw Data'!$D$2:$D$878,$D198)</f>
        <v>60</v>
      </c>
      <c r="F198" s="5">
        <f>IFERROR(3958.8*ACOS(MIN(1,MAX(-1,SIN(RADIANS('ZIP Coordinates'!$C$2))*SIN(RADIANS(INDEX('ZIP Coordinates'!$C:$C,MATCH($A198,'ZIP Coordinates'!$A:$A,0))))+COS(RADIANS('ZIP Coordinates'!$C$2))*COS(RADIANS(INDEX('ZIP Coordinates'!$C:$C,MATCH($A198,'ZIP Coordinates'!$A:$A,0))))*COS(RADIANS(INDEX('ZIP Coordinates'!$D:$D,MATCH($A198,'ZIP Coordinates'!$A:$A,0))-'ZIP Coordinates'!$D$2))))),"N/A")</f>
        <v>173.39844145979413</v>
      </c>
    </row>
    <row r="199" spans="1:6" x14ac:dyDescent="0.2">
      <c r="A199" s="3" t="s">
        <v>15</v>
      </c>
      <c r="B199" s="3" t="s">
        <v>259</v>
      </c>
      <c r="C199" s="3" t="s">
        <v>260</v>
      </c>
      <c r="D199" s="3" t="s">
        <v>128</v>
      </c>
      <c r="E199" s="28">
        <f>SUMIFS('Raw Data'!$I$2:$I$878,'Raw Data'!$A$2:$A$878,$A199,'Raw Data'!$B$2:$B$878,$B199,'Raw Data'!$D$2:$D$878,$D199)</f>
        <v>16</v>
      </c>
      <c r="F199" s="5">
        <f>IFERROR(3958.8*ACOS(MIN(1,MAX(-1,SIN(RADIANS('ZIP Coordinates'!$C$2))*SIN(RADIANS(INDEX('ZIP Coordinates'!$C:$C,MATCH($A199,'ZIP Coordinates'!$A:$A,0))))+COS(RADIANS('ZIP Coordinates'!$C$2))*COS(RADIANS(INDEX('ZIP Coordinates'!$C:$C,MATCH($A199,'ZIP Coordinates'!$A:$A,0))))*COS(RADIANS(INDEX('ZIP Coordinates'!$D:$D,MATCH($A199,'ZIP Coordinates'!$A:$A,0))-'ZIP Coordinates'!$D$2))))),"N/A")</f>
        <v>173.39844145979413</v>
      </c>
    </row>
    <row r="200" spans="1:6" x14ac:dyDescent="0.2">
      <c r="A200" s="3" t="s">
        <v>15</v>
      </c>
      <c r="B200" s="3" t="s">
        <v>261</v>
      </c>
      <c r="C200" s="3" t="s">
        <v>260</v>
      </c>
      <c r="D200" s="3" t="s">
        <v>93</v>
      </c>
      <c r="E200" s="28">
        <f>SUMIFS('Raw Data'!$I$2:$I$878,'Raw Data'!$A$2:$A$878,$A200,'Raw Data'!$B$2:$B$878,$B200,'Raw Data'!$D$2:$D$878,$D200)</f>
        <v>15</v>
      </c>
      <c r="F200" s="5">
        <f>IFERROR(3958.8*ACOS(MIN(1,MAX(-1,SIN(RADIANS('ZIP Coordinates'!$C$2))*SIN(RADIANS(INDEX('ZIP Coordinates'!$C:$C,MATCH($A200,'ZIP Coordinates'!$A:$A,0))))+COS(RADIANS('ZIP Coordinates'!$C$2))*COS(RADIANS(INDEX('ZIP Coordinates'!$C:$C,MATCH($A200,'ZIP Coordinates'!$A:$A,0))))*COS(RADIANS(INDEX('ZIP Coordinates'!$D:$D,MATCH($A200,'ZIP Coordinates'!$A:$A,0))-'ZIP Coordinates'!$D$2))))),"N/A")</f>
        <v>173.39844145979413</v>
      </c>
    </row>
    <row r="201" spans="1:6" x14ac:dyDescent="0.2">
      <c r="A201" s="3" t="s">
        <v>15</v>
      </c>
      <c r="B201" s="3" t="s">
        <v>261</v>
      </c>
      <c r="C201" s="3" t="s">
        <v>260</v>
      </c>
      <c r="D201" s="3" t="s">
        <v>128</v>
      </c>
      <c r="E201" s="28">
        <f>SUMIFS('Raw Data'!$I$2:$I$878,'Raw Data'!$A$2:$A$878,$A201,'Raw Data'!$B$2:$B$878,$B201,'Raw Data'!$D$2:$D$878,$D201)</f>
        <v>8</v>
      </c>
      <c r="F201" s="5">
        <f>IFERROR(3958.8*ACOS(MIN(1,MAX(-1,SIN(RADIANS('ZIP Coordinates'!$C$2))*SIN(RADIANS(INDEX('ZIP Coordinates'!$C:$C,MATCH($A201,'ZIP Coordinates'!$A:$A,0))))+COS(RADIANS('ZIP Coordinates'!$C$2))*COS(RADIANS(INDEX('ZIP Coordinates'!$C:$C,MATCH($A201,'ZIP Coordinates'!$A:$A,0))))*COS(RADIANS(INDEX('ZIP Coordinates'!$D:$D,MATCH($A201,'ZIP Coordinates'!$A:$A,0))-'ZIP Coordinates'!$D$2))))),"N/A")</f>
        <v>173.39844145979413</v>
      </c>
    </row>
    <row r="202" spans="1:6" x14ac:dyDescent="0.2">
      <c r="A202" s="3" t="s">
        <v>15</v>
      </c>
      <c r="B202" s="3" t="s">
        <v>270</v>
      </c>
      <c r="C202" s="3" t="s">
        <v>242</v>
      </c>
      <c r="D202" s="3" t="s">
        <v>128</v>
      </c>
      <c r="E202" s="28">
        <f>SUMIFS('Raw Data'!$I$2:$I$878,'Raw Data'!$A$2:$A$878,$A202,'Raw Data'!$B$2:$B$878,$B202,'Raw Data'!$D$2:$D$878,$D202)</f>
        <v>9</v>
      </c>
      <c r="F202" s="5">
        <f>IFERROR(3958.8*ACOS(MIN(1,MAX(-1,SIN(RADIANS('ZIP Coordinates'!$C$2))*SIN(RADIANS(INDEX('ZIP Coordinates'!$C:$C,MATCH($A202,'ZIP Coordinates'!$A:$A,0))))+COS(RADIANS('ZIP Coordinates'!$C$2))*COS(RADIANS(INDEX('ZIP Coordinates'!$C:$C,MATCH($A202,'ZIP Coordinates'!$A:$A,0))))*COS(RADIANS(INDEX('ZIP Coordinates'!$D:$D,MATCH($A202,'ZIP Coordinates'!$A:$A,0))-'ZIP Coordinates'!$D$2))))),"N/A")</f>
        <v>173.39844145979413</v>
      </c>
    </row>
    <row r="203" spans="1:6" x14ac:dyDescent="0.2">
      <c r="A203" s="3" t="s">
        <v>15</v>
      </c>
      <c r="B203" s="3" t="s">
        <v>241</v>
      </c>
      <c r="C203" s="3" t="s">
        <v>242</v>
      </c>
      <c r="D203" s="3" t="s">
        <v>93</v>
      </c>
      <c r="E203" s="28">
        <f>SUMIFS('Raw Data'!$I$2:$I$878,'Raw Data'!$A$2:$A$878,$A203,'Raw Data'!$B$2:$B$878,$B203,'Raw Data'!$D$2:$D$878,$D203)</f>
        <v>47</v>
      </c>
      <c r="F203" s="5">
        <f>IFERROR(3958.8*ACOS(MIN(1,MAX(-1,SIN(RADIANS('ZIP Coordinates'!$C$2))*SIN(RADIANS(INDEX('ZIP Coordinates'!$C:$C,MATCH($A203,'ZIP Coordinates'!$A:$A,0))))+COS(RADIANS('ZIP Coordinates'!$C$2))*COS(RADIANS(INDEX('ZIP Coordinates'!$C:$C,MATCH($A203,'ZIP Coordinates'!$A:$A,0))))*COS(RADIANS(INDEX('ZIP Coordinates'!$D:$D,MATCH($A203,'ZIP Coordinates'!$A:$A,0))-'ZIP Coordinates'!$D$2))))),"N/A")</f>
        <v>173.39844145979413</v>
      </c>
    </row>
    <row r="204" spans="1:6" x14ac:dyDescent="0.2">
      <c r="A204" s="3" t="s">
        <v>15</v>
      </c>
      <c r="B204" s="3" t="s">
        <v>241</v>
      </c>
      <c r="C204" s="3" t="s">
        <v>242</v>
      </c>
      <c r="D204" s="3" t="s">
        <v>128</v>
      </c>
      <c r="E204" s="28">
        <f>SUMIFS('Raw Data'!$I$2:$I$878,'Raw Data'!$A$2:$A$878,$A204,'Raw Data'!$B$2:$B$878,$B204,'Raw Data'!$D$2:$D$878,$D204)</f>
        <v>24</v>
      </c>
      <c r="F204" s="5">
        <f>IFERROR(3958.8*ACOS(MIN(1,MAX(-1,SIN(RADIANS('ZIP Coordinates'!$C$2))*SIN(RADIANS(INDEX('ZIP Coordinates'!$C:$C,MATCH($A204,'ZIP Coordinates'!$A:$A,0))))+COS(RADIANS('ZIP Coordinates'!$C$2))*COS(RADIANS(INDEX('ZIP Coordinates'!$C:$C,MATCH($A204,'ZIP Coordinates'!$A:$A,0))))*COS(RADIANS(INDEX('ZIP Coordinates'!$D:$D,MATCH($A204,'ZIP Coordinates'!$A:$A,0))-'ZIP Coordinates'!$D$2))))),"N/A")</f>
        <v>173.39844145979413</v>
      </c>
    </row>
    <row r="205" spans="1:6" x14ac:dyDescent="0.2">
      <c r="A205" s="3" t="s">
        <v>15</v>
      </c>
      <c r="B205" s="3" t="s">
        <v>243</v>
      </c>
      <c r="C205" s="3" t="s">
        <v>244</v>
      </c>
      <c r="D205" s="3" t="s">
        <v>93</v>
      </c>
      <c r="E205" s="28">
        <f>SUMIFS('Raw Data'!$I$2:$I$878,'Raw Data'!$A$2:$A$878,$A205,'Raw Data'!$B$2:$B$878,$B205,'Raw Data'!$D$2:$D$878,$D205)</f>
        <v>45</v>
      </c>
      <c r="F205" s="5">
        <f>IFERROR(3958.8*ACOS(MIN(1,MAX(-1,SIN(RADIANS('ZIP Coordinates'!$C$2))*SIN(RADIANS(INDEX('ZIP Coordinates'!$C:$C,MATCH($A205,'ZIP Coordinates'!$A:$A,0))))+COS(RADIANS('ZIP Coordinates'!$C$2))*COS(RADIANS(INDEX('ZIP Coordinates'!$C:$C,MATCH($A205,'ZIP Coordinates'!$A:$A,0))))*COS(RADIANS(INDEX('ZIP Coordinates'!$D:$D,MATCH($A205,'ZIP Coordinates'!$A:$A,0))-'ZIP Coordinates'!$D$2))))),"N/A")</f>
        <v>173.39844145979413</v>
      </c>
    </row>
    <row r="206" spans="1:6" x14ac:dyDescent="0.2">
      <c r="A206" s="3" t="s">
        <v>15</v>
      </c>
      <c r="B206" s="3" t="s">
        <v>243</v>
      </c>
      <c r="C206" s="3" t="s">
        <v>244</v>
      </c>
      <c r="D206" s="3" t="s">
        <v>128</v>
      </c>
      <c r="E206" s="28">
        <f>SUMIFS('Raw Data'!$I$2:$I$878,'Raw Data'!$A$2:$A$878,$A206,'Raw Data'!$B$2:$B$878,$B206,'Raw Data'!$D$2:$D$878,$D206)</f>
        <v>30</v>
      </c>
      <c r="F206" s="5">
        <f>IFERROR(3958.8*ACOS(MIN(1,MAX(-1,SIN(RADIANS('ZIP Coordinates'!$C$2))*SIN(RADIANS(INDEX('ZIP Coordinates'!$C:$C,MATCH($A206,'ZIP Coordinates'!$A:$A,0))))+COS(RADIANS('ZIP Coordinates'!$C$2))*COS(RADIANS(INDEX('ZIP Coordinates'!$C:$C,MATCH($A206,'ZIP Coordinates'!$A:$A,0))))*COS(RADIANS(INDEX('ZIP Coordinates'!$D:$D,MATCH($A206,'ZIP Coordinates'!$A:$A,0))-'ZIP Coordinates'!$D$2))))),"N/A")</f>
        <v>173.39844145979413</v>
      </c>
    </row>
    <row r="207" spans="1:6" x14ac:dyDescent="0.2">
      <c r="A207" s="3" t="s">
        <v>15</v>
      </c>
      <c r="B207" s="3" t="s">
        <v>276</v>
      </c>
      <c r="C207" s="3" t="s">
        <v>275</v>
      </c>
      <c r="D207" s="3" t="s">
        <v>93</v>
      </c>
      <c r="E207" s="28">
        <f>SUMIFS('Raw Data'!$I$2:$I$878,'Raw Data'!$A$2:$A$878,$A207,'Raw Data'!$B$2:$B$878,$B207,'Raw Data'!$D$2:$D$878,$D207)</f>
        <v>63</v>
      </c>
      <c r="F207" s="5">
        <f>IFERROR(3958.8*ACOS(MIN(1,MAX(-1,SIN(RADIANS('ZIP Coordinates'!$C$2))*SIN(RADIANS(INDEX('ZIP Coordinates'!$C:$C,MATCH($A207,'ZIP Coordinates'!$A:$A,0))))+COS(RADIANS('ZIP Coordinates'!$C$2))*COS(RADIANS(INDEX('ZIP Coordinates'!$C:$C,MATCH($A207,'ZIP Coordinates'!$A:$A,0))))*COS(RADIANS(INDEX('ZIP Coordinates'!$D:$D,MATCH($A207,'ZIP Coordinates'!$A:$A,0))-'ZIP Coordinates'!$D$2))))),"N/A")</f>
        <v>173.39844145979413</v>
      </c>
    </row>
    <row r="208" spans="1:6" x14ac:dyDescent="0.2">
      <c r="A208" s="3" t="s">
        <v>15</v>
      </c>
      <c r="B208" s="3" t="s">
        <v>276</v>
      </c>
      <c r="C208" s="3" t="s">
        <v>275</v>
      </c>
      <c r="D208" s="3" t="s">
        <v>128</v>
      </c>
      <c r="E208" s="28">
        <f>SUMIFS('Raw Data'!$I$2:$I$878,'Raw Data'!$A$2:$A$878,$A208,'Raw Data'!$B$2:$B$878,$B208,'Raw Data'!$D$2:$D$878,$D208)</f>
        <v>28</v>
      </c>
      <c r="F208" s="5">
        <f>IFERROR(3958.8*ACOS(MIN(1,MAX(-1,SIN(RADIANS('ZIP Coordinates'!$C$2))*SIN(RADIANS(INDEX('ZIP Coordinates'!$C:$C,MATCH($A208,'ZIP Coordinates'!$A:$A,0))))+COS(RADIANS('ZIP Coordinates'!$C$2))*COS(RADIANS(INDEX('ZIP Coordinates'!$C:$C,MATCH($A208,'ZIP Coordinates'!$A:$A,0))))*COS(RADIANS(INDEX('ZIP Coordinates'!$D:$D,MATCH($A208,'ZIP Coordinates'!$A:$A,0))-'ZIP Coordinates'!$D$2))))),"N/A")</f>
        <v>173.39844145979413</v>
      </c>
    </row>
    <row r="209" spans="1:6" x14ac:dyDescent="0.2">
      <c r="A209" s="3" t="s">
        <v>15</v>
      </c>
      <c r="B209" s="3" t="s">
        <v>277</v>
      </c>
      <c r="C209" s="3" t="s">
        <v>278</v>
      </c>
      <c r="D209" s="3" t="s">
        <v>93</v>
      </c>
      <c r="E209" s="28">
        <f>SUMIFS('Raw Data'!$I$2:$I$878,'Raw Data'!$A$2:$A$878,$A209,'Raw Data'!$B$2:$B$878,$B209,'Raw Data'!$D$2:$D$878,$D209)</f>
        <v>43</v>
      </c>
      <c r="F209" s="5">
        <f>IFERROR(3958.8*ACOS(MIN(1,MAX(-1,SIN(RADIANS('ZIP Coordinates'!$C$2))*SIN(RADIANS(INDEX('ZIP Coordinates'!$C:$C,MATCH($A209,'ZIP Coordinates'!$A:$A,0))))+COS(RADIANS('ZIP Coordinates'!$C$2))*COS(RADIANS(INDEX('ZIP Coordinates'!$C:$C,MATCH($A209,'ZIP Coordinates'!$A:$A,0))))*COS(RADIANS(INDEX('ZIP Coordinates'!$D:$D,MATCH($A209,'ZIP Coordinates'!$A:$A,0))-'ZIP Coordinates'!$D$2))))),"N/A")</f>
        <v>173.39844145979413</v>
      </c>
    </row>
    <row r="210" spans="1:6" x14ac:dyDescent="0.2">
      <c r="A210" s="3" t="s">
        <v>15</v>
      </c>
      <c r="B210" s="3" t="s">
        <v>279</v>
      </c>
      <c r="C210" s="3" t="s">
        <v>280</v>
      </c>
      <c r="D210" s="3" t="s">
        <v>93</v>
      </c>
      <c r="E210" s="28">
        <f>SUMIFS('Raw Data'!$I$2:$I$878,'Raw Data'!$A$2:$A$878,$A210,'Raw Data'!$B$2:$B$878,$B210,'Raw Data'!$D$2:$D$878,$D210)</f>
        <v>39</v>
      </c>
      <c r="F210" s="5">
        <f>IFERROR(3958.8*ACOS(MIN(1,MAX(-1,SIN(RADIANS('ZIP Coordinates'!$C$2))*SIN(RADIANS(INDEX('ZIP Coordinates'!$C:$C,MATCH($A210,'ZIP Coordinates'!$A:$A,0))))+COS(RADIANS('ZIP Coordinates'!$C$2))*COS(RADIANS(INDEX('ZIP Coordinates'!$C:$C,MATCH($A210,'ZIP Coordinates'!$A:$A,0))))*COS(RADIANS(INDEX('ZIP Coordinates'!$D:$D,MATCH($A210,'ZIP Coordinates'!$A:$A,0))-'ZIP Coordinates'!$D$2))))),"N/A")</f>
        <v>173.39844145979413</v>
      </c>
    </row>
    <row r="211" spans="1:6" x14ac:dyDescent="0.2">
      <c r="A211" s="3" t="s">
        <v>15</v>
      </c>
      <c r="B211" s="3" t="s">
        <v>247</v>
      </c>
      <c r="C211" s="3" t="s">
        <v>246</v>
      </c>
      <c r="D211" s="3" t="s">
        <v>93</v>
      </c>
      <c r="E211" s="28">
        <f>SUMIFS('Raw Data'!$I$2:$I$878,'Raw Data'!$A$2:$A$878,$A211,'Raw Data'!$B$2:$B$878,$B211,'Raw Data'!$D$2:$D$878,$D211)</f>
        <v>56</v>
      </c>
      <c r="F211" s="5">
        <f>IFERROR(3958.8*ACOS(MIN(1,MAX(-1,SIN(RADIANS('ZIP Coordinates'!$C$2))*SIN(RADIANS(INDEX('ZIP Coordinates'!$C:$C,MATCH($A211,'ZIP Coordinates'!$A:$A,0))))+COS(RADIANS('ZIP Coordinates'!$C$2))*COS(RADIANS(INDEX('ZIP Coordinates'!$C:$C,MATCH($A211,'ZIP Coordinates'!$A:$A,0))))*COS(RADIANS(INDEX('ZIP Coordinates'!$D:$D,MATCH($A211,'ZIP Coordinates'!$A:$A,0))-'ZIP Coordinates'!$D$2))))),"N/A")</f>
        <v>173.39844145979413</v>
      </c>
    </row>
    <row r="212" spans="1:6" x14ac:dyDescent="0.2">
      <c r="A212" s="3" t="s">
        <v>15</v>
      </c>
      <c r="B212" s="3" t="s">
        <v>247</v>
      </c>
      <c r="C212" s="3" t="s">
        <v>246</v>
      </c>
      <c r="D212" s="3" t="s">
        <v>128</v>
      </c>
      <c r="E212" s="28">
        <f>SUMIFS('Raw Data'!$I$2:$I$878,'Raw Data'!$A$2:$A$878,$A212,'Raw Data'!$B$2:$B$878,$B212,'Raw Data'!$D$2:$D$878,$D212)</f>
        <v>28</v>
      </c>
      <c r="F212" s="5">
        <f>IFERROR(3958.8*ACOS(MIN(1,MAX(-1,SIN(RADIANS('ZIP Coordinates'!$C$2))*SIN(RADIANS(INDEX('ZIP Coordinates'!$C:$C,MATCH($A212,'ZIP Coordinates'!$A:$A,0))))+COS(RADIANS('ZIP Coordinates'!$C$2))*COS(RADIANS(INDEX('ZIP Coordinates'!$C:$C,MATCH($A212,'ZIP Coordinates'!$A:$A,0))))*COS(RADIANS(INDEX('ZIP Coordinates'!$D:$D,MATCH($A212,'ZIP Coordinates'!$A:$A,0))-'ZIP Coordinates'!$D$2))))),"N/A")</f>
        <v>173.39844145979413</v>
      </c>
    </row>
    <row r="213" spans="1:6" x14ac:dyDescent="0.2">
      <c r="A213" s="3" t="s">
        <v>15</v>
      </c>
      <c r="B213" s="3" t="s">
        <v>250</v>
      </c>
      <c r="C213" s="3" t="s">
        <v>249</v>
      </c>
      <c r="D213" s="3" t="s">
        <v>93</v>
      </c>
      <c r="E213" s="28">
        <f>SUMIFS('Raw Data'!$I$2:$I$878,'Raw Data'!$A$2:$A$878,$A213,'Raw Data'!$B$2:$B$878,$B213,'Raw Data'!$D$2:$D$878,$D213)</f>
        <v>40</v>
      </c>
      <c r="F213" s="5">
        <f>IFERROR(3958.8*ACOS(MIN(1,MAX(-1,SIN(RADIANS('ZIP Coordinates'!$C$2))*SIN(RADIANS(INDEX('ZIP Coordinates'!$C:$C,MATCH($A213,'ZIP Coordinates'!$A:$A,0))))+COS(RADIANS('ZIP Coordinates'!$C$2))*COS(RADIANS(INDEX('ZIP Coordinates'!$C:$C,MATCH($A213,'ZIP Coordinates'!$A:$A,0))))*COS(RADIANS(INDEX('ZIP Coordinates'!$D:$D,MATCH($A213,'ZIP Coordinates'!$A:$A,0))-'ZIP Coordinates'!$D$2))))),"N/A")</f>
        <v>173.39844145979413</v>
      </c>
    </row>
    <row r="214" spans="1:6" x14ac:dyDescent="0.2">
      <c r="A214" s="3" t="s">
        <v>15</v>
      </c>
      <c r="B214" s="3" t="s">
        <v>250</v>
      </c>
      <c r="C214" s="3" t="s">
        <v>249</v>
      </c>
      <c r="D214" s="3" t="s">
        <v>128</v>
      </c>
      <c r="E214" s="28">
        <f>SUMIFS('Raw Data'!$I$2:$I$878,'Raw Data'!$A$2:$A$878,$A214,'Raw Data'!$B$2:$B$878,$B214,'Raw Data'!$D$2:$D$878,$D214)</f>
        <v>29</v>
      </c>
      <c r="F214" s="5">
        <f>IFERROR(3958.8*ACOS(MIN(1,MAX(-1,SIN(RADIANS('ZIP Coordinates'!$C$2))*SIN(RADIANS(INDEX('ZIP Coordinates'!$C:$C,MATCH($A214,'ZIP Coordinates'!$A:$A,0))))+COS(RADIANS('ZIP Coordinates'!$C$2))*COS(RADIANS(INDEX('ZIP Coordinates'!$C:$C,MATCH($A214,'ZIP Coordinates'!$A:$A,0))))*COS(RADIANS(INDEX('ZIP Coordinates'!$D:$D,MATCH($A214,'ZIP Coordinates'!$A:$A,0))-'ZIP Coordinates'!$D$2))))),"N/A")</f>
        <v>173.39844145979413</v>
      </c>
    </row>
    <row r="215" spans="1:6" x14ac:dyDescent="0.2">
      <c r="A215" s="3" t="s">
        <v>15</v>
      </c>
      <c r="B215" s="3" t="s">
        <v>251</v>
      </c>
      <c r="C215" s="3" t="s">
        <v>252</v>
      </c>
      <c r="D215" s="3" t="s">
        <v>93</v>
      </c>
      <c r="E215" s="28">
        <f>SUMIFS('Raw Data'!$I$2:$I$878,'Raw Data'!$A$2:$A$878,$A215,'Raw Data'!$B$2:$B$878,$B215,'Raw Data'!$D$2:$D$878,$D215)</f>
        <v>106</v>
      </c>
      <c r="F215" s="5">
        <f>IFERROR(3958.8*ACOS(MIN(1,MAX(-1,SIN(RADIANS('ZIP Coordinates'!$C$2))*SIN(RADIANS(INDEX('ZIP Coordinates'!$C:$C,MATCH($A215,'ZIP Coordinates'!$A:$A,0))))+COS(RADIANS('ZIP Coordinates'!$C$2))*COS(RADIANS(INDEX('ZIP Coordinates'!$C:$C,MATCH($A215,'ZIP Coordinates'!$A:$A,0))))*COS(RADIANS(INDEX('ZIP Coordinates'!$D:$D,MATCH($A215,'ZIP Coordinates'!$A:$A,0))-'ZIP Coordinates'!$D$2))))),"N/A")</f>
        <v>173.39844145979413</v>
      </c>
    </row>
    <row r="216" spans="1:6" x14ac:dyDescent="0.2">
      <c r="A216" s="3" t="s">
        <v>15</v>
      </c>
      <c r="B216" s="3" t="s">
        <v>251</v>
      </c>
      <c r="C216" s="3" t="s">
        <v>252</v>
      </c>
      <c r="D216" s="3" t="s">
        <v>128</v>
      </c>
      <c r="E216" s="28">
        <f>SUMIFS('Raw Data'!$I$2:$I$878,'Raw Data'!$A$2:$A$878,$A216,'Raw Data'!$B$2:$B$878,$B216,'Raw Data'!$D$2:$D$878,$D216)</f>
        <v>28</v>
      </c>
      <c r="F216" s="5">
        <f>IFERROR(3958.8*ACOS(MIN(1,MAX(-1,SIN(RADIANS('ZIP Coordinates'!$C$2))*SIN(RADIANS(INDEX('ZIP Coordinates'!$C:$C,MATCH($A216,'ZIP Coordinates'!$A:$A,0))))+COS(RADIANS('ZIP Coordinates'!$C$2))*COS(RADIANS(INDEX('ZIP Coordinates'!$C:$C,MATCH($A216,'ZIP Coordinates'!$A:$A,0))))*COS(RADIANS(INDEX('ZIP Coordinates'!$D:$D,MATCH($A216,'ZIP Coordinates'!$A:$A,0))-'ZIP Coordinates'!$D$2))))),"N/A")</f>
        <v>173.39844145979413</v>
      </c>
    </row>
    <row r="217" spans="1:6" x14ac:dyDescent="0.2">
      <c r="A217" s="3" t="s">
        <v>15</v>
      </c>
      <c r="B217" s="3" t="s">
        <v>282</v>
      </c>
      <c r="C217" s="3" t="s">
        <v>283</v>
      </c>
      <c r="D217" s="3" t="s">
        <v>93</v>
      </c>
      <c r="E217" s="28">
        <f>SUMIFS('Raw Data'!$I$2:$I$878,'Raw Data'!$A$2:$A$878,$A217,'Raw Data'!$B$2:$B$878,$B217,'Raw Data'!$D$2:$D$878,$D217)</f>
        <v>15</v>
      </c>
      <c r="F217" s="5">
        <f>IFERROR(3958.8*ACOS(MIN(1,MAX(-1,SIN(RADIANS('ZIP Coordinates'!$C$2))*SIN(RADIANS(INDEX('ZIP Coordinates'!$C:$C,MATCH($A217,'ZIP Coordinates'!$A:$A,0))))+COS(RADIANS('ZIP Coordinates'!$C$2))*COS(RADIANS(INDEX('ZIP Coordinates'!$C:$C,MATCH($A217,'ZIP Coordinates'!$A:$A,0))))*COS(RADIANS(INDEX('ZIP Coordinates'!$D:$D,MATCH($A217,'ZIP Coordinates'!$A:$A,0))-'ZIP Coordinates'!$D$2))))),"N/A")</f>
        <v>173.39844145979413</v>
      </c>
    </row>
    <row r="218" spans="1:6" x14ac:dyDescent="0.2">
      <c r="A218" s="3" t="s">
        <v>15</v>
      </c>
      <c r="B218" s="3" t="s">
        <v>282</v>
      </c>
      <c r="C218" s="3" t="s">
        <v>283</v>
      </c>
      <c r="D218" s="3" t="s">
        <v>128</v>
      </c>
      <c r="E218" s="28">
        <f>SUMIFS('Raw Data'!$I$2:$I$878,'Raw Data'!$A$2:$A$878,$A218,'Raw Data'!$B$2:$B$878,$B218,'Raw Data'!$D$2:$D$878,$D218)</f>
        <v>4</v>
      </c>
      <c r="F218" s="5">
        <f>IFERROR(3958.8*ACOS(MIN(1,MAX(-1,SIN(RADIANS('ZIP Coordinates'!$C$2))*SIN(RADIANS(INDEX('ZIP Coordinates'!$C:$C,MATCH($A218,'ZIP Coordinates'!$A:$A,0))))+COS(RADIANS('ZIP Coordinates'!$C$2))*COS(RADIANS(INDEX('ZIP Coordinates'!$C:$C,MATCH($A218,'ZIP Coordinates'!$A:$A,0))))*COS(RADIANS(INDEX('ZIP Coordinates'!$D:$D,MATCH($A218,'ZIP Coordinates'!$A:$A,0))-'ZIP Coordinates'!$D$2))))),"N/A")</f>
        <v>173.39844145979413</v>
      </c>
    </row>
    <row r="219" spans="1:6" x14ac:dyDescent="0.2">
      <c r="A219" s="3" t="s">
        <v>15</v>
      </c>
      <c r="B219" s="3" t="s">
        <v>284</v>
      </c>
      <c r="C219" s="3" t="s">
        <v>285</v>
      </c>
      <c r="D219" s="3" t="s">
        <v>93</v>
      </c>
      <c r="E219" s="28">
        <f>SUMIFS('Raw Data'!$I$2:$I$878,'Raw Data'!$A$2:$A$878,$A219,'Raw Data'!$B$2:$B$878,$B219,'Raw Data'!$D$2:$D$878,$D219)</f>
        <v>23</v>
      </c>
      <c r="F219" s="5">
        <f>IFERROR(3958.8*ACOS(MIN(1,MAX(-1,SIN(RADIANS('ZIP Coordinates'!$C$2))*SIN(RADIANS(INDEX('ZIP Coordinates'!$C:$C,MATCH($A219,'ZIP Coordinates'!$A:$A,0))))+COS(RADIANS('ZIP Coordinates'!$C$2))*COS(RADIANS(INDEX('ZIP Coordinates'!$C:$C,MATCH($A219,'ZIP Coordinates'!$A:$A,0))))*COS(RADIANS(INDEX('ZIP Coordinates'!$D:$D,MATCH($A219,'ZIP Coordinates'!$A:$A,0))-'ZIP Coordinates'!$D$2))))),"N/A")</f>
        <v>173.39844145979413</v>
      </c>
    </row>
    <row r="220" spans="1:6" x14ac:dyDescent="0.2">
      <c r="A220" s="3" t="s">
        <v>15</v>
      </c>
      <c r="B220" s="3" t="s">
        <v>284</v>
      </c>
      <c r="C220" s="3" t="s">
        <v>285</v>
      </c>
      <c r="D220" s="3" t="s">
        <v>128</v>
      </c>
      <c r="E220" s="28">
        <f>SUMIFS('Raw Data'!$I$2:$I$878,'Raw Data'!$A$2:$A$878,$A220,'Raw Data'!$B$2:$B$878,$B220,'Raw Data'!$D$2:$D$878,$D220)</f>
        <v>8</v>
      </c>
      <c r="F220" s="5">
        <f>IFERROR(3958.8*ACOS(MIN(1,MAX(-1,SIN(RADIANS('ZIP Coordinates'!$C$2))*SIN(RADIANS(INDEX('ZIP Coordinates'!$C:$C,MATCH($A220,'ZIP Coordinates'!$A:$A,0))))+COS(RADIANS('ZIP Coordinates'!$C$2))*COS(RADIANS(INDEX('ZIP Coordinates'!$C:$C,MATCH($A220,'ZIP Coordinates'!$A:$A,0))))*COS(RADIANS(INDEX('ZIP Coordinates'!$D:$D,MATCH($A220,'ZIP Coordinates'!$A:$A,0))-'ZIP Coordinates'!$D$2))))),"N/A")</f>
        <v>173.39844145979413</v>
      </c>
    </row>
    <row r="221" spans="1:6" x14ac:dyDescent="0.2">
      <c r="A221" s="3" t="s">
        <v>15</v>
      </c>
      <c r="B221" s="3" t="s">
        <v>253</v>
      </c>
      <c r="C221" s="3" t="s">
        <v>254</v>
      </c>
      <c r="D221" s="3" t="s">
        <v>128</v>
      </c>
      <c r="E221" s="28">
        <f>SUMIFS('Raw Data'!$I$2:$I$878,'Raw Data'!$A$2:$A$878,$A221,'Raw Data'!$B$2:$B$878,$B221,'Raw Data'!$D$2:$D$878,$D221)</f>
        <v>5</v>
      </c>
      <c r="F221" s="5">
        <f>IFERROR(3958.8*ACOS(MIN(1,MAX(-1,SIN(RADIANS('ZIP Coordinates'!$C$2))*SIN(RADIANS(INDEX('ZIP Coordinates'!$C:$C,MATCH($A221,'ZIP Coordinates'!$A:$A,0))))+COS(RADIANS('ZIP Coordinates'!$C$2))*COS(RADIANS(INDEX('ZIP Coordinates'!$C:$C,MATCH($A221,'ZIP Coordinates'!$A:$A,0))))*COS(RADIANS(INDEX('ZIP Coordinates'!$D:$D,MATCH($A221,'ZIP Coordinates'!$A:$A,0))-'ZIP Coordinates'!$D$2))))),"N/A")</f>
        <v>173.39844145979413</v>
      </c>
    </row>
    <row r="222" spans="1:6" x14ac:dyDescent="0.2">
      <c r="A222" s="3" t="s">
        <v>15</v>
      </c>
      <c r="B222" s="3" t="s">
        <v>288</v>
      </c>
      <c r="C222" s="3" t="s">
        <v>287</v>
      </c>
      <c r="D222" s="3" t="s">
        <v>93</v>
      </c>
      <c r="E222" s="28">
        <f>SUMIFS('Raw Data'!$I$2:$I$878,'Raw Data'!$A$2:$A$878,$A222,'Raw Data'!$B$2:$B$878,$B222,'Raw Data'!$D$2:$D$878,$D222)</f>
        <v>166</v>
      </c>
      <c r="F222" s="5">
        <f>IFERROR(3958.8*ACOS(MIN(1,MAX(-1,SIN(RADIANS('ZIP Coordinates'!$C$2))*SIN(RADIANS(INDEX('ZIP Coordinates'!$C:$C,MATCH($A222,'ZIP Coordinates'!$A:$A,0))))+COS(RADIANS('ZIP Coordinates'!$C$2))*COS(RADIANS(INDEX('ZIP Coordinates'!$C:$C,MATCH($A222,'ZIP Coordinates'!$A:$A,0))))*COS(RADIANS(INDEX('ZIP Coordinates'!$D:$D,MATCH($A222,'ZIP Coordinates'!$A:$A,0))-'ZIP Coordinates'!$D$2))))),"N/A")</f>
        <v>173.39844145979413</v>
      </c>
    </row>
    <row r="223" spans="1:6" x14ac:dyDescent="0.2">
      <c r="A223" s="3" t="s">
        <v>15</v>
      </c>
      <c r="B223" s="3" t="s">
        <v>257</v>
      </c>
      <c r="C223" s="3" t="s">
        <v>256</v>
      </c>
      <c r="D223" s="3" t="s">
        <v>93</v>
      </c>
      <c r="E223" s="28">
        <f>SUMIFS('Raw Data'!$I$2:$I$878,'Raw Data'!$A$2:$A$878,$A223,'Raw Data'!$B$2:$B$878,$B223,'Raw Data'!$D$2:$D$878,$D223)</f>
        <v>630</v>
      </c>
      <c r="F223" s="5">
        <f>IFERROR(3958.8*ACOS(MIN(1,MAX(-1,SIN(RADIANS('ZIP Coordinates'!$C$2))*SIN(RADIANS(INDEX('ZIP Coordinates'!$C:$C,MATCH($A223,'ZIP Coordinates'!$A:$A,0))))+COS(RADIANS('ZIP Coordinates'!$C$2))*COS(RADIANS(INDEX('ZIP Coordinates'!$C:$C,MATCH($A223,'ZIP Coordinates'!$A:$A,0))))*COS(RADIANS(INDEX('ZIP Coordinates'!$D:$D,MATCH($A223,'ZIP Coordinates'!$A:$A,0))-'ZIP Coordinates'!$D$2))))),"N/A")</f>
        <v>173.39844145979413</v>
      </c>
    </row>
    <row r="224" spans="1:6" x14ac:dyDescent="0.2">
      <c r="A224" s="3" t="s">
        <v>15</v>
      </c>
      <c r="B224" s="3" t="s">
        <v>257</v>
      </c>
      <c r="C224" s="3" t="s">
        <v>256</v>
      </c>
      <c r="D224" s="3" t="s">
        <v>128</v>
      </c>
      <c r="E224" s="28">
        <f>SUMIFS('Raw Data'!$I$2:$I$878,'Raw Data'!$A$2:$A$878,$A224,'Raw Data'!$B$2:$B$878,$B224,'Raw Data'!$D$2:$D$878,$D224)</f>
        <v>39</v>
      </c>
      <c r="F224" s="5">
        <f>IFERROR(3958.8*ACOS(MIN(1,MAX(-1,SIN(RADIANS('ZIP Coordinates'!$C$2))*SIN(RADIANS(INDEX('ZIP Coordinates'!$C:$C,MATCH($A224,'ZIP Coordinates'!$A:$A,0))))+COS(RADIANS('ZIP Coordinates'!$C$2))*COS(RADIANS(INDEX('ZIP Coordinates'!$C:$C,MATCH($A224,'ZIP Coordinates'!$A:$A,0))))*COS(RADIANS(INDEX('ZIP Coordinates'!$D:$D,MATCH($A224,'ZIP Coordinates'!$A:$A,0))-'ZIP Coordinates'!$D$2))))),"N/A")</f>
        <v>173.39844145979413</v>
      </c>
    </row>
    <row r="225" spans="1:6" x14ac:dyDescent="0.2">
      <c r="A225" s="3" t="s">
        <v>16</v>
      </c>
      <c r="B225" s="3" t="s">
        <v>258</v>
      </c>
      <c r="C225" s="3" t="s">
        <v>240</v>
      </c>
      <c r="D225" s="3" t="s">
        <v>106</v>
      </c>
      <c r="E225" s="28">
        <f>SUMIFS('Raw Data'!$I$2:$I$878,'Raw Data'!$A$2:$A$878,$A225,'Raw Data'!$B$2:$B$878,$B225,'Raw Data'!$D$2:$D$878,$D225)</f>
        <v>76</v>
      </c>
      <c r="F225" s="5">
        <f>IFERROR(3958.8*ACOS(MIN(1,MAX(-1,SIN(RADIANS('ZIP Coordinates'!$C$2))*SIN(RADIANS(INDEX('ZIP Coordinates'!$C:$C,MATCH($A225,'ZIP Coordinates'!$A:$A,0))))+COS(RADIANS('ZIP Coordinates'!$C$2))*COS(RADIANS(INDEX('ZIP Coordinates'!$C:$C,MATCH($A225,'ZIP Coordinates'!$A:$A,0))))*COS(RADIANS(INDEX('ZIP Coordinates'!$D:$D,MATCH($A225,'ZIP Coordinates'!$A:$A,0))-'ZIP Coordinates'!$D$2))))),"N/A")</f>
        <v>177.87377120840873</v>
      </c>
    </row>
    <row r="226" spans="1:6" x14ac:dyDescent="0.2">
      <c r="A226" s="3" t="s">
        <v>16</v>
      </c>
      <c r="B226" s="3" t="s">
        <v>259</v>
      </c>
      <c r="C226" s="3" t="s">
        <v>260</v>
      </c>
      <c r="D226" s="3" t="s">
        <v>106</v>
      </c>
      <c r="E226" s="28">
        <f>SUMIFS('Raw Data'!$I$2:$I$878,'Raw Data'!$A$2:$A$878,$A226,'Raw Data'!$B$2:$B$878,$B226,'Raw Data'!$D$2:$D$878,$D226)</f>
        <v>92</v>
      </c>
      <c r="F226" s="5">
        <f>IFERROR(3958.8*ACOS(MIN(1,MAX(-1,SIN(RADIANS('ZIP Coordinates'!$C$2))*SIN(RADIANS(INDEX('ZIP Coordinates'!$C:$C,MATCH($A226,'ZIP Coordinates'!$A:$A,0))))+COS(RADIANS('ZIP Coordinates'!$C$2))*COS(RADIANS(INDEX('ZIP Coordinates'!$C:$C,MATCH($A226,'ZIP Coordinates'!$A:$A,0))))*COS(RADIANS(INDEX('ZIP Coordinates'!$D:$D,MATCH($A226,'ZIP Coordinates'!$A:$A,0))-'ZIP Coordinates'!$D$2))))),"N/A")</f>
        <v>177.87377120840873</v>
      </c>
    </row>
    <row r="227" spans="1:6" x14ac:dyDescent="0.2">
      <c r="A227" s="3" t="s">
        <v>16</v>
      </c>
      <c r="B227" s="3" t="s">
        <v>261</v>
      </c>
      <c r="C227" s="3" t="s">
        <v>260</v>
      </c>
      <c r="D227" s="3" t="s">
        <v>106</v>
      </c>
      <c r="E227" s="28">
        <f>SUMIFS('Raw Data'!$I$2:$I$878,'Raw Data'!$A$2:$A$878,$A227,'Raw Data'!$B$2:$B$878,$B227,'Raw Data'!$D$2:$D$878,$D227)</f>
        <v>2</v>
      </c>
      <c r="F227" s="5">
        <f>IFERROR(3958.8*ACOS(MIN(1,MAX(-1,SIN(RADIANS('ZIP Coordinates'!$C$2))*SIN(RADIANS(INDEX('ZIP Coordinates'!$C:$C,MATCH($A227,'ZIP Coordinates'!$A:$A,0))))+COS(RADIANS('ZIP Coordinates'!$C$2))*COS(RADIANS(INDEX('ZIP Coordinates'!$C:$C,MATCH($A227,'ZIP Coordinates'!$A:$A,0))))*COS(RADIANS(INDEX('ZIP Coordinates'!$D:$D,MATCH($A227,'ZIP Coordinates'!$A:$A,0))-'ZIP Coordinates'!$D$2))))),"N/A")</f>
        <v>177.87377120840873</v>
      </c>
    </row>
    <row r="228" spans="1:6" x14ac:dyDescent="0.2">
      <c r="A228" s="3" t="s">
        <v>16</v>
      </c>
      <c r="B228" s="3" t="s">
        <v>241</v>
      </c>
      <c r="C228" s="3" t="s">
        <v>242</v>
      </c>
      <c r="D228" s="3" t="s">
        <v>106</v>
      </c>
      <c r="E228" s="28">
        <f>SUMIFS('Raw Data'!$I$2:$I$878,'Raw Data'!$A$2:$A$878,$A228,'Raw Data'!$B$2:$B$878,$B228,'Raw Data'!$D$2:$D$878,$D228)</f>
        <v>72</v>
      </c>
      <c r="F228" s="5">
        <f>IFERROR(3958.8*ACOS(MIN(1,MAX(-1,SIN(RADIANS('ZIP Coordinates'!$C$2))*SIN(RADIANS(INDEX('ZIP Coordinates'!$C:$C,MATCH($A228,'ZIP Coordinates'!$A:$A,0))))+COS(RADIANS('ZIP Coordinates'!$C$2))*COS(RADIANS(INDEX('ZIP Coordinates'!$C:$C,MATCH($A228,'ZIP Coordinates'!$A:$A,0))))*COS(RADIANS(INDEX('ZIP Coordinates'!$D:$D,MATCH($A228,'ZIP Coordinates'!$A:$A,0))-'ZIP Coordinates'!$D$2))))),"N/A")</f>
        <v>177.87377120840873</v>
      </c>
    </row>
    <row r="229" spans="1:6" x14ac:dyDescent="0.2">
      <c r="A229" s="3" t="s">
        <v>16</v>
      </c>
      <c r="B229" s="3" t="s">
        <v>243</v>
      </c>
      <c r="C229" s="3" t="s">
        <v>244</v>
      </c>
      <c r="D229" s="3" t="s">
        <v>106</v>
      </c>
      <c r="E229" s="28">
        <f>SUMIFS('Raw Data'!$I$2:$I$878,'Raw Data'!$A$2:$A$878,$A229,'Raw Data'!$B$2:$B$878,$B229,'Raw Data'!$D$2:$D$878,$D229)</f>
        <v>79</v>
      </c>
      <c r="F229" s="5">
        <f>IFERROR(3958.8*ACOS(MIN(1,MAX(-1,SIN(RADIANS('ZIP Coordinates'!$C$2))*SIN(RADIANS(INDEX('ZIP Coordinates'!$C:$C,MATCH($A229,'ZIP Coordinates'!$A:$A,0))))+COS(RADIANS('ZIP Coordinates'!$C$2))*COS(RADIANS(INDEX('ZIP Coordinates'!$C:$C,MATCH($A229,'ZIP Coordinates'!$A:$A,0))))*COS(RADIANS(INDEX('ZIP Coordinates'!$D:$D,MATCH($A229,'ZIP Coordinates'!$A:$A,0))-'ZIP Coordinates'!$D$2))))),"N/A")</f>
        <v>177.87377120840873</v>
      </c>
    </row>
    <row r="230" spans="1:6" x14ac:dyDescent="0.2">
      <c r="A230" s="3" t="s">
        <v>16</v>
      </c>
      <c r="B230" s="3" t="s">
        <v>272</v>
      </c>
      <c r="C230" s="3" t="s">
        <v>273</v>
      </c>
      <c r="D230" s="3" t="s">
        <v>106</v>
      </c>
      <c r="E230" s="28">
        <f>SUMIFS('Raw Data'!$I$2:$I$878,'Raw Data'!$A$2:$A$878,$A230,'Raw Data'!$B$2:$B$878,$B230,'Raw Data'!$D$2:$D$878,$D230)</f>
        <v>38</v>
      </c>
      <c r="F230" s="5">
        <f>IFERROR(3958.8*ACOS(MIN(1,MAX(-1,SIN(RADIANS('ZIP Coordinates'!$C$2))*SIN(RADIANS(INDEX('ZIP Coordinates'!$C:$C,MATCH($A230,'ZIP Coordinates'!$A:$A,0))))+COS(RADIANS('ZIP Coordinates'!$C$2))*COS(RADIANS(INDEX('ZIP Coordinates'!$C:$C,MATCH($A230,'ZIP Coordinates'!$A:$A,0))))*COS(RADIANS(INDEX('ZIP Coordinates'!$D:$D,MATCH($A230,'ZIP Coordinates'!$A:$A,0))-'ZIP Coordinates'!$D$2))))),"N/A")</f>
        <v>177.87377120840873</v>
      </c>
    </row>
    <row r="231" spans="1:6" x14ac:dyDescent="0.2">
      <c r="A231" s="3" t="s">
        <v>16</v>
      </c>
      <c r="B231" s="3" t="s">
        <v>276</v>
      </c>
      <c r="C231" s="3" t="s">
        <v>275</v>
      </c>
      <c r="D231" s="3" t="s">
        <v>106</v>
      </c>
      <c r="E231" s="28">
        <f>SUMIFS('Raw Data'!$I$2:$I$878,'Raw Data'!$A$2:$A$878,$A231,'Raw Data'!$B$2:$B$878,$B231,'Raw Data'!$D$2:$D$878,$D231)</f>
        <v>59</v>
      </c>
      <c r="F231" s="5">
        <f>IFERROR(3958.8*ACOS(MIN(1,MAX(-1,SIN(RADIANS('ZIP Coordinates'!$C$2))*SIN(RADIANS(INDEX('ZIP Coordinates'!$C:$C,MATCH($A231,'ZIP Coordinates'!$A:$A,0))))+COS(RADIANS('ZIP Coordinates'!$C$2))*COS(RADIANS(INDEX('ZIP Coordinates'!$C:$C,MATCH($A231,'ZIP Coordinates'!$A:$A,0))))*COS(RADIANS(INDEX('ZIP Coordinates'!$D:$D,MATCH($A231,'ZIP Coordinates'!$A:$A,0))-'ZIP Coordinates'!$D$2))))),"N/A")</f>
        <v>177.87377120840873</v>
      </c>
    </row>
    <row r="232" spans="1:6" x14ac:dyDescent="0.2">
      <c r="A232" s="3" t="s">
        <v>16</v>
      </c>
      <c r="B232" s="3" t="s">
        <v>277</v>
      </c>
      <c r="C232" s="3" t="s">
        <v>278</v>
      </c>
      <c r="D232" s="3" t="s">
        <v>106</v>
      </c>
      <c r="E232" s="28">
        <f>SUMIFS('Raw Data'!$I$2:$I$878,'Raw Data'!$A$2:$A$878,$A232,'Raw Data'!$B$2:$B$878,$B232,'Raw Data'!$D$2:$D$878,$D232)</f>
        <v>21</v>
      </c>
      <c r="F232" s="5">
        <f>IFERROR(3958.8*ACOS(MIN(1,MAX(-1,SIN(RADIANS('ZIP Coordinates'!$C$2))*SIN(RADIANS(INDEX('ZIP Coordinates'!$C:$C,MATCH($A232,'ZIP Coordinates'!$A:$A,0))))+COS(RADIANS('ZIP Coordinates'!$C$2))*COS(RADIANS(INDEX('ZIP Coordinates'!$C:$C,MATCH($A232,'ZIP Coordinates'!$A:$A,0))))*COS(RADIANS(INDEX('ZIP Coordinates'!$D:$D,MATCH($A232,'ZIP Coordinates'!$A:$A,0))-'ZIP Coordinates'!$D$2))))),"N/A")</f>
        <v>177.87377120840873</v>
      </c>
    </row>
    <row r="233" spans="1:6" x14ac:dyDescent="0.2">
      <c r="A233" s="3" t="s">
        <v>16</v>
      </c>
      <c r="B233" s="3" t="s">
        <v>289</v>
      </c>
      <c r="C233" s="3" t="s">
        <v>280</v>
      </c>
      <c r="D233" s="3" t="s">
        <v>106</v>
      </c>
      <c r="E233" s="28">
        <f>SUMIFS('Raw Data'!$I$2:$I$878,'Raw Data'!$A$2:$A$878,$A233,'Raw Data'!$B$2:$B$878,$B233,'Raw Data'!$D$2:$D$878,$D233)</f>
        <v>18</v>
      </c>
      <c r="F233" s="5">
        <f>IFERROR(3958.8*ACOS(MIN(1,MAX(-1,SIN(RADIANS('ZIP Coordinates'!$C$2))*SIN(RADIANS(INDEX('ZIP Coordinates'!$C:$C,MATCH($A233,'ZIP Coordinates'!$A:$A,0))))+COS(RADIANS('ZIP Coordinates'!$C$2))*COS(RADIANS(INDEX('ZIP Coordinates'!$C:$C,MATCH($A233,'ZIP Coordinates'!$A:$A,0))))*COS(RADIANS(INDEX('ZIP Coordinates'!$D:$D,MATCH($A233,'ZIP Coordinates'!$A:$A,0))-'ZIP Coordinates'!$D$2))))),"N/A")</f>
        <v>177.87377120840873</v>
      </c>
    </row>
    <row r="234" spans="1:6" x14ac:dyDescent="0.2">
      <c r="A234" s="3" t="s">
        <v>16</v>
      </c>
      <c r="B234" s="3" t="s">
        <v>279</v>
      </c>
      <c r="C234" s="3" t="s">
        <v>280</v>
      </c>
      <c r="D234" s="3" t="s">
        <v>106</v>
      </c>
      <c r="E234" s="28">
        <f>SUMIFS('Raw Data'!$I$2:$I$878,'Raw Data'!$A$2:$A$878,$A234,'Raw Data'!$B$2:$B$878,$B234,'Raw Data'!$D$2:$D$878,$D234)</f>
        <v>30</v>
      </c>
      <c r="F234" s="5">
        <f>IFERROR(3958.8*ACOS(MIN(1,MAX(-1,SIN(RADIANS('ZIP Coordinates'!$C$2))*SIN(RADIANS(INDEX('ZIP Coordinates'!$C:$C,MATCH($A234,'ZIP Coordinates'!$A:$A,0))))+COS(RADIANS('ZIP Coordinates'!$C$2))*COS(RADIANS(INDEX('ZIP Coordinates'!$C:$C,MATCH($A234,'ZIP Coordinates'!$A:$A,0))))*COS(RADIANS(INDEX('ZIP Coordinates'!$D:$D,MATCH($A234,'ZIP Coordinates'!$A:$A,0))-'ZIP Coordinates'!$D$2))))),"N/A")</f>
        <v>177.87377120840873</v>
      </c>
    </row>
    <row r="235" spans="1:6" x14ac:dyDescent="0.2">
      <c r="A235" s="3" t="s">
        <v>16</v>
      </c>
      <c r="B235" s="3" t="s">
        <v>250</v>
      </c>
      <c r="C235" s="3" t="s">
        <v>249</v>
      </c>
      <c r="D235" s="3" t="s">
        <v>106</v>
      </c>
      <c r="E235" s="28">
        <f>SUMIFS('Raw Data'!$I$2:$I$878,'Raw Data'!$A$2:$A$878,$A235,'Raw Data'!$B$2:$B$878,$B235,'Raw Data'!$D$2:$D$878,$D235)</f>
        <v>58</v>
      </c>
      <c r="F235" s="5">
        <f>IFERROR(3958.8*ACOS(MIN(1,MAX(-1,SIN(RADIANS('ZIP Coordinates'!$C$2))*SIN(RADIANS(INDEX('ZIP Coordinates'!$C:$C,MATCH($A235,'ZIP Coordinates'!$A:$A,0))))+COS(RADIANS('ZIP Coordinates'!$C$2))*COS(RADIANS(INDEX('ZIP Coordinates'!$C:$C,MATCH($A235,'ZIP Coordinates'!$A:$A,0))))*COS(RADIANS(INDEX('ZIP Coordinates'!$D:$D,MATCH($A235,'ZIP Coordinates'!$A:$A,0))-'ZIP Coordinates'!$D$2))))),"N/A")</f>
        <v>177.87377120840873</v>
      </c>
    </row>
    <row r="236" spans="1:6" x14ac:dyDescent="0.2">
      <c r="A236" s="3" t="s">
        <v>16</v>
      </c>
      <c r="B236" s="3" t="s">
        <v>251</v>
      </c>
      <c r="C236" s="3" t="s">
        <v>252</v>
      </c>
      <c r="D236" s="3" t="s">
        <v>106</v>
      </c>
      <c r="E236" s="28">
        <f>SUMIFS('Raw Data'!$I$2:$I$878,'Raw Data'!$A$2:$A$878,$A236,'Raw Data'!$B$2:$B$878,$B236,'Raw Data'!$D$2:$D$878,$D236)</f>
        <v>30</v>
      </c>
      <c r="F236" s="5">
        <f>IFERROR(3958.8*ACOS(MIN(1,MAX(-1,SIN(RADIANS('ZIP Coordinates'!$C$2))*SIN(RADIANS(INDEX('ZIP Coordinates'!$C:$C,MATCH($A236,'ZIP Coordinates'!$A:$A,0))))+COS(RADIANS('ZIP Coordinates'!$C$2))*COS(RADIANS(INDEX('ZIP Coordinates'!$C:$C,MATCH($A236,'ZIP Coordinates'!$A:$A,0))))*COS(RADIANS(INDEX('ZIP Coordinates'!$D:$D,MATCH($A236,'ZIP Coordinates'!$A:$A,0))-'ZIP Coordinates'!$D$2))))),"N/A")</f>
        <v>177.87377120840873</v>
      </c>
    </row>
    <row r="237" spans="1:6" x14ac:dyDescent="0.2">
      <c r="A237" s="3" t="s">
        <v>16</v>
      </c>
      <c r="B237" s="3" t="s">
        <v>282</v>
      </c>
      <c r="C237" s="3" t="s">
        <v>283</v>
      </c>
      <c r="D237" s="3" t="s">
        <v>106</v>
      </c>
      <c r="E237" s="28">
        <f>SUMIFS('Raw Data'!$I$2:$I$878,'Raw Data'!$A$2:$A$878,$A237,'Raw Data'!$B$2:$B$878,$B237,'Raw Data'!$D$2:$D$878,$D237)</f>
        <v>34</v>
      </c>
      <c r="F237" s="5">
        <f>IFERROR(3958.8*ACOS(MIN(1,MAX(-1,SIN(RADIANS('ZIP Coordinates'!$C$2))*SIN(RADIANS(INDEX('ZIP Coordinates'!$C:$C,MATCH($A237,'ZIP Coordinates'!$A:$A,0))))+COS(RADIANS('ZIP Coordinates'!$C$2))*COS(RADIANS(INDEX('ZIP Coordinates'!$C:$C,MATCH($A237,'ZIP Coordinates'!$A:$A,0))))*COS(RADIANS(INDEX('ZIP Coordinates'!$D:$D,MATCH($A237,'ZIP Coordinates'!$A:$A,0))-'ZIP Coordinates'!$D$2))))),"N/A")</f>
        <v>177.87377120840873</v>
      </c>
    </row>
    <row r="238" spans="1:6" x14ac:dyDescent="0.2">
      <c r="A238" s="3" t="s">
        <v>16</v>
      </c>
      <c r="B238" s="3" t="s">
        <v>286</v>
      </c>
      <c r="C238" s="3" t="s">
        <v>287</v>
      </c>
      <c r="D238" s="3" t="s">
        <v>106</v>
      </c>
      <c r="E238" s="28">
        <f>SUMIFS('Raw Data'!$I$2:$I$878,'Raw Data'!$A$2:$A$878,$A238,'Raw Data'!$B$2:$B$878,$B238,'Raw Data'!$D$2:$D$878,$D238)</f>
        <v>99</v>
      </c>
      <c r="F238" s="5">
        <f>IFERROR(3958.8*ACOS(MIN(1,MAX(-1,SIN(RADIANS('ZIP Coordinates'!$C$2))*SIN(RADIANS(INDEX('ZIP Coordinates'!$C:$C,MATCH($A238,'ZIP Coordinates'!$A:$A,0))))+COS(RADIANS('ZIP Coordinates'!$C$2))*COS(RADIANS(INDEX('ZIP Coordinates'!$C:$C,MATCH($A238,'ZIP Coordinates'!$A:$A,0))))*COS(RADIANS(INDEX('ZIP Coordinates'!$D:$D,MATCH($A238,'ZIP Coordinates'!$A:$A,0))-'ZIP Coordinates'!$D$2))))),"N/A")</f>
        <v>177.87377120840873</v>
      </c>
    </row>
    <row r="239" spans="1:6" x14ac:dyDescent="0.2">
      <c r="A239" s="3" t="s">
        <v>16</v>
      </c>
      <c r="B239" s="3" t="s">
        <v>288</v>
      </c>
      <c r="C239" s="3" t="s">
        <v>287</v>
      </c>
      <c r="D239" s="3" t="s">
        <v>106</v>
      </c>
      <c r="E239" s="28">
        <f>SUMIFS('Raw Data'!$I$2:$I$878,'Raw Data'!$A$2:$A$878,$A239,'Raw Data'!$B$2:$B$878,$B239,'Raw Data'!$D$2:$D$878,$D239)</f>
        <v>35</v>
      </c>
      <c r="F239" s="5">
        <f>IFERROR(3958.8*ACOS(MIN(1,MAX(-1,SIN(RADIANS('ZIP Coordinates'!$C$2))*SIN(RADIANS(INDEX('ZIP Coordinates'!$C:$C,MATCH($A239,'ZIP Coordinates'!$A:$A,0))))+COS(RADIANS('ZIP Coordinates'!$C$2))*COS(RADIANS(INDEX('ZIP Coordinates'!$C:$C,MATCH($A239,'ZIP Coordinates'!$A:$A,0))))*COS(RADIANS(INDEX('ZIP Coordinates'!$D:$D,MATCH($A239,'ZIP Coordinates'!$A:$A,0))-'ZIP Coordinates'!$D$2))))),"N/A")</f>
        <v>177.87377120840873</v>
      </c>
    </row>
    <row r="240" spans="1:6" x14ac:dyDescent="0.2">
      <c r="A240" s="3" t="s">
        <v>16</v>
      </c>
      <c r="B240" s="3" t="s">
        <v>257</v>
      </c>
      <c r="C240" s="3" t="s">
        <v>256</v>
      </c>
      <c r="D240" s="3" t="s">
        <v>106</v>
      </c>
      <c r="E240" s="28">
        <f>SUMIFS('Raw Data'!$I$2:$I$878,'Raw Data'!$A$2:$A$878,$A240,'Raw Data'!$B$2:$B$878,$B240,'Raw Data'!$D$2:$D$878,$D240)</f>
        <v>133</v>
      </c>
      <c r="F240" s="5">
        <f>IFERROR(3958.8*ACOS(MIN(1,MAX(-1,SIN(RADIANS('ZIP Coordinates'!$C$2))*SIN(RADIANS(INDEX('ZIP Coordinates'!$C:$C,MATCH($A240,'ZIP Coordinates'!$A:$A,0))))+COS(RADIANS('ZIP Coordinates'!$C$2))*COS(RADIANS(INDEX('ZIP Coordinates'!$C:$C,MATCH($A240,'ZIP Coordinates'!$A:$A,0))))*COS(RADIANS(INDEX('ZIP Coordinates'!$D:$D,MATCH($A240,'ZIP Coordinates'!$A:$A,0))-'ZIP Coordinates'!$D$2))))),"N/A")</f>
        <v>177.87377120840873</v>
      </c>
    </row>
    <row r="241" spans="1:6" x14ac:dyDescent="0.2">
      <c r="A241" s="3" t="s">
        <v>17</v>
      </c>
      <c r="B241" s="3" t="s">
        <v>239</v>
      </c>
      <c r="C241" s="3" t="s">
        <v>240</v>
      </c>
      <c r="D241" s="3" t="s">
        <v>89</v>
      </c>
      <c r="E241" s="28">
        <f>SUMIFS('Raw Data'!$I$2:$I$878,'Raw Data'!$A$2:$A$878,$A241,'Raw Data'!$B$2:$B$878,$B241,'Raw Data'!$D$2:$D$878,$D241)</f>
        <v>85</v>
      </c>
      <c r="F241" s="5">
        <f>IFERROR(3958.8*ACOS(MIN(1,MAX(-1,SIN(RADIANS('ZIP Coordinates'!$C$2))*SIN(RADIANS(INDEX('ZIP Coordinates'!$C:$C,MATCH($A241,'ZIP Coordinates'!$A:$A,0))))+COS(RADIANS('ZIP Coordinates'!$C$2))*COS(RADIANS(INDEX('ZIP Coordinates'!$C:$C,MATCH($A241,'ZIP Coordinates'!$A:$A,0))))*COS(RADIANS(INDEX('ZIP Coordinates'!$D:$D,MATCH($A241,'ZIP Coordinates'!$A:$A,0))-'ZIP Coordinates'!$D$2))))),"N/A")</f>
        <v>161.35890377274785</v>
      </c>
    </row>
    <row r="242" spans="1:6" x14ac:dyDescent="0.2">
      <c r="A242" s="3" t="s">
        <v>17</v>
      </c>
      <c r="B242" s="3" t="s">
        <v>261</v>
      </c>
      <c r="C242" s="3" t="s">
        <v>260</v>
      </c>
      <c r="D242" s="3" t="s">
        <v>89</v>
      </c>
      <c r="E242" s="28">
        <f>SUMIFS('Raw Data'!$I$2:$I$878,'Raw Data'!$A$2:$A$878,$A242,'Raw Data'!$B$2:$B$878,$B242,'Raw Data'!$D$2:$D$878,$D242)</f>
        <v>64</v>
      </c>
      <c r="F242" s="5">
        <f>IFERROR(3958.8*ACOS(MIN(1,MAX(-1,SIN(RADIANS('ZIP Coordinates'!$C$2))*SIN(RADIANS(INDEX('ZIP Coordinates'!$C:$C,MATCH($A242,'ZIP Coordinates'!$A:$A,0))))+COS(RADIANS('ZIP Coordinates'!$C$2))*COS(RADIANS(INDEX('ZIP Coordinates'!$C:$C,MATCH($A242,'ZIP Coordinates'!$A:$A,0))))*COS(RADIANS(INDEX('ZIP Coordinates'!$D:$D,MATCH($A242,'ZIP Coordinates'!$A:$A,0))-'ZIP Coordinates'!$D$2))))),"N/A")</f>
        <v>161.35890377274785</v>
      </c>
    </row>
    <row r="243" spans="1:6" x14ac:dyDescent="0.2">
      <c r="A243" s="3" t="s">
        <v>17</v>
      </c>
      <c r="B243" s="3" t="s">
        <v>269</v>
      </c>
      <c r="C243" s="3" t="s">
        <v>268</v>
      </c>
      <c r="D243" s="3" t="s">
        <v>189</v>
      </c>
      <c r="E243" s="28">
        <f>SUMIFS('Raw Data'!$I$2:$I$878,'Raw Data'!$A$2:$A$878,$A243,'Raw Data'!$B$2:$B$878,$B243,'Raw Data'!$D$2:$D$878,$D243)</f>
        <v>12</v>
      </c>
      <c r="F243" s="5">
        <f>IFERROR(3958.8*ACOS(MIN(1,MAX(-1,SIN(RADIANS('ZIP Coordinates'!$C$2))*SIN(RADIANS(INDEX('ZIP Coordinates'!$C:$C,MATCH($A243,'ZIP Coordinates'!$A:$A,0))))+COS(RADIANS('ZIP Coordinates'!$C$2))*COS(RADIANS(INDEX('ZIP Coordinates'!$C:$C,MATCH($A243,'ZIP Coordinates'!$A:$A,0))))*COS(RADIANS(INDEX('ZIP Coordinates'!$D:$D,MATCH($A243,'ZIP Coordinates'!$A:$A,0))-'ZIP Coordinates'!$D$2))))),"N/A")</f>
        <v>161.35890377274785</v>
      </c>
    </row>
    <row r="244" spans="1:6" x14ac:dyDescent="0.2">
      <c r="A244" s="3" t="s">
        <v>17</v>
      </c>
      <c r="B244" s="3" t="s">
        <v>241</v>
      </c>
      <c r="C244" s="3" t="s">
        <v>242</v>
      </c>
      <c r="D244" s="3" t="s">
        <v>89</v>
      </c>
      <c r="E244" s="28">
        <f>SUMIFS('Raw Data'!$I$2:$I$878,'Raw Data'!$A$2:$A$878,$A244,'Raw Data'!$B$2:$B$878,$B244,'Raw Data'!$D$2:$D$878,$D244)</f>
        <v>103</v>
      </c>
      <c r="F244" s="5">
        <f>IFERROR(3958.8*ACOS(MIN(1,MAX(-1,SIN(RADIANS('ZIP Coordinates'!$C$2))*SIN(RADIANS(INDEX('ZIP Coordinates'!$C:$C,MATCH($A244,'ZIP Coordinates'!$A:$A,0))))+COS(RADIANS('ZIP Coordinates'!$C$2))*COS(RADIANS(INDEX('ZIP Coordinates'!$C:$C,MATCH($A244,'ZIP Coordinates'!$A:$A,0))))*COS(RADIANS(INDEX('ZIP Coordinates'!$D:$D,MATCH($A244,'ZIP Coordinates'!$A:$A,0))-'ZIP Coordinates'!$D$2))))),"N/A")</f>
        <v>161.35890377274785</v>
      </c>
    </row>
    <row r="245" spans="1:6" x14ac:dyDescent="0.2">
      <c r="A245" s="3" t="s">
        <v>17</v>
      </c>
      <c r="B245" s="3" t="s">
        <v>243</v>
      </c>
      <c r="C245" s="3" t="s">
        <v>244</v>
      </c>
      <c r="D245" s="3" t="s">
        <v>89</v>
      </c>
      <c r="E245" s="28">
        <f>SUMIFS('Raw Data'!$I$2:$I$878,'Raw Data'!$A$2:$A$878,$A245,'Raw Data'!$B$2:$B$878,$B245,'Raw Data'!$D$2:$D$878,$D245)</f>
        <v>90</v>
      </c>
      <c r="F245" s="5">
        <f>IFERROR(3958.8*ACOS(MIN(1,MAX(-1,SIN(RADIANS('ZIP Coordinates'!$C$2))*SIN(RADIANS(INDEX('ZIP Coordinates'!$C:$C,MATCH($A245,'ZIP Coordinates'!$A:$A,0))))+COS(RADIANS('ZIP Coordinates'!$C$2))*COS(RADIANS(INDEX('ZIP Coordinates'!$C:$C,MATCH($A245,'ZIP Coordinates'!$A:$A,0))))*COS(RADIANS(INDEX('ZIP Coordinates'!$D:$D,MATCH($A245,'ZIP Coordinates'!$A:$A,0))-'ZIP Coordinates'!$D$2))))),"N/A")</f>
        <v>161.35890377274785</v>
      </c>
    </row>
    <row r="246" spans="1:6" x14ac:dyDescent="0.2">
      <c r="A246" s="3" t="s">
        <v>17</v>
      </c>
      <c r="B246" s="3" t="s">
        <v>276</v>
      </c>
      <c r="C246" s="3" t="s">
        <v>275</v>
      </c>
      <c r="D246" s="3" t="s">
        <v>89</v>
      </c>
      <c r="E246" s="28">
        <f>SUMIFS('Raw Data'!$I$2:$I$878,'Raw Data'!$A$2:$A$878,$A246,'Raw Data'!$B$2:$B$878,$B246,'Raw Data'!$D$2:$D$878,$D246)</f>
        <v>91</v>
      </c>
      <c r="F246" s="5">
        <f>IFERROR(3958.8*ACOS(MIN(1,MAX(-1,SIN(RADIANS('ZIP Coordinates'!$C$2))*SIN(RADIANS(INDEX('ZIP Coordinates'!$C:$C,MATCH($A246,'ZIP Coordinates'!$A:$A,0))))+COS(RADIANS('ZIP Coordinates'!$C$2))*COS(RADIANS(INDEX('ZIP Coordinates'!$C:$C,MATCH($A246,'ZIP Coordinates'!$A:$A,0))))*COS(RADIANS(INDEX('ZIP Coordinates'!$D:$D,MATCH($A246,'ZIP Coordinates'!$A:$A,0))-'ZIP Coordinates'!$D$2))))),"N/A")</f>
        <v>161.35890377274785</v>
      </c>
    </row>
    <row r="247" spans="1:6" x14ac:dyDescent="0.2">
      <c r="A247" s="3" t="s">
        <v>17</v>
      </c>
      <c r="B247" s="3" t="s">
        <v>277</v>
      </c>
      <c r="C247" s="3" t="s">
        <v>278</v>
      </c>
      <c r="D247" s="3" t="s">
        <v>89</v>
      </c>
      <c r="E247" s="28">
        <f>SUMIFS('Raw Data'!$I$2:$I$878,'Raw Data'!$A$2:$A$878,$A247,'Raw Data'!$B$2:$B$878,$B247,'Raw Data'!$D$2:$D$878,$D247)</f>
        <v>86</v>
      </c>
      <c r="F247" s="5">
        <f>IFERROR(3958.8*ACOS(MIN(1,MAX(-1,SIN(RADIANS('ZIP Coordinates'!$C$2))*SIN(RADIANS(INDEX('ZIP Coordinates'!$C:$C,MATCH($A247,'ZIP Coordinates'!$A:$A,0))))+COS(RADIANS('ZIP Coordinates'!$C$2))*COS(RADIANS(INDEX('ZIP Coordinates'!$C:$C,MATCH($A247,'ZIP Coordinates'!$A:$A,0))))*COS(RADIANS(INDEX('ZIP Coordinates'!$D:$D,MATCH($A247,'ZIP Coordinates'!$A:$A,0))-'ZIP Coordinates'!$D$2))))),"N/A")</f>
        <v>161.35890377274785</v>
      </c>
    </row>
    <row r="248" spans="1:6" x14ac:dyDescent="0.2">
      <c r="A248" s="3" t="s">
        <v>17</v>
      </c>
      <c r="B248" s="3" t="s">
        <v>279</v>
      </c>
      <c r="C248" s="3" t="s">
        <v>280</v>
      </c>
      <c r="D248" s="3" t="s">
        <v>89</v>
      </c>
      <c r="E248" s="28">
        <f>SUMIFS('Raw Data'!$I$2:$I$878,'Raw Data'!$A$2:$A$878,$A248,'Raw Data'!$B$2:$B$878,$B248,'Raw Data'!$D$2:$D$878,$D248)</f>
        <v>73</v>
      </c>
      <c r="F248" s="5">
        <f>IFERROR(3958.8*ACOS(MIN(1,MAX(-1,SIN(RADIANS('ZIP Coordinates'!$C$2))*SIN(RADIANS(INDEX('ZIP Coordinates'!$C:$C,MATCH($A248,'ZIP Coordinates'!$A:$A,0))))+COS(RADIANS('ZIP Coordinates'!$C$2))*COS(RADIANS(INDEX('ZIP Coordinates'!$C:$C,MATCH($A248,'ZIP Coordinates'!$A:$A,0))))*COS(RADIANS(INDEX('ZIP Coordinates'!$D:$D,MATCH($A248,'ZIP Coordinates'!$A:$A,0))-'ZIP Coordinates'!$D$2))))),"N/A")</f>
        <v>161.35890377274785</v>
      </c>
    </row>
    <row r="249" spans="1:6" x14ac:dyDescent="0.2">
      <c r="A249" s="3" t="s">
        <v>17</v>
      </c>
      <c r="B249" s="3" t="s">
        <v>247</v>
      </c>
      <c r="C249" s="3" t="s">
        <v>246</v>
      </c>
      <c r="D249" s="3" t="s">
        <v>89</v>
      </c>
      <c r="E249" s="28">
        <f>SUMIFS('Raw Data'!$I$2:$I$878,'Raw Data'!$A$2:$A$878,$A249,'Raw Data'!$B$2:$B$878,$B249,'Raw Data'!$D$2:$D$878,$D249)</f>
        <v>193</v>
      </c>
      <c r="F249" s="5">
        <f>IFERROR(3958.8*ACOS(MIN(1,MAX(-1,SIN(RADIANS('ZIP Coordinates'!$C$2))*SIN(RADIANS(INDEX('ZIP Coordinates'!$C:$C,MATCH($A249,'ZIP Coordinates'!$A:$A,0))))+COS(RADIANS('ZIP Coordinates'!$C$2))*COS(RADIANS(INDEX('ZIP Coordinates'!$C:$C,MATCH($A249,'ZIP Coordinates'!$A:$A,0))))*COS(RADIANS(INDEX('ZIP Coordinates'!$D:$D,MATCH($A249,'ZIP Coordinates'!$A:$A,0))-'ZIP Coordinates'!$D$2))))),"N/A")</f>
        <v>161.35890377274785</v>
      </c>
    </row>
    <row r="250" spans="1:6" x14ac:dyDescent="0.2">
      <c r="A250" s="3" t="s">
        <v>17</v>
      </c>
      <c r="B250" s="3" t="s">
        <v>250</v>
      </c>
      <c r="C250" s="3" t="s">
        <v>249</v>
      </c>
      <c r="D250" s="3" t="s">
        <v>89</v>
      </c>
      <c r="E250" s="28">
        <f>SUMIFS('Raw Data'!$I$2:$I$878,'Raw Data'!$A$2:$A$878,$A250,'Raw Data'!$B$2:$B$878,$B250,'Raw Data'!$D$2:$D$878,$D250)</f>
        <v>163</v>
      </c>
      <c r="F250" s="5">
        <f>IFERROR(3958.8*ACOS(MIN(1,MAX(-1,SIN(RADIANS('ZIP Coordinates'!$C$2))*SIN(RADIANS(INDEX('ZIP Coordinates'!$C:$C,MATCH($A250,'ZIP Coordinates'!$A:$A,0))))+COS(RADIANS('ZIP Coordinates'!$C$2))*COS(RADIANS(INDEX('ZIP Coordinates'!$C:$C,MATCH($A250,'ZIP Coordinates'!$A:$A,0))))*COS(RADIANS(INDEX('ZIP Coordinates'!$D:$D,MATCH($A250,'ZIP Coordinates'!$A:$A,0))-'ZIP Coordinates'!$D$2))))),"N/A")</f>
        <v>161.35890377274785</v>
      </c>
    </row>
    <row r="251" spans="1:6" x14ac:dyDescent="0.2">
      <c r="A251" s="3" t="s">
        <v>17</v>
      </c>
      <c r="B251" s="3" t="s">
        <v>251</v>
      </c>
      <c r="C251" s="3" t="s">
        <v>252</v>
      </c>
      <c r="D251" s="3" t="s">
        <v>89</v>
      </c>
      <c r="E251" s="28">
        <f>SUMIFS('Raw Data'!$I$2:$I$878,'Raw Data'!$A$2:$A$878,$A251,'Raw Data'!$B$2:$B$878,$B251,'Raw Data'!$D$2:$D$878,$D251)</f>
        <v>127</v>
      </c>
      <c r="F251" s="5">
        <f>IFERROR(3958.8*ACOS(MIN(1,MAX(-1,SIN(RADIANS('ZIP Coordinates'!$C$2))*SIN(RADIANS(INDEX('ZIP Coordinates'!$C:$C,MATCH($A251,'ZIP Coordinates'!$A:$A,0))))+COS(RADIANS('ZIP Coordinates'!$C$2))*COS(RADIANS(INDEX('ZIP Coordinates'!$C:$C,MATCH($A251,'ZIP Coordinates'!$A:$A,0))))*COS(RADIANS(INDEX('ZIP Coordinates'!$D:$D,MATCH($A251,'ZIP Coordinates'!$A:$A,0))-'ZIP Coordinates'!$D$2))))),"N/A")</f>
        <v>161.35890377274785</v>
      </c>
    </row>
    <row r="252" spans="1:6" x14ac:dyDescent="0.2">
      <c r="A252" s="3" t="s">
        <v>17</v>
      </c>
      <c r="B252" s="3" t="s">
        <v>282</v>
      </c>
      <c r="C252" s="3" t="s">
        <v>283</v>
      </c>
      <c r="D252" s="3" t="s">
        <v>89</v>
      </c>
      <c r="E252" s="28">
        <f>SUMIFS('Raw Data'!$I$2:$I$878,'Raw Data'!$A$2:$A$878,$A252,'Raw Data'!$B$2:$B$878,$B252,'Raw Data'!$D$2:$D$878,$D252)</f>
        <v>1</v>
      </c>
      <c r="F252" s="5">
        <f>IFERROR(3958.8*ACOS(MIN(1,MAX(-1,SIN(RADIANS('ZIP Coordinates'!$C$2))*SIN(RADIANS(INDEX('ZIP Coordinates'!$C:$C,MATCH($A252,'ZIP Coordinates'!$A:$A,0))))+COS(RADIANS('ZIP Coordinates'!$C$2))*COS(RADIANS(INDEX('ZIP Coordinates'!$C:$C,MATCH($A252,'ZIP Coordinates'!$A:$A,0))))*COS(RADIANS(INDEX('ZIP Coordinates'!$D:$D,MATCH($A252,'ZIP Coordinates'!$A:$A,0))-'ZIP Coordinates'!$D$2))))),"N/A")</f>
        <v>161.35890377274785</v>
      </c>
    </row>
    <row r="253" spans="1:6" x14ac:dyDescent="0.2">
      <c r="A253" s="3" t="s">
        <v>17</v>
      </c>
      <c r="B253" s="3" t="s">
        <v>284</v>
      </c>
      <c r="C253" s="3" t="s">
        <v>285</v>
      </c>
      <c r="D253" s="3" t="s">
        <v>189</v>
      </c>
      <c r="E253" s="28">
        <f>SUMIFS('Raw Data'!$I$2:$I$878,'Raw Data'!$A$2:$A$878,$A253,'Raw Data'!$B$2:$B$878,$B253,'Raw Data'!$D$2:$D$878,$D253)</f>
        <v>4</v>
      </c>
      <c r="F253" s="5">
        <f>IFERROR(3958.8*ACOS(MIN(1,MAX(-1,SIN(RADIANS('ZIP Coordinates'!$C$2))*SIN(RADIANS(INDEX('ZIP Coordinates'!$C:$C,MATCH($A253,'ZIP Coordinates'!$A:$A,0))))+COS(RADIANS('ZIP Coordinates'!$C$2))*COS(RADIANS(INDEX('ZIP Coordinates'!$C:$C,MATCH($A253,'ZIP Coordinates'!$A:$A,0))))*COS(RADIANS(INDEX('ZIP Coordinates'!$D:$D,MATCH($A253,'ZIP Coordinates'!$A:$A,0))-'ZIP Coordinates'!$D$2))))),"N/A")</f>
        <v>161.35890377274785</v>
      </c>
    </row>
    <row r="254" spans="1:6" x14ac:dyDescent="0.2">
      <c r="A254" s="3" t="s">
        <v>17</v>
      </c>
      <c r="B254" s="3" t="s">
        <v>288</v>
      </c>
      <c r="C254" s="3" t="s">
        <v>287</v>
      </c>
      <c r="D254" s="3" t="s">
        <v>89</v>
      </c>
      <c r="E254" s="28">
        <f>SUMIFS('Raw Data'!$I$2:$I$878,'Raw Data'!$A$2:$A$878,$A254,'Raw Data'!$B$2:$B$878,$B254,'Raw Data'!$D$2:$D$878,$D254)</f>
        <v>375</v>
      </c>
      <c r="F254" s="5">
        <f>IFERROR(3958.8*ACOS(MIN(1,MAX(-1,SIN(RADIANS('ZIP Coordinates'!$C$2))*SIN(RADIANS(INDEX('ZIP Coordinates'!$C:$C,MATCH($A254,'ZIP Coordinates'!$A:$A,0))))+COS(RADIANS('ZIP Coordinates'!$C$2))*COS(RADIANS(INDEX('ZIP Coordinates'!$C:$C,MATCH($A254,'ZIP Coordinates'!$A:$A,0))))*COS(RADIANS(INDEX('ZIP Coordinates'!$D:$D,MATCH($A254,'ZIP Coordinates'!$A:$A,0))-'ZIP Coordinates'!$D$2))))),"N/A")</f>
        <v>161.35890377274785</v>
      </c>
    </row>
    <row r="255" spans="1:6" x14ac:dyDescent="0.2">
      <c r="A255" s="3" t="s">
        <v>17</v>
      </c>
      <c r="B255" s="3" t="s">
        <v>257</v>
      </c>
      <c r="C255" s="3" t="s">
        <v>256</v>
      </c>
      <c r="D255" s="3" t="s">
        <v>89</v>
      </c>
      <c r="E255" s="28">
        <f>SUMIFS('Raw Data'!$I$2:$I$878,'Raw Data'!$A$2:$A$878,$A255,'Raw Data'!$B$2:$B$878,$B255,'Raw Data'!$D$2:$D$878,$D255)</f>
        <v>895</v>
      </c>
      <c r="F255" s="5">
        <f>IFERROR(3958.8*ACOS(MIN(1,MAX(-1,SIN(RADIANS('ZIP Coordinates'!$C$2))*SIN(RADIANS(INDEX('ZIP Coordinates'!$C:$C,MATCH($A255,'ZIP Coordinates'!$A:$A,0))))+COS(RADIANS('ZIP Coordinates'!$C$2))*COS(RADIANS(INDEX('ZIP Coordinates'!$C:$C,MATCH($A255,'ZIP Coordinates'!$A:$A,0))))*COS(RADIANS(INDEX('ZIP Coordinates'!$D:$D,MATCH($A255,'ZIP Coordinates'!$A:$A,0))-'ZIP Coordinates'!$D$2))))),"N/A")</f>
        <v>161.35890377274785</v>
      </c>
    </row>
    <row r="256" spans="1:6" x14ac:dyDescent="0.2">
      <c r="A256" s="3" t="s">
        <v>18</v>
      </c>
      <c r="B256" s="3" t="s">
        <v>258</v>
      </c>
      <c r="C256" s="3" t="s">
        <v>240</v>
      </c>
      <c r="D256" s="3" t="s">
        <v>113</v>
      </c>
      <c r="E256" s="28">
        <f>SUMIFS('Raw Data'!$I$2:$I$878,'Raw Data'!$A$2:$A$878,$A256,'Raw Data'!$B$2:$B$878,$B256,'Raw Data'!$D$2:$D$878,$D256)</f>
        <v>20</v>
      </c>
      <c r="F256" s="5">
        <f>IFERROR(3958.8*ACOS(MIN(1,MAX(-1,SIN(RADIANS('ZIP Coordinates'!$C$2))*SIN(RADIANS(INDEX('ZIP Coordinates'!$C:$C,MATCH($A256,'ZIP Coordinates'!$A:$A,0))))+COS(RADIANS('ZIP Coordinates'!$C$2))*COS(RADIANS(INDEX('ZIP Coordinates'!$C:$C,MATCH($A256,'ZIP Coordinates'!$A:$A,0))))*COS(RADIANS(INDEX('ZIP Coordinates'!$D:$D,MATCH($A256,'ZIP Coordinates'!$A:$A,0))-'ZIP Coordinates'!$D$2))))),"N/A")</f>
        <v>186.95026739463992</v>
      </c>
    </row>
    <row r="257" spans="1:6" x14ac:dyDescent="0.2">
      <c r="A257" s="3" t="s">
        <v>18</v>
      </c>
      <c r="B257" s="3" t="s">
        <v>239</v>
      </c>
      <c r="C257" s="3" t="s">
        <v>240</v>
      </c>
      <c r="D257" s="3" t="s">
        <v>113</v>
      </c>
      <c r="E257" s="28">
        <f>SUMIFS('Raw Data'!$I$2:$I$878,'Raw Data'!$A$2:$A$878,$A257,'Raw Data'!$B$2:$B$878,$B257,'Raw Data'!$D$2:$D$878,$D257)</f>
        <v>10</v>
      </c>
      <c r="F257" s="5">
        <f>IFERROR(3958.8*ACOS(MIN(1,MAX(-1,SIN(RADIANS('ZIP Coordinates'!$C$2))*SIN(RADIANS(INDEX('ZIP Coordinates'!$C:$C,MATCH($A257,'ZIP Coordinates'!$A:$A,0))))+COS(RADIANS('ZIP Coordinates'!$C$2))*COS(RADIANS(INDEX('ZIP Coordinates'!$C:$C,MATCH($A257,'ZIP Coordinates'!$A:$A,0))))*COS(RADIANS(INDEX('ZIP Coordinates'!$D:$D,MATCH($A257,'ZIP Coordinates'!$A:$A,0))-'ZIP Coordinates'!$D$2))))),"N/A")</f>
        <v>186.95026739463992</v>
      </c>
    </row>
    <row r="258" spans="1:6" x14ac:dyDescent="0.2">
      <c r="A258" s="3" t="s">
        <v>18</v>
      </c>
      <c r="B258" s="3" t="s">
        <v>259</v>
      </c>
      <c r="C258" s="3" t="s">
        <v>260</v>
      </c>
      <c r="D258" s="3" t="s">
        <v>113</v>
      </c>
      <c r="E258" s="28">
        <f>SUMIFS('Raw Data'!$I$2:$I$878,'Raw Data'!$A$2:$A$878,$A258,'Raw Data'!$B$2:$B$878,$B258,'Raw Data'!$D$2:$D$878,$D258)</f>
        <v>28</v>
      </c>
      <c r="F258" s="5">
        <f>IFERROR(3958.8*ACOS(MIN(1,MAX(-1,SIN(RADIANS('ZIP Coordinates'!$C$2))*SIN(RADIANS(INDEX('ZIP Coordinates'!$C:$C,MATCH($A258,'ZIP Coordinates'!$A:$A,0))))+COS(RADIANS('ZIP Coordinates'!$C$2))*COS(RADIANS(INDEX('ZIP Coordinates'!$C:$C,MATCH($A258,'ZIP Coordinates'!$A:$A,0))))*COS(RADIANS(INDEX('ZIP Coordinates'!$D:$D,MATCH($A258,'ZIP Coordinates'!$A:$A,0))-'ZIP Coordinates'!$D$2))))),"N/A")</f>
        <v>186.95026739463992</v>
      </c>
    </row>
    <row r="259" spans="1:6" x14ac:dyDescent="0.2">
      <c r="A259" s="3" t="s">
        <v>18</v>
      </c>
      <c r="B259" s="3" t="s">
        <v>261</v>
      </c>
      <c r="C259" s="3" t="s">
        <v>260</v>
      </c>
      <c r="D259" s="3" t="s">
        <v>113</v>
      </c>
      <c r="E259" s="28">
        <f>SUMIFS('Raw Data'!$I$2:$I$878,'Raw Data'!$A$2:$A$878,$A259,'Raw Data'!$B$2:$B$878,$B259,'Raw Data'!$D$2:$D$878,$D259)</f>
        <v>8</v>
      </c>
      <c r="F259" s="5">
        <f>IFERROR(3958.8*ACOS(MIN(1,MAX(-1,SIN(RADIANS('ZIP Coordinates'!$C$2))*SIN(RADIANS(INDEX('ZIP Coordinates'!$C:$C,MATCH($A259,'ZIP Coordinates'!$A:$A,0))))+COS(RADIANS('ZIP Coordinates'!$C$2))*COS(RADIANS(INDEX('ZIP Coordinates'!$C:$C,MATCH($A259,'ZIP Coordinates'!$A:$A,0))))*COS(RADIANS(INDEX('ZIP Coordinates'!$D:$D,MATCH($A259,'ZIP Coordinates'!$A:$A,0))-'ZIP Coordinates'!$D$2))))),"N/A")</f>
        <v>186.95026739463992</v>
      </c>
    </row>
    <row r="260" spans="1:6" x14ac:dyDescent="0.2">
      <c r="A260" s="3" t="s">
        <v>18</v>
      </c>
      <c r="B260" s="3" t="s">
        <v>270</v>
      </c>
      <c r="C260" s="3" t="s">
        <v>242</v>
      </c>
      <c r="D260" s="3" t="s">
        <v>129</v>
      </c>
      <c r="E260" s="28">
        <f>SUMIFS('Raw Data'!$I$2:$I$878,'Raw Data'!$A$2:$A$878,$A260,'Raw Data'!$B$2:$B$878,$B260,'Raw Data'!$D$2:$D$878,$D260)</f>
        <v>225</v>
      </c>
      <c r="F260" s="5">
        <f>IFERROR(3958.8*ACOS(MIN(1,MAX(-1,SIN(RADIANS('ZIP Coordinates'!$C$2))*SIN(RADIANS(INDEX('ZIP Coordinates'!$C:$C,MATCH($A260,'ZIP Coordinates'!$A:$A,0))))+COS(RADIANS('ZIP Coordinates'!$C$2))*COS(RADIANS(INDEX('ZIP Coordinates'!$C:$C,MATCH($A260,'ZIP Coordinates'!$A:$A,0))))*COS(RADIANS(INDEX('ZIP Coordinates'!$D:$D,MATCH($A260,'ZIP Coordinates'!$A:$A,0))-'ZIP Coordinates'!$D$2))))),"N/A")</f>
        <v>186.95026739463992</v>
      </c>
    </row>
    <row r="261" spans="1:6" x14ac:dyDescent="0.2">
      <c r="A261" s="3" t="s">
        <v>18</v>
      </c>
      <c r="B261" s="3" t="s">
        <v>241</v>
      </c>
      <c r="C261" s="3" t="s">
        <v>242</v>
      </c>
      <c r="D261" s="3" t="s">
        <v>113</v>
      </c>
      <c r="E261" s="28">
        <f>SUMIFS('Raw Data'!$I$2:$I$878,'Raw Data'!$A$2:$A$878,$A261,'Raw Data'!$B$2:$B$878,$B261,'Raw Data'!$D$2:$D$878,$D261)</f>
        <v>39</v>
      </c>
      <c r="F261" s="5">
        <f>IFERROR(3958.8*ACOS(MIN(1,MAX(-1,SIN(RADIANS('ZIP Coordinates'!$C$2))*SIN(RADIANS(INDEX('ZIP Coordinates'!$C:$C,MATCH($A261,'ZIP Coordinates'!$A:$A,0))))+COS(RADIANS('ZIP Coordinates'!$C$2))*COS(RADIANS(INDEX('ZIP Coordinates'!$C:$C,MATCH($A261,'ZIP Coordinates'!$A:$A,0))))*COS(RADIANS(INDEX('ZIP Coordinates'!$D:$D,MATCH($A261,'ZIP Coordinates'!$A:$A,0))-'ZIP Coordinates'!$D$2))))),"N/A")</f>
        <v>186.95026739463992</v>
      </c>
    </row>
    <row r="262" spans="1:6" x14ac:dyDescent="0.2">
      <c r="A262" s="3" t="s">
        <v>18</v>
      </c>
      <c r="B262" s="3" t="s">
        <v>271</v>
      </c>
      <c r="C262" s="3" t="s">
        <v>244</v>
      </c>
      <c r="D262" s="3" t="s">
        <v>172</v>
      </c>
      <c r="E262" s="28">
        <f>SUMIFS('Raw Data'!$I$2:$I$878,'Raw Data'!$A$2:$A$878,$A262,'Raw Data'!$B$2:$B$878,$B262,'Raw Data'!$D$2:$D$878,$D262)</f>
        <v>99</v>
      </c>
      <c r="F262" s="5">
        <f>IFERROR(3958.8*ACOS(MIN(1,MAX(-1,SIN(RADIANS('ZIP Coordinates'!$C$2))*SIN(RADIANS(INDEX('ZIP Coordinates'!$C:$C,MATCH($A262,'ZIP Coordinates'!$A:$A,0))))+COS(RADIANS('ZIP Coordinates'!$C$2))*COS(RADIANS(INDEX('ZIP Coordinates'!$C:$C,MATCH($A262,'ZIP Coordinates'!$A:$A,0))))*COS(RADIANS(INDEX('ZIP Coordinates'!$D:$D,MATCH($A262,'ZIP Coordinates'!$A:$A,0))-'ZIP Coordinates'!$D$2))))),"N/A")</f>
        <v>186.95026739463992</v>
      </c>
    </row>
    <row r="263" spans="1:6" x14ac:dyDescent="0.2">
      <c r="A263" s="3" t="s">
        <v>18</v>
      </c>
      <c r="B263" s="3" t="s">
        <v>243</v>
      </c>
      <c r="C263" s="3" t="s">
        <v>244</v>
      </c>
      <c r="D263" s="3" t="s">
        <v>113</v>
      </c>
      <c r="E263" s="28">
        <f>SUMIFS('Raw Data'!$I$2:$I$878,'Raw Data'!$A$2:$A$878,$A263,'Raw Data'!$B$2:$B$878,$B263,'Raw Data'!$D$2:$D$878,$D263)</f>
        <v>43</v>
      </c>
      <c r="F263" s="5">
        <f>IFERROR(3958.8*ACOS(MIN(1,MAX(-1,SIN(RADIANS('ZIP Coordinates'!$C$2))*SIN(RADIANS(INDEX('ZIP Coordinates'!$C:$C,MATCH($A263,'ZIP Coordinates'!$A:$A,0))))+COS(RADIANS('ZIP Coordinates'!$C$2))*COS(RADIANS(INDEX('ZIP Coordinates'!$C:$C,MATCH($A263,'ZIP Coordinates'!$A:$A,0))))*COS(RADIANS(INDEX('ZIP Coordinates'!$D:$D,MATCH($A263,'ZIP Coordinates'!$A:$A,0))-'ZIP Coordinates'!$D$2))))),"N/A")</f>
        <v>186.95026739463992</v>
      </c>
    </row>
    <row r="264" spans="1:6" x14ac:dyDescent="0.2">
      <c r="A264" s="3" t="s">
        <v>18</v>
      </c>
      <c r="B264" s="3" t="s">
        <v>291</v>
      </c>
      <c r="C264" s="3" t="s">
        <v>273</v>
      </c>
      <c r="D264" s="3" t="s">
        <v>172</v>
      </c>
      <c r="E264" s="28">
        <f>SUMIFS('Raw Data'!$I$2:$I$878,'Raw Data'!$A$2:$A$878,$A264,'Raw Data'!$B$2:$B$878,$B264,'Raw Data'!$D$2:$D$878,$D264)</f>
        <v>288</v>
      </c>
      <c r="F264" s="5">
        <f>IFERROR(3958.8*ACOS(MIN(1,MAX(-1,SIN(RADIANS('ZIP Coordinates'!$C$2))*SIN(RADIANS(INDEX('ZIP Coordinates'!$C:$C,MATCH($A264,'ZIP Coordinates'!$A:$A,0))))+COS(RADIANS('ZIP Coordinates'!$C$2))*COS(RADIANS(INDEX('ZIP Coordinates'!$C:$C,MATCH($A264,'ZIP Coordinates'!$A:$A,0))))*COS(RADIANS(INDEX('ZIP Coordinates'!$D:$D,MATCH($A264,'ZIP Coordinates'!$A:$A,0))-'ZIP Coordinates'!$D$2))))),"N/A")</f>
        <v>186.95026739463992</v>
      </c>
    </row>
    <row r="265" spans="1:6" x14ac:dyDescent="0.2">
      <c r="A265" s="3" t="s">
        <v>18</v>
      </c>
      <c r="B265" s="3" t="s">
        <v>272</v>
      </c>
      <c r="C265" s="3" t="s">
        <v>273</v>
      </c>
      <c r="D265" s="3" t="s">
        <v>172</v>
      </c>
      <c r="E265" s="28">
        <f>SUMIFS('Raw Data'!$I$2:$I$878,'Raw Data'!$A$2:$A$878,$A265,'Raw Data'!$B$2:$B$878,$B265,'Raw Data'!$D$2:$D$878,$D265)</f>
        <v>5</v>
      </c>
      <c r="F265" s="5">
        <f>IFERROR(3958.8*ACOS(MIN(1,MAX(-1,SIN(RADIANS('ZIP Coordinates'!$C$2))*SIN(RADIANS(INDEX('ZIP Coordinates'!$C:$C,MATCH($A265,'ZIP Coordinates'!$A:$A,0))))+COS(RADIANS('ZIP Coordinates'!$C$2))*COS(RADIANS(INDEX('ZIP Coordinates'!$C:$C,MATCH($A265,'ZIP Coordinates'!$A:$A,0))))*COS(RADIANS(INDEX('ZIP Coordinates'!$D:$D,MATCH($A265,'ZIP Coordinates'!$A:$A,0))-'ZIP Coordinates'!$D$2))))),"N/A")</f>
        <v>186.95026739463992</v>
      </c>
    </row>
    <row r="266" spans="1:6" x14ac:dyDescent="0.2">
      <c r="A266" s="3" t="s">
        <v>18</v>
      </c>
      <c r="B266" s="3" t="s">
        <v>274</v>
      </c>
      <c r="C266" s="3" t="s">
        <v>275</v>
      </c>
      <c r="D266" s="3" t="s">
        <v>129</v>
      </c>
      <c r="E266" s="28">
        <f>SUMIFS('Raw Data'!$I$2:$I$878,'Raw Data'!$A$2:$A$878,$A266,'Raw Data'!$B$2:$B$878,$B266,'Raw Data'!$D$2:$D$878,$D266)</f>
        <v>666</v>
      </c>
      <c r="F266" s="5">
        <f>IFERROR(3958.8*ACOS(MIN(1,MAX(-1,SIN(RADIANS('ZIP Coordinates'!$C$2))*SIN(RADIANS(INDEX('ZIP Coordinates'!$C:$C,MATCH($A266,'ZIP Coordinates'!$A:$A,0))))+COS(RADIANS('ZIP Coordinates'!$C$2))*COS(RADIANS(INDEX('ZIP Coordinates'!$C:$C,MATCH($A266,'ZIP Coordinates'!$A:$A,0))))*COS(RADIANS(INDEX('ZIP Coordinates'!$D:$D,MATCH($A266,'ZIP Coordinates'!$A:$A,0))-'ZIP Coordinates'!$D$2))))),"N/A")</f>
        <v>186.95026739463992</v>
      </c>
    </row>
    <row r="267" spans="1:6" x14ac:dyDescent="0.2">
      <c r="A267" s="3" t="s">
        <v>18</v>
      </c>
      <c r="B267" s="3" t="s">
        <v>276</v>
      </c>
      <c r="C267" s="3" t="s">
        <v>275</v>
      </c>
      <c r="D267" s="3" t="s">
        <v>113</v>
      </c>
      <c r="E267" s="28">
        <f>SUMIFS('Raw Data'!$I$2:$I$878,'Raw Data'!$A$2:$A$878,$A267,'Raw Data'!$B$2:$B$878,$B267,'Raw Data'!$D$2:$D$878,$D267)</f>
        <v>50</v>
      </c>
      <c r="F267" s="5">
        <f>IFERROR(3958.8*ACOS(MIN(1,MAX(-1,SIN(RADIANS('ZIP Coordinates'!$C$2))*SIN(RADIANS(INDEX('ZIP Coordinates'!$C:$C,MATCH($A267,'ZIP Coordinates'!$A:$A,0))))+COS(RADIANS('ZIP Coordinates'!$C$2))*COS(RADIANS(INDEX('ZIP Coordinates'!$C:$C,MATCH($A267,'ZIP Coordinates'!$A:$A,0))))*COS(RADIANS(INDEX('ZIP Coordinates'!$D:$D,MATCH($A267,'ZIP Coordinates'!$A:$A,0))-'ZIP Coordinates'!$D$2))))),"N/A")</f>
        <v>186.95026739463992</v>
      </c>
    </row>
    <row r="268" spans="1:6" x14ac:dyDescent="0.2">
      <c r="A268" s="3" t="s">
        <v>18</v>
      </c>
      <c r="B268" s="3" t="s">
        <v>292</v>
      </c>
      <c r="C268" s="3" t="s">
        <v>293</v>
      </c>
      <c r="D268" s="3" t="s">
        <v>129</v>
      </c>
      <c r="E268" s="28">
        <f>SUMIFS('Raw Data'!$I$2:$I$878,'Raw Data'!$A$2:$A$878,$A268,'Raw Data'!$B$2:$B$878,$B268,'Raw Data'!$D$2:$D$878,$D268)</f>
        <v>225</v>
      </c>
      <c r="F268" s="5">
        <f>IFERROR(3958.8*ACOS(MIN(1,MAX(-1,SIN(RADIANS('ZIP Coordinates'!$C$2))*SIN(RADIANS(INDEX('ZIP Coordinates'!$C:$C,MATCH($A268,'ZIP Coordinates'!$A:$A,0))))+COS(RADIANS('ZIP Coordinates'!$C$2))*COS(RADIANS(INDEX('ZIP Coordinates'!$C:$C,MATCH($A268,'ZIP Coordinates'!$A:$A,0))))*COS(RADIANS(INDEX('ZIP Coordinates'!$D:$D,MATCH($A268,'ZIP Coordinates'!$A:$A,0))-'ZIP Coordinates'!$D$2))))),"N/A")</f>
        <v>186.95026739463992</v>
      </c>
    </row>
    <row r="269" spans="1:6" x14ac:dyDescent="0.2">
      <c r="A269" s="3" t="s">
        <v>18</v>
      </c>
      <c r="B269" s="3" t="s">
        <v>247</v>
      </c>
      <c r="C269" s="3" t="s">
        <v>246</v>
      </c>
      <c r="D269" s="3" t="s">
        <v>113</v>
      </c>
      <c r="E269" s="28">
        <f>SUMIFS('Raw Data'!$I$2:$I$878,'Raw Data'!$A$2:$A$878,$A269,'Raw Data'!$B$2:$B$878,$B269,'Raw Data'!$D$2:$D$878,$D269)</f>
        <v>66</v>
      </c>
      <c r="F269" s="5">
        <f>IFERROR(3958.8*ACOS(MIN(1,MAX(-1,SIN(RADIANS('ZIP Coordinates'!$C$2))*SIN(RADIANS(INDEX('ZIP Coordinates'!$C:$C,MATCH($A269,'ZIP Coordinates'!$A:$A,0))))+COS(RADIANS('ZIP Coordinates'!$C$2))*COS(RADIANS(INDEX('ZIP Coordinates'!$C:$C,MATCH($A269,'ZIP Coordinates'!$A:$A,0))))*COS(RADIANS(INDEX('ZIP Coordinates'!$D:$D,MATCH($A269,'ZIP Coordinates'!$A:$A,0))-'ZIP Coordinates'!$D$2))))),"N/A")</f>
        <v>186.95026739463992</v>
      </c>
    </row>
    <row r="270" spans="1:6" x14ac:dyDescent="0.2">
      <c r="A270" s="3" t="s">
        <v>18</v>
      </c>
      <c r="B270" s="3" t="s">
        <v>248</v>
      </c>
      <c r="C270" s="3" t="s">
        <v>249</v>
      </c>
      <c r="D270" s="3" t="s">
        <v>129</v>
      </c>
      <c r="E270" s="28">
        <f>SUMIFS('Raw Data'!$I$2:$I$878,'Raw Data'!$A$2:$A$878,$A270,'Raw Data'!$B$2:$B$878,$B270,'Raw Data'!$D$2:$D$878,$D270)</f>
        <v>260</v>
      </c>
      <c r="F270" s="5">
        <f>IFERROR(3958.8*ACOS(MIN(1,MAX(-1,SIN(RADIANS('ZIP Coordinates'!$C$2))*SIN(RADIANS(INDEX('ZIP Coordinates'!$C:$C,MATCH($A270,'ZIP Coordinates'!$A:$A,0))))+COS(RADIANS('ZIP Coordinates'!$C$2))*COS(RADIANS(INDEX('ZIP Coordinates'!$C:$C,MATCH($A270,'ZIP Coordinates'!$A:$A,0))))*COS(RADIANS(INDEX('ZIP Coordinates'!$D:$D,MATCH($A270,'ZIP Coordinates'!$A:$A,0))-'ZIP Coordinates'!$D$2))))),"N/A")</f>
        <v>186.95026739463992</v>
      </c>
    </row>
    <row r="271" spans="1:6" x14ac:dyDescent="0.2">
      <c r="A271" s="3" t="s">
        <v>18</v>
      </c>
      <c r="B271" s="3" t="s">
        <v>250</v>
      </c>
      <c r="C271" s="3" t="s">
        <v>249</v>
      </c>
      <c r="D271" s="3" t="s">
        <v>113</v>
      </c>
      <c r="E271" s="28">
        <f>SUMIFS('Raw Data'!$I$2:$I$878,'Raw Data'!$A$2:$A$878,$A271,'Raw Data'!$B$2:$B$878,$B271,'Raw Data'!$D$2:$D$878,$D271)</f>
        <v>63</v>
      </c>
      <c r="F271" s="5">
        <f>IFERROR(3958.8*ACOS(MIN(1,MAX(-1,SIN(RADIANS('ZIP Coordinates'!$C$2))*SIN(RADIANS(INDEX('ZIP Coordinates'!$C:$C,MATCH($A271,'ZIP Coordinates'!$A:$A,0))))+COS(RADIANS('ZIP Coordinates'!$C$2))*COS(RADIANS(INDEX('ZIP Coordinates'!$C:$C,MATCH($A271,'ZIP Coordinates'!$A:$A,0))))*COS(RADIANS(INDEX('ZIP Coordinates'!$D:$D,MATCH($A271,'ZIP Coordinates'!$A:$A,0))-'ZIP Coordinates'!$D$2))))),"N/A")</f>
        <v>186.95026739463992</v>
      </c>
    </row>
    <row r="272" spans="1:6" x14ac:dyDescent="0.2">
      <c r="A272" s="3" t="s">
        <v>18</v>
      </c>
      <c r="B272" s="3" t="s">
        <v>281</v>
      </c>
      <c r="C272" s="3" t="s">
        <v>252</v>
      </c>
      <c r="D272" s="3" t="s">
        <v>129</v>
      </c>
      <c r="E272" s="28">
        <f>SUMIFS('Raw Data'!$I$2:$I$878,'Raw Data'!$A$2:$A$878,$A272,'Raw Data'!$B$2:$B$878,$B272,'Raw Data'!$D$2:$D$878,$D272)</f>
        <v>420</v>
      </c>
      <c r="F272" s="5">
        <f>IFERROR(3958.8*ACOS(MIN(1,MAX(-1,SIN(RADIANS('ZIP Coordinates'!$C$2))*SIN(RADIANS(INDEX('ZIP Coordinates'!$C:$C,MATCH($A272,'ZIP Coordinates'!$A:$A,0))))+COS(RADIANS('ZIP Coordinates'!$C$2))*COS(RADIANS(INDEX('ZIP Coordinates'!$C:$C,MATCH($A272,'ZIP Coordinates'!$A:$A,0))))*COS(RADIANS(INDEX('ZIP Coordinates'!$D:$D,MATCH($A272,'ZIP Coordinates'!$A:$A,0))-'ZIP Coordinates'!$D$2))))),"N/A")</f>
        <v>186.95026739463992</v>
      </c>
    </row>
    <row r="273" spans="1:6" x14ac:dyDescent="0.2">
      <c r="A273" s="3" t="s">
        <v>18</v>
      </c>
      <c r="B273" s="3" t="s">
        <v>251</v>
      </c>
      <c r="C273" s="3" t="s">
        <v>252</v>
      </c>
      <c r="D273" s="3" t="s">
        <v>113</v>
      </c>
      <c r="E273" s="28">
        <f>SUMIFS('Raw Data'!$I$2:$I$878,'Raw Data'!$A$2:$A$878,$A273,'Raw Data'!$B$2:$B$878,$B273,'Raw Data'!$D$2:$D$878,$D273)</f>
        <v>62</v>
      </c>
      <c r="F273" s="5">
        <f>IFERROR(3958.8*ACOS(MIN(1,MAX(-1,SIN(RADIANS('ZIP Coordinates'!$C$2))*SIN(RADIANS(INDEX('ZIP Coordinates'!$C:$C,MATCH($A273,'ZIP Coordinates'!$A:$A,0))))+COS(RADIANS('ZIP Coordinates'!$C$2))*COS(RADIANS(INDEX('ZIP Coordinates'!$C:$C,MATCH($A273,'ZIP Coordinates'!$A:$A,0))))*COS(RADIANS(INDEX('ZIP Coordinates'!$D:$D,MATCH($A273,'ZIP Coordinates'!$A:$A,0))-'ZIP Coordinates'!$D$2))))),"N/A")</f>
        <v>186.95026739463992</v>
      </c>
    </row>
    <row r="274" spans="1:6" x14ac:dyDescent="0.2">
      <c r="A274" s="3" t="s">
        <v>18</v>
      </c>
      <c r="B274" s="3" t="s">
        <v>282</v>
      </c>
      <c r="C274" s="3" t="s">
        <v>283</v>
      </c>
      <c r="D274" s="3" t="s">
        <v>113</v>
      </c>
      <c r="E274" s="28">
        <f>SUMIFS('Raw Data'!$I$2:$I$878,'Raw Data'!$A$2:$A$878,$A274,'Raw Data'!$B$2:$B$878,$B274,'Raw Data'!$D$2:$D$878,$D274)</f>
        <v>7</v>
      </c>
      <c r="F274" s="5">
        <f>IFERROR(3958.8*ACOS(MIN(1,MAX(-1,SIN(RADIANS('ZIP Coordinates'!$C$2))*SIN(RADIANS(INDEX('ZIP Coordinates'!$C:$C,MATCH($A274,'ZIP Coordinates'!$A:$A,0))))+COS(RADIANS('ZIP Coordinates'!$C$2))*COS(RADIANS(INDEX('ZIP Coordinates'!$C:$C,MATCH($A274,'ZIP Coordinates'!$A:$A,0))))*COS(RADIANS(INDEX('ZIP Coordinates'!$D:$D,MATCH($A274,'ZIP Coordinates'!$A:$A,0))-'ZIP Coordinates'!$D$2))))),"N/A")</f>
        <v>186.95026739463992</v>
      </c>
    </row>
    <row r="275" spans="1:6" x14ac:dyDescent="0.2">
      <c r="A275" s="3" t="s">
        <v>18</v>
      </c>
      <c r="B275" s="3" t="s">
        <v>284</v>
      </c>
      <c r="C275" s="3" t="s">
        <v>285</v>
      </c>
      <c r="D275" s="3" t="s">
        <v>113</v>
      </c>
      <c r="E275" s="28">
        <f>SUMIFS('Raw Data'!$I$2:$I$878,'Raw Data'!$A$2:$A$878,$A275,'Raw Data'!$B$2:$B$878,$B275,'Raw Data'!$D$2:$D$878,$D275)</f>
        <v>9</v>
      </c>
      <c r="F275" s="5">
        <f>IFERROR(3958.8*ACOS(MIN(1,MAX(-1,SIN(RADIANS('ZIP Coordinates'!$C$2))*SIN(RADIANS(INDEX('ZIP Coordinates'!$C:$C,MATCH($A275,'ZIP Coordinates'!$A:$A,0))))+COS(RADIANS('ZIP Coordinates'!$C$2))*COS(RADIANS(INDEX('ZIP Coordinates'!$C:$C,MATCH($A275,'ZIP Coordinates'!$A:$A,0))))*COS(RADIANS(INDEX('ZIP Coordinates'!$D:$D,MATCH($A275,'ZIP Coordinates'!$A:$A,0))-'ZIP Coordinates'!$D$2))))),"N/A")</f>
        <v>186.95026739463992</v>
      </c>
    </row>
    <row r="276" spans="1:6" x14ac:dyDescent="0.2">
      <c r="A276" s="3" t="s">
        <v>18</v>
      </c>
      <c r="B276" s="3" t="s">
        <v>286</v>
      </c>
      <c r="C276" s="3" t="s">
        <v>287</v>
      </c>
      <c r="D276" s="3" t="s">
        <v>113</v>
      </c>
      <c r="E276" s="28">
        <f>SUMIFS('Raw Data'!$I$2:$I$878,'Raw Data'!$A$2:$A$878,$A276,'Raw Data'!$B$2:$B$878,$B276,'Raw Data'!$D$2:$D$878,$D276)</f>
        <v>90</v>
      </c>
      <c r="F276" s="5">
        <f>IFERROR(3958.8*ACOS(MIN(1,MAX(-1,SIN(RADIANS('ZIP Coordinates'!$C$2))*SIN(RADIANS(INDEX('ZIP Coordinates'!$C:$C,MATCH($A276,'ZIP Coordinates'!$A:$A,0))))+COS(RADIANS('ZIP Coordinates'!$C$2))*COS(RADIANS(INDEX('ZIP Coordinates'!$C:$C,MATCH($A276,'ZIP Coordinates'!$A:$A,0))))*COS(RADIANS(INDEX('ZIP Coordinates'!$D:$D,MATCH($A276,'ZIP Coordinates'!$A:$A,0))-'ZIP Coordinates'!$D$2))))),"N/A")</f>
        <v>186.95026739463992</v>
      </c>
    </row>
    <row r="277" spans="1:6" x14ac:dyDescent="0.2">
      <c r="A277" s="3" t="s">
        <v>18</v>
      </c>
      <c r="B277" s="3" t="s">
        <v>288</v>
      </c>
      <c r="C277" s="3" t="s">
        <v>287</v>
      </c>
      <c r="D277" s="3" t="s">
        <v>113</v>
      </c>
      <c r="E277" s="28">
        <f>SUMIFS('Raw Data'!$I$2:$I$878,'Raw Data'!$A$2:$A$878,$A277,'Raw Data'!$B$2:$B$878,$B277,'Raw Data'!$D$2:$D$878,$D277)</f>
        <v>44</v>
      </c>
      <c r="F277" s="5">
        <f>IFERROR(3958.8*ACOS(MIN(1,MAX(-1,SIN(RADIANS('ZIP Coordinates'!$C$2))*SIN(RADIANS(INDEX('ZIP Coordinates'!$C:$C,MATCH($A277,'ZIP Coordinates'!$A:$A,0))))+COS(RADIANS('ZIP Coordinates'!$C$2))*COS(RADIANS(INDEX('ZIP Coordinates'!$C:$C,MATCH($A277,'ZIP Coordinates'!$A:$A,0))))*COS(RADIANS(INDEX('ZIP Coordinates'!$D:$D,MATCH($A277,'ZIP Coordinates'!$A:$A,0))-'ZIP Coordinates'!$D$2))))),"N/A")</f>
        <v>186.95026739463992</v>
      </c>
    </row>
    <row r="278" spans="1:6" x14ac:dyDescent="0.2">
      <c r="A278" s="3" t="s">
        <v>18</v>
      </c>
      <c r="B278" s="3" t="s">
        <v>255</v>
      </c>
      <c r="C278" s="3" t="s">
        <v>256</v>
      </c>
      <c r="D278" s="3" t="s">
        <v>129</v>
      </c>
      <c r="E278" s="28">
        <f>SUMIFS('Raw Data'!$I$2:$I$878,'Raw Data'!$A$2:$A$878,$A278,'Raw Data'!$B$2:$B$878,$B278,'Raw Data'!$D$2:$D$878,$D278)</f>
        <v>960</v>
      </c>
      <c r="F278" s="5">
        <f>IFERROR(3958.8*ACOS(MIN(1,MAX(-1,SIN(RADIANS('ZIP Coordinates'!$C$2))*SIN(RADIANS(INDEX('ZIP Coordinates'!$C:$C,MATCH($A278,'ZIP Coordinates'!$A:$A,0))))+COS(RADIANS('ZIP Coordinates'!$C$2))*COS(RADIANS(INDEX('ZIP Coordinates'!$C:$C,MATCH($A278,'ZIP Coordinates'!$A:$A,0))))*COS(RADIANS(INDEX('ZIP Coordinates'!$D:$D,MATCH($A278,'ZIP Coordinates'!$A:$A,0))-'ZIP Coordinates'!$D$2))))),"N/A")</f>
        <v>186.95026739463992</v>
      </c>
    </row>
    <row r="279" spans="1:6" x14ac:dyDescent="0.2">
      <c r="A279" s="3" t="s">
        <v>18</v>
      </c>
      <c r="B279" s="3" t="s">
        <v>255</v>
      </c>
      <c r="C279" s="3" t="s">
        <v>256</v>
      </c>
      <c r="D279" s="3" t="s">
        <v>113</v>
      </c>
      <c r="E279" s="28">
        <f>SUMIFS('Raw Data'!$I$2:$I$878,'Raw Data'!$A$2:$A$878,$A279,'Raw Data'!$B$2:$B$878,$B279,'Raw Data'!$D$2:$D$878,$D279)</f>
        <v>240</v>
      </c>
      <c r="F279" s="5">
        <f>IFERROR(3958.8*ACOS(MIN(1,MAX(-1,SIN(RADIANS('ZIP Coordinates'!$C$2))*SIN(RADIANS(INDEX('ZIP Coordinates'!$C:$C,MATCH($A279,'ZIP Coordinates'!$A:$A,0))))+COS(RADIANS('ZIP Coordinates'!$C$2))*COS(RADIANS(INDEX('ZIP Coordinates'!$C:$C,MATCH($A279,'ZIP Coordinates'!$A:$A,0))))*COS(RADIANS(INDEX('ZIP Coordinates'!$D:$D,MATCH($A279,'ZIP Coordinates'!$A:$A,0))-'ZIP Coordinates'!$D$2))))),"N/A")</f>
        <v>186.95026739463992</v>
      </c>
    </row>
    <row r="280" spans="1:6" x14ac:dyDescent="0.2">
      <c r="A280" s="3" t="s">
        <v>18</v>
      </c>
      <c r="B280" s="3" t="s">
        <v>257</v>
      </c>
      <c r="C280" s="3" t="s">
        <v>256</v>
      </c>
      <c r="D280" s="3" t="s">
        <v>113</v>
      </c>
      <c r="E280" s="28">
        <f>SUMIFS('Raw Data'!$I$2:$I$878,'Raw Data'!$A$2:$A$878,$A280,'Raw Data'!$B$2:$B$878,$B280,'Raw Data'!$D$2:$D$878,$D280)</f>
        <v>68</v>
      </c>
      <c r="F280" s="5">
        <f>IFERROR(3958.8*ACOS(MIN(1,MAX(-1,SIN(RADIANS('ZIP Coordinates'!$C$2))*SIN(RADIANS(INDEX('ZIP Coordinates'!$C:$C,MATCH($A280,'ZIP Coordinates'!$A:$A,0))))+COS(RADIANS('ZIP Coordinates'!$C$2))*COS(RADIANS(INDEX('ZIP Coordinates'!$C:$C,MATCH($A280,'ZIP Coordinates'!$A:$A,0))))*COS(RADIANS(INDEX('ZIP Coordinates'!$D:$D,MATCH($A280,'ZIP Coordinates'!$A:$A,0))-'ZIP Coordinates'!$D$2))))),"N/A")</f>
        <v>186.95026739463992</v>
      </c>
    </row>
    <row r="281" spans="1:6" x14ac:dyDescent="0.2">
      <c r="A281" s="3" t="s">
        <v>19</v>
      </c>
      <c r="B281" s="3" t="s">
        <v>258</v>
      </c>
      <c r="C281" s="3" t="s">
        <v>240</v>
      </c>
      <c r="D281" s="3" t="s">
        <v>95</v>
      </c>
      <c r="E281" s="28">
        <f>SUMIFS('Raw Data'!$I$2:$I$878,'Raw Data'!$A$2:$A$878,$A281,'Raw Data'!$B$2:$B$878,$B281,'Raw Data'!$D$2:$D$878,$D281)</f>
        <v>92</v>
      </c>
      <c r="F281" s="5">
        <f>IFERROR(3958.8*ACOS(MIN(1,MAX(-1,SIN(RADIANS('ZIP Coordinates'!$C$2))*SIN(RADIANS(INDEX('ZIP Coordinates'!$C:$C,MATCH($A281,'ZIP Coordinates'!$A:$A,0))))+COS(RADIANS('ZIP Coordinates'!$C$2))*COS(RADIANS(INDEX('ZIP Coordinates'!$C:$C,MATCH($A281,'ZIP Coordinates'!$A:$A,0))))*COS(RADIANS(INDEX('ZIP Coordinates'!$D:$D,MATCH($A281,'ZIP Coordinates'!$A:$A,0))-'ZIP Coordinates'!$D$2))))),"N/A")</f>
        <v>159.71109490437146</v>
      </c>
    </row>
    <row r="282" spans="1:6" x14ac:dyDescent="0.2">
      <c r="A282" s="3" t="s">
        <v>19</v>
      </c>
      <c r="B282" s="3" t="s">
        <v>259</v>
      </c>
      <c r="C282" s="3" t="s">
        <v>260</v>
      </c>
      <c r="D282" s="3" t="s">
        <v>95</v>
      </c>
      <c r="E282" s="28">
        <f>SUMIFS('Raw Data'!$I$2:$I$878,'Raw Data'!$A$2:$A$878,$A282,'Raw Data'!$B$2:$B$878,$B282,'Raw Data'!$D$2:$D$878,$D282)</f>
        <v>188</v>
      </c>
      <c r="F282" s="5">
        <f>IFERROR(3958.8*ACOS(MIN(1,MAX(-1,SIN(RADIANS('ZIP Coordinates'!$C$2))*SIN(RADIANS(INDEX('ZIP Coordinates'!$C:$C,MATCH($A282,'ZIP Coordinates'!$A:$A,0))))+COS(RADIANS('ZIP Coordinates'!$C$2))*COS(RADIANS(INDEX('ZIP Coordinates'!$C:$C,MATCH($A282,'ZIP Coordinates'!$A:$A,0))))*COS(RADIANS(INDEX('ZIP Coordinates'!$D:$D,MATCH($A282,'ZIP Coordinates'!$A:$A,0))-'ZIP Coordinates'!$D$2))))),"N/A")</f>
        <v>159.71109490437146</v>
      </c>
    </row>
    <row r="283" spans="1:6" x14ac:dyDescent="0.2">
      <c r="A283" s="3" t="s">
        <v>19</v>
      </c>
      <c r="B283" s="3" t="s">
        <v>261</v>
      </c>
      <c r="C283" s="3" t="s">
        <v>260</v>
      </c>
      <c r="D283" s="3" t="s">
        <v>152</v>
      </c>
      <c r="E283" s="28">
        <f>SUMIFS('Raw Data'!$I$2:$I$878,'Raw Data'!$A$2:$A$878,$A283,'Raw Data'!$B$2:$B$878,$B283,'Raw Data'!$D$2:$D$878,$D283)</f>
        <v>-1</v>
      </c>
      <c r="F283" s="5">
        <f>IFERROR(3958.8*ACOS(MIN(1,MAX(-1,SIN(RADIANS('ZIP Coordinates'!$C$2))*SIN(RADIANS(INDEX('ZIP Coordinates'!$C:$C,MATCH($A283,'ZIP Coordinates'!$A:$A,0))))+COS(RADIANS('ZIP Coordinates'!$C$2))*COS(RADIANS(INDEX('ZIP Coordinates'!$C:$C,MATCH($A283,'ZIP Coordinates'!$A:$A,0))))*COS(RADIANS(INDEX('ZIP Coordinates'!$D:$D,MATCH($A283,'ZIP Coordinates'!$A:$A,0))-'ZIP Coordinates'!$D$2))))),"N/A")</f>
        <v>159.71109490437146</v>
      </c>
    </row>
    <row r="284" spans="1:6" x14ac:dyDescent="0.2">
      <c r="A284" s="3" t="s">
        <v>19</v>
      </c>
      <c r="B284" s="3" t="s">
        <v>264</v>
      </c>
      <c r="C284" s="3" t="s">
        <v>263</v>
      </c>
      <c r="D284" s="3" t="s">
        <v>95</v>
      </c>
      <c r="E284" s="28">
        <f>SUMIFS('Raw Data'!$I$2:$I$878,'Raw Data'!$A$2:$A$878,$A284,'Raw Data'!$B$2:$B$878,$B284,'Raw Data'!$D$2:$D$878,$D284)</f>
        <v>9</v>
      </c>
      <c r="F284" s="5">
        <f>IFERROR(3958.8*ACOS(MIN(1,MAX(-1,SIN(RADIANS('ZIP Coordinates'!$C$2))*SIN(RADIANS(INDEX('ZIP Coordinates'!$C:$C,MATCH($A284,'ZIP Coordinates'!$A:$A,0))))+COS(RADIANS('ZIP Coordinates'!$C$2))*COS(RADIANS(INDEX('ZIP Coordinates'!$C:$C,MATCH($A284,'ZIP Coordinates'!$A:$A,0))))*COS(RADIANS(INDEX('ZIP Coordinates'!$D:$D,MATCH($A284,'ZIP Coordinates'!$A:$A,0))-'ZIP Coordinates'!$D$2))))),"N/A")</f>
        <v>159.71109490437146</v>
      </c>
    </row>
    <row r="285" spans="1:6" x14ac:dyDescent="0.2">
      <c r="A285" s="3" t="s">
        <v>19</v>
      </c>
      <c r="B285" s="3" t="s">
        <v>265</v>
      </c>
      <c r="C285" s="3" t="s">
        <v>266</v>
      </c>
      <c r="D285" s="3" t="s">
        <v>95</v>
      </c>
      <c r="E285" s="28">
        <f>SUMIFS('Raw Data'!$I$2:$I$878,'Raw Data'!$A$2:$A$878,$A285,'Raw Data'!$B$2:$B$878,$B285,'Raw Data'!$D$2:$D$878,$D285)</f>
        <v>10</v>
      </c>
      <c r="F285" s="5">
        <f>IFERROR(3958.8*ACOS(MIN(1,MAX(-1,SIN(RADIANS('ZIP Coordinates'!$C$2))*SIN(RADIANS(INDEX('ZIP Coordinates'!$C:$C,MATCH($A285,'ZIP Coordinates'!$A:$A,0))))+COS(RADIANS('ZIP Coordinates'!$C$2))*COS(RADIANS(INDEX('ZIP Coordinates'!$C:$C,MATCH($A285,'ZIP Coordinates'!$A:$A,0))))*COS(RADIANS(INDEX('ZIP Coordinates'!$D:$D,MATCH($A285,'ZIP Coordinates'!$A:$A,0))-'ZIP Coordinates'!$D$2))))),"N/A")</f>
        <v>159.71109490437146</v>
      </c>
    </row>
    <row r="286" spans="1:6" x14ac:dyDescent="0.2">
      <c r="A286" s="3" t="s">
        <v>19</v>
      </c>
      <c r="B286" s="3" t="s">
        <v>270</v>
      </c>
      <c r="C286" s="3" t="s">
        <v>242</v>
      </c>
      <c r="D286" s="3" t="s">
        <v>152</v>
      </c>
      <c r="E286" s="28">
        <f>SUMIFS('Raw Data'!$I$2:$I$878,'Raw Data'!$A$2:$A$878,$A286,'Raw Data'!$B$2:$B$878,$B286,'Raw Data'!$D$2:$D$878,$D286)</f>
        <v>36</v>
      </c>
      <c r="F286" s="5">
        <f>IFERROR(3958.8*ACOS(MIN(1,MAX(-1,SIN(RADIANS('ZIP Coordinates'!$C$2))*SIN(RADIANS(INDEX('ZIP Coordinates'!$C:$C,MATCH($A286,'ZIP Coordinates'!$A:$A,0))))+COS(RADIANS('ZIP Coordinates'!$C$2))*COS(RADIANS(INDEX('ZIP Coordinates'!$C:$C,MATCH($A286,'ZIP Coordinates'!$A:$A,0))))*COS(RADIANS(INDEX('ZIP Coordinates'!$D:$D,MATCH($A286,'ZIP Coordinates'!$A:$A,0))-'ZIP Coordinates'!$D$2))))),"N/A")</f>
        <v>159.71109490437146</v>
      </c>
    </row>
    <row r="287" spans="1:6" x14ac:dyDescent="0.2">
      <c r="A287" s="3" t="s">
        <v>19</v>
      </c>
      <c r="B287" s="3" t="s">
        <v>241</v>
      </c>
      <c r="C287" s="3" t="s">
        <v>242</v>
      </c>
      <c r="D287" s="3" t="s">
        <v>95</v>
      </c>
      <c r="E287" s="28">
        <f>SUMIFS('Raw Data'!$I$2:$I$878,'Raw Data'!$A$2:$A$878,$A287,'Raw Data'!$B$2:$B$878,$B287,'Raw Data'!$D$2:$D$878,$D287)</f>
        <v>49</v>
      </c>
      <c r="F287" s="5">
        <f>IFERROR(3958.8*ACOS(MIN(1,MAX(-1,SIN(RADIANS('ZIP Coordinates'!$C$2))*SIN(RADIANS(INDEX('ZIP Coordinates'!$C:$C,MATCH($A287,'ZIP Coordinates'!$A:$A,0))))+COS(RADIANS('ZIP Coordinates'!$C$2))*COS(RADIANS(INDEX('ZIP Coordinates'!$C:$C,MATCH($A287,'ZIP Coordinates'!$A:$A,0))))*COS(RADIANS(INDEX('ZIP Coordinates'!$D:$D,MATCH($A287,'ZIP Coordinates'!$A:$A,0))-'ZIP Coordinates'!$D$2))))),"N/A")</f>
        <v>159.71109490437146</v>
      </c>
    </row>
    <row r="288" spans="1:6" x14ac:dyDescent="0.2">
      <c r="A288" s="3" t="s">
        <v>19</v>
      </c>
      <c r="B288" s="3" t="s">
        <v>271</v>
      </c>
      <c r="C288" s="3" t="s">
        <v>244</v>
      </c>
      <c r="D288" s="3" t="s">
        <v>152</v>
      </c>
      <c r="E288" s="28">
        <f>SUMIFS('Raw Data'!$I$2:$I$878,'Raw Data'!$A$2:$A$878,$A288,'Raw Data'!$B$2:$B$878,$B288,'Raw Data'!$D$2:$D$878,$D288)</f>
        <v>54</v>
      </c>
      <c r="F288" s="5">
        <f>IFERROR(3958.8*ACOS(MIN(1,MAX(-1,SIN(RADIANS('ZIP Coordinates'!$C$2))*SIN(RADIANS(INDEX('ZIP Coordinates'!$C:$C,MATCH($A288,'ZIP Coordinates'!$A:$A,0))))+COS(RADIANS('ZIP Coordinates'!$C$2))*COS(RADIANS(INDEX('ZIP Coordinates'!$C:$C,MATCH($A288,'ZIP Coordinates'!$A:$A,0))))*COS(RADIANS(INDEX('ZIP Coordinates'!$D:$D,MATCH($A288,'ZIP Coordinates'!$A:$A,0))-'ZIP Coordinates'!$D$2))))),"N/A")</f>
        <v>159.71109490437146</v>
      </c>
    </row>
    <row r="289" spans="1:6" x14ac:dyDescent="0.2">
      <c r="A289" s="3" t="s">
        <v>19</v>
      </c>
      <c r="B289" s="3" t="s">
        <v>243</v>
      </c>
      <c r="C289" s="3" t="s">
        <v>244</v>
      </c>
      <c r="D289" s="3" t="s">
        <v>95</v>
      </c>
      <c r="E289" s="28">
        <f>SUMIFS('Raw Data'!$I$2:$I$878,'Raw Data'!$A$2:$A$878,$A289,'Raw Data'!$B$2:$B$878,$B289,'Raw Data'!$D$2:$D$878,$D289)</f>
        <v>46</v>
      </c>
      <c r="F289" s="5">
        <f>IFERROR(3958.8*ACOS(MIN(1,MAX(-1,SIN(RADIANS('ZIP Coordinates'!$C$2))*SIN(RADIANS(INDEX('ZIP Coordinates'!$C:$C,MATCH($A289,'ZIP Coordinates'!$A:$A,0))))+COS(RADIANS('ZIP Coordinates'!$C$2))*COS(RADIANS(INDEX('ZIP Coordinates'!$C:$C,MATCH($A289,'ZIP Coordinates'!$A:$A,0))))*COS(RADIANS(INDEX('ZIP Coordinates'!$D:$D,MATCH($A289,'ZIP Coordinates'!$A:$A,0))-'ZIP Coordinates'!$D$2))))),"N/A")</f>
        <v>159.71109490437146</v>
      </c>
    </row>
    <row r="290" spans="1:6" x14ac:dyDescent="0.2">
      <c r="A290" s="3" t="s">
        <v>19</v>
      </c>
      <c r="B290" s="3" t="s">
        <v>272</v>
      </c>
      <c r="C290" s="3" t="s">
        <v>273</v>
      </c>
      <c r="D290" s="3" t="s">
        <v>95</v>
      </c>
      <c r="E290" s="28">
        <f>SUMIFS('Raw Data'!$I$2:$I$878,'Raw Data'!$A$2:$A$878,$A290,'Raw Data'!$B$2:$B$878,$B290,'Raw Data'!$D$2:$D$878,$D290)</f>
        <v>9</v>
      </c>
      <c r="F290" s="5">
        <f>IFERROR(3958.8*ACOS(MIN(1,MAX(-1,SIN(RADIANS('ZIP Coordinates'!$C$2))*SIN(RADIANS(INDEX('ZIP Coordinates'!$C:$C,MATCH($A290,'ZIP Coordinates'!$A:$A,0))))+COS(RADIANS('ZIP Coordinates'!$C$2))*COS(RADIANS(INDEX('ZIP Coordinates'!$C:$C,MATCH($A290,'ZIP Coordinates'!$A:$A,0))))*COS(RADIANS(INDEX('ZIP Coordinates'!$D:$D,MATCH($A290,'ZIP Coordinates'!$A:$A,0))-'ZIP Coordinates'!$D$2))))),"N/A")</f>
        <v>159.71109490437146</v>
      </c>
    </row>
    <row r="291" spans="1:6" x14ac:dyDescent="0.2">
      <c r="A291" s="3" t="s">
        <v>19</v>
      </c>
      <c r="B291" s="3" t="s">
        <v>274</v>
      </c>
      <c r="C291" s="3" t="s">
        <v>275</v>
      </c>
      <c r="D291" s="3" t="s">
        <v>95</v>
      </c>
      <c r="E291" s="28">
        <f>SUMIFS('Raw Data'!$I$2:$I$878,'Raw Data'!$A$2:$A$878,$A291,'Raw Data'!$B$2:$B$878,$B291,'Raw Data'!$D$2:$D$878,$D291)</f>
        <v>153</v>
      </c>
      <c r="F291" s="5">
        <f>IFERROR(3958.8*ACOS(MIN(1,MAX(-1,SIN(RADIANS('ZIP Coordinates'!$C$2))*SIN(RADIANS(INDEX('ZIP Coordinates'!$C:$C,MATCH($A291,'ZIP Coordinates'!$A:$A,0))))+COS(RADIANS('ZIP Coordinates'!$C$2))*COS(RADIANS(INDEX('ZIP Coordinates'!$C:$C,MATCH($A291,'ZIP Coordinates'!$A:$A,0))))*COS(RADIANS(INDEX('ZIP Coordinates'!$D:$D,MATCH($A291,'ZIP Coordinates'!$A:$A,0))-'ZIP Coordinates'!$D$2))))),"N/A")</f>
        <v>159.71109490437146</v>
      </c>
    </row>
    <row r="292" spans="1:6" x14ac:dyDescent="0.2">
      <c r="A292" s="3" t="s">
        <v>19</v>
      </c>
      <c r="B292" s="3" t="s">
        <v>276</v>
      </c>
      <c r="C292" s="3" t="s">
        <v>275</v>
      </c>
      <c r="D292" s="3" t="s">
        <v>152</v>
      </c>
      <c r="E292" s="28">
        <f>SUMIFS('Raw Data'!$I$2:$I$878,'Raw Data'!$A$2:$A$878,$A292,'Raw Data'!$B$2:$B$878,$B292,'Raw Data'!$D$2:$D$878,$D292)</f>
        <v>7</v>
      </c>
      <c r="F292" s="5">
        <f>IFERROR(3958.8*ACOS(MIN(1,MAX(-1,SIN(RADIANS('ZIP Coordinates'!$C$2))*SIN(RADIANS(INDEX('ZIP Coordinates'!$C:$C,MATCH($A292,'ZIP Coordinates'!$A:$A,0))))+COS(RADIANS('ZIP Coordinates'!$C$2))*COS(RADIANS(INDEX('ZIP Coordinates'!$C:$C,MATCH($A292,'ZIP Coordinates'!$A:$A,0))))*COS(RADIANS(INDEX('ZIP Coordinates'!$D:$D,MATCH($A292,'ZIP Coordinates'!$A:$A,0))-'ZIP Coordinates'!$D$2))))),"N/A")</f>
        <v>159.71109490437146</v>
      </c>
    </row>
    <row r="293" spans="1:6" x14ac:dyDescent="0.2">
      <c r="A293" s="3" t="s">
        <v>19</v>
      </c>
      <c r="B293" s="3" t="s">
        <v>290</v>
      </c>
      <c r="C293" s="3" t="s">
        <v>278</v>
      </c>
      <c r="D293" s="3" t="s">
        <v>152</v>
      </c>
      <c r="E293" s="28">
        <f>SUMIFS('Raw Data'!$I$2:$I$878,'Raw Data'!$A$2:$A$878,$A293,'Raw Data'!$B$2:$B$878,$B293,'Raw Data'!$D$2:$D$878,$D293)</f>
        <v>18</v>
      </c>
      <c r="F293" s="5">
        <f>IFERROR(3958.8*ACOS(MIN(1,MAX(-1,SIN(RADIANS('ZIP Coordinates'!$C$2))*SIN(RADIANS(INDEX('ZIP Coordinates'!$C:$C,MATCH($A293,'ZIP Coordinates'!$A:$A,0))))+COS(RADIANS('ZIP Coordinates'!$C$2))*COS(RADIANS(INDEX('ZIP Coordinates'!$C:$C,MATCH($A293,'ZIP Coordinates'!$A:$A,0))))*COS(RADIANS(INDEX('ZIP Coordinates'!$D:$D,MATCH($A293,'ZIP Coordinates'!$A:$A,0))-'ZIP Coordinates'!$D$2))))),"N/A")</f>
        <v>159.71109490437146</v>
      </c>
    </row>
    <row r="294" spans="1:6" x14ac:dyDescent="0.2">
      <c r="A294" s="3" t="s">
        <v>19</v>
      </c>
      <c r="B294" s="3" t="s">
        <v>277</v>
      </c>
      <c r="C294" s="3" t="s">
        <v>278</v>
      </c>
      <c r="D294" s="3" t="s">
        <v>95</v>
      </c>
      <c r="E294" s="28">
        <f>SUMIFS('Raw Data'!$I$2:$I$878,'Raw Data'!$A$2:$A$878,$A294,'Raw Data'!$B$2:$B$878,$B294,'Raw Data'!$D$2:$D$878,$D294)</f>
        <v>52</v>
      </c>
      <c r="F294" s="5">
        <f>IFERROR(3958.8*ACOS(MIN(1,MAX(-1,SIN(RADIANS('ZIP Coordinates'!$C$2))*SIN(RADIANS(INDEX('ZIP Coordinates'!$C:$C,MATCH($A294,'ZIP Coordinates'!$A:$A,0))))+COS(RADIANS('ZIP Coordinates'!$C$2))*COS(RADIANS(INDEX('ZIP Coordinates'!$C:$C,MATCH($A294,'ZIP Coordinates'!$A:$A,0))))*COS(RADIANS(INDEX('ZIP Coordinates'!$D:$D,MATCH($A294,'ZIP Coordinates'!$A:$A,0))-'ZIP Coordinates'!$D$2))))),"N/A")</f>
        <v>159.71109490437146</v>
      </c>
    </row>
    <row r="295" spans="1:6" x14ac:dyDescent="0.2">
      <c r="A295" s="3" t="s">
        <v>19</v>
      </c>
      <c r="B295" s="3" t="s">
        <v>289</v>
      </c>
      <c r="C295" s="3" t="s">
        <v>280</v>
      </c>
      <c r="D295" s="3" t="s">
        <v>152</v>
      </c>
      <c r="E295" s="28">
        <f>SUMIFS('Raw Data'!$I$2:$I$878,'Raw Data'!$A$2:$A$878,$A295,'Raw Data'!$B$2:$B$878,$B295,'Raw Data'!$D$2:$D$878,$D295)</f>
        <v>27</v>
      </c>
      <c r="F295" s="5">
        <f>IFERROR(3958.8*ACOS(MIN(1,MAX(-1,SIN(RADIANS('ZIP Coordinates'!$C$2))*SIN(RADIANS(INDEX('ZIP Coordinates'!$C:$C,MATCH($A295,'ZIP Coordinates'!$A:$A,0))))+COS(RADIANS('ZIP Coordinates'!$C$2))*COS(RADIANS(INDEX('ZIP Coordinates'!$C:$C,MATCH($A295,'ZIP Coordinates'!$A:$A,0))))*COS(RADIANS(INDEX('ZIP Coordinates'!$D:$D,MATCH($A295,'ZIP Coordinates'!$A:$A,0))-'ZIP Coordinates'!$D$2))))),"N/A")</f>
        <v>159.71109490437146</v>
      </c>
    </row>
    <row r="296" spans="1:6" x14ac:dyDescent="0.2">
      <c r="A296" s="3" t="s">
        <v>19</v>
      </c>
      <c r="B296" s="3" t="s">
        <v>279</v>
      </c>
      <c r="C296" s="3" t="s">
        <v>280</v>
      </c>
      <c r="D296" s="3" t="s">
        <v>95</v>
      </c>
      <c r="E296" s="28">
        <f>SUMIFS('Raw Data'!$I$2:$I$878,'Raw Data'!$A$2:$A$878,$A296,'Raw Data'!$B$2:$B$878,$B296,'Raw Data'!$D$2:$D$878,$D296)</f>
        <v>35</v>
      </c>
      <c r="F296" s="5">
        <f>IFERROR(3958.8*ACOS(MIN(1,MAX(-1,SIN(RADIANS('ZIP Coordinates'!$C$2))*SIN(RADIANS(INDEX('ZIP Coordinates'!$C:$C,MATCH($A296,'ZIP Coordinates'!$A:$A,0))))+COS(RADIANS('ZIP Coordinates'!$C$2))*COS(RADIANS(INDEX('ZIP Coordinates'!$C:$C,MATCH($A296,'ZIP Coordinates'!$A:$A,0))))*COS(RADIANS(INDEX('ZIP Coordinates'!$D:$D,MATCH($A296,'ZIP Coordinates'!$A:$A,0))-'ZIP Coordinates'!$D$2))))),"N/A")</f>
        <v>159.71109490437146</v>
      </c>
    </row>
    <row r="297" spans="1:6" x14ac:dyDescent="0.2">
      <c r="A297" s="3" t="s">
        <v>19</v>
      </c>
      <c r="B297" s="3" t="s">
        <v>245</v>
      </c>
      <c r="C297" s="3" t="s">
        <v>246</v>
      </c>
      <c r="D297" s="3" t="s">
        <v>152</v>
      </c>
      <c r="E297" s="28">
        <f>SUMIFS('Raw Data'!$I$2:$I$878,'Raw Data'!$A$2:$A$878,$A297,'Raw Data'!$B$2:$B$878,$B297,'Raw Data'!$D$2:$D$878,$D297)</f>
        <v>60</v>
      </c>
      <c r="F297" s="5">
        <f>IFERROR(3958.8*ACOS(MIN(1,MAX(-1,SIN(RADIANS('ZIP Coordinates'!$C$2))*SIN(RADIANS(INDEX('ZIP Coordinates'!$C:$C,MATCH($A297,'ZIP Coordinates'!$A:$A,0))))+COS(RADIANS('ZIP Coordinates'!$C$2))*COS(RADIANS(INDEX('ZIP Coordinates'!$C:$C,MATCH($A297,'ZIP Coordinates'!$A:$A,0))))*COS(RADIANS(INDEX('ZIP Coordinates'!$D:$D,MATCH($A297,'ZIP Coordinates'!$A:$A,0))-'ZIP Coordinates'!$D$2))))),"N/A")</f>
        <v>159.71109490437146</v>
      </c>
    </row>
    <row r="298" spans="1:6" x14ac:dyDescent="0.2">
      <c r="A298" s="3" t="s">
        <v>19</v>
      </c>
      <c r="B298" s="3" t="s">
        <v>247</v>
      </c>
      <c r="C298" s="3" t="s">
        <v>246</v>
      </c>
      <c r="D298" s="3" t="s">
        <v>95</v>
      </c>
      <c r="E298" s="28">
        <f>SUMIFS('Raw Data'!$I$2:$I$878,'Raw Data'!$A$2:$A$878,$A298,'Raw Data'!$B$2:$B$878,$B298,'Raw Data'!$D$2:$D$878,$D298)</f>
        <v>124</v>
      </c>
      <c r="F298" s="5">
        <f>IFERROR(3958.8*ACOS(MIN(1,MAX(-1,SIN(RADIANS('ZIP Coordinates'!$C$2))*SIN(RADIANS(INDEX('ZIP Coordinates'!$C:$C,MATCH($A298,'ZIP Coordinates'!$A:$A,0))))+COS(RADIANS('ZIP Coordinates'!$C$2))*COS(RADIANS(INDEX('ZIP Coordinates'!$C:$C,MATCH($A298,'ZIP Coordinates'!$A:$A,0))))*COS(RADIANS(INDEX('ZIP Coordinates'!$D:$D,MATCH($A298,'ZIP Coordinates'!$A:$A,0))-'ZIP Coordinates'!$D$2))))),"N/A")</f>
        <v>159.71109490437146</v>
      </c>
    </row>
    <row r="299" spans="1:6" x14ac:dyDescent="0.2">
      <c r="A299" s="3" t="s">
        <v>19</v>
      </c>
      <c r="B299" s="3" t="s">
        <v>248</v>
      </c>
      <c r="C299" s="3" t="s">
        <v>249</v>
      </c>
      <c r="D299" s="3" t="s">
        <v>152</v>
      </c>
      <c r="E299" s="28">
        <f>SUMIFS('Raw Data'!$I$2:$I$878,'Raw Data'!$A$2:$A$878,$A299,'Raw Data'!$B$2:$B$878,$B299,'Raw Data'!$D$2:$D$878,$D299)</f>
        <v>40</v>
      </c>
      <c r="F299" s="5">
        <f>IFERROR(3958.8*ACOS(MIN(1,MAX(-1,SIN(RADIANS('ZIP Coordinates'!$C$2))*SIN(RADIANS(INDEX('ZIP Coordinates'!$C:$C,MATCH($A299,'ZIP Coordinates'!$A:$A,0))))+COS(RADIANS('ZIP Coordinates'!$C$2))*COS(RADIANS(INDEX('ZIP Coordinates'!$C:$C,MATCH($A299,'ZIP Coordinates'!$A:$A,0))))*COS(RADIANS(INDEX('ZIP Coordinates'!$D:$D,MATCH($A299,'ZIP Coordinates'!$A:$A,0))-'ZIP Coordinates'!$D$2))))),"N/A")</f>
        <v>159.71109490437146</v>
      </c>
    </row>
    <row r="300" spans="1:6" x14ac:dyDescent="0.2">
      <c r="A300" s="3" t="s">
        <v>19</v>
      </c>
      <c r="B300" s="3" t="s">
        <v>250</v>
      </c>
      <c r="C300" s="3" t="s">
        <v>249</v>
      </c>
      <c r="D300" s="3" t="s">
        <v>95</v>
      </c>
      <c r="E300" s="28">
        <f>SUMIFS('Raw Data'!$I$2:$I$878,'Raw Data'!$A$2:$A$878,$A300,'Raw Data'!$B$2:$B$878,$B300,'Raw Data'!$D$2:$D$878,$D300)</f>
        <v>103</v>
      </c>
      <c r="F300" s="5">
        <f>IFERROR(3958.8*ACOS(MIN(1,MAX(-1,SIN(RADIANS('ZIP Coordinates'!$C$2))*SIN(RADIANS(INDEX('ZIP Coordinates'!$C:$C,MATCH($A300,'ZIP Coordinates'!$A:$A,0))))+COS(RADIANS('ZIP Coordinates'!$C$2))*COS(RADIANS(INDEX('ZIP Coordinates'!$C:$C,MATCH($A300,'ZIP Coordinates'!$A:$A,0))))*COS(RADIANS(INDEX('ZIP Coordinates'!$D:$D,MATCH($A300,'ZIP Coordinates'!$A:$A,0))-'ZIP Coordinates'!$D$2))))),"N/A")</f>
        <v>159.71109490437146</v>
      </c>
    </row>
    <row r="301" spans="1:6" x14ac:dyDescent="0.2">
      <c r="A301" s="3" t="s">
        <v>19</v>
      </c>
      <c r="B301" s="3" t="s">
        <v>281</v>
      </c>
      <c r="C301" s="3" t="s">
        <v>252</v>
      </c>
      <c r="D301" s="3" t="s">
        <v>152</v>
      </c>
      <c r="E301" s="28">
        <f>SUMIFS('Raw Data'!$I$2:$I$878,'Raw Data'!$A$2:$A$878,$A301,'Raw Data'!$B$2:$B$878,$B301,'Raw Data'!$D$2:$D$878,$D301)</f>
        <v>60</v>
      </c>
      <c r="F301" s="5">
        <f>IFERROR(3958.8*ACOS(MIN(1,MAX(-1,SIN(RADIANS('ZIP Coordinates'!$C$2))*SIN(RADIANS(INDEX('ZIP Coordinates'!$C:$C,MATCH($A301,'ZIP Coordinates'!$A:$A,0))))+COS(RADIANS('ZIP Coordinates'!$C$2))*COS(RADIANS(INDEX('ZIP Coordinates'!$C:$C,MATCH($A301,'ZIP Coordinates'!$A:$A,0))))*COS(RADIANS(INDEX('ZIP Coordinates'!$D:$D,MATCH($A301,'ZIP Coordinates'!$A:$A,0))-'ZIP Coordinates'!$D$2))))),"N/A")</f>
        <v>159.71109490437146</v>
      </c>
    </row>
    <row r="302" spans="1:6" x14ac:dyDescent="0.2">
      <c r="A302" s="3" t="s">
        <v>19</v>
      </c>
      <c r="B302" s="3" t="s">
        <v>251</v>
      </c>
      <c r="C302" s="3" t="s">
        <v>252</v>
      </c>
      <c r="D302" s="3" t="s">
        <v>95</v>
      </c>
      <c r="E302" s="28">
        <f>SUMIFS('Raw Data'!$I$2:$I$878,'Raw Data'!$A$2:$A$878,$A302,'Raw Data'!$B$2:$B$878,$B302,'Raw Data'!$D$2:$D$878,$D302)</f>
        <v>184</v>
      </c>
      <c r="F302" s="5">
        <f>IFERROR(3958.8*ACOS(MIN(1,MAX(-1,SIN(RADIANS('ZIP Coordinates'!$C$2))*SIN(RADIANS(INDEX('ZIP Coordinates'!$C:$C,MATCH($A302,'ZIP Coordinates'!$A:$A,0))))+COS(RADIANS('ZIP Coordinates'!$C$2))*COS(RADIANS(INDEX('ZIP Coordinates'!$C:$C,MATCH($A302,'ZIP Coordinates'!$A:$A,0))))*COS(RADIANS(INDEX('ZIP Coordinates'!$D:$D,MATCH($A302,'ZIP Coordinates'!$A:$A,0))-'ZIP Coordinates'!$D$2))))),"N/A")</f>
        <v>159.71109490437146</v>
      </c>
    </row>
    <row r="303" spans="1:6" x14ac:dyDescent="0.2">
      <c r="A303" s="3" t="s">
        <v>19</v>
      </c>
      <c r="B303" s="3" t="s">
        <v>282</v>
      </c>
      <c r="C303" s="3" t="s">
        <v>283</v>
      </c>
      <c r="D303" s="3" t="s">
        <v>152</v>
      </c>
      <c r="E303" s="28">
        <f>SUMIFS('Raw Data'!$I$2:$I$878,'Raw Data'!$A$2:$A$878,$A303,'Raw Data'!$B$2:$B$878,$B303,'Raw Data'!$D$2:$D$878,$D303)</f>
        <v>15</v>
      </c>
      <c r="F303" s="5">
        <f>IFERROR(3958.8*ACOS(MIN(1,MAX(-1,SIN(RADIANS('ZIP Coordinates'!$C$2))*SIN(RADIANS(INDEX('ZIP Coordinates'!$C:$C,MATCH($A303,'ZIP Coordinates'!$A:$A,0))))+COS(RADIANS('ZIP Coordinates'!$C$2))*COS(RADIANS(INDEX('ZIP Coordinates'!$C:$C,MATCH($A303,'ZIP Coordinates'!$A:$A,0))))*COS(RADIANS(INDEX('ZIP Coordinates'!$D:$D,MATCH($A303,'ZIP Coordinates'!$A:$A,0))-'ZIP Coordinates'!$D$2))))),"N/A")</f>
        <v>159.71109490437146</v>
      </c>
    </row>
    <row r="304" spans="1:6" x14ac:dyDescent="0.2">
      <c r="A304" s="3" t="s">
        <v>19</v>
      </c>
      <c r="B304" s="3" t="s">
        <v>284</v>
      </c>
      <c r="C304" s="3" t="s">
        <v>285</v>
      </c>
      <c r="D304" s="3" t="s">
        <v>152</v>
      </c>
      <c r="E304" s="28">
        <f>SUMIFS('Raw Data'!$I$2:$I$878,'Raw Data'!$A$2:$A$878,$A304,'Raw Data'!$B$2:$B$878,$B304,'Raw Data'!$D$2:$D$878,$D304)</f>
        <v>46</v>
      </c>
      <c r="F304" s="5">
        <f>IFERROR(3958.8*ACOS(MIN(1,MAX(-1,SIN(RADIANS('ZIP Coordinates'!$C$2))*SIN(RADIANS(INDEX('ZIP Coordinates'!$C:$C,MATCH($A304,'ZIP Coordinates'!$A:$A,0))))+COS(RADIANS('ZIP Coordinates'!$C$2))*COS(RADIANS(INDEX('ZIP Coordinates'!$C:$C,MATCH($A304,'ZIP Coordinates'!$A:$A,0))))*COS(RADIANS(INDEX('ZIP Coordinates'!$D:$D,MATCH($A304,'ZIP Coordinates'!$A:$A,0))-'ZIP Coordinates'!$D$2))))),"N/A")</f>
        <v>159.71109490437146</v>
      </c>
    </row>
    <row r="305" spans="1:6" x14ac:dyDescent="0.2">
      <c r="A305" s="3" t="s">
        <v>19</v>
      </c>
      <c r="B305" s="3" t="s">
        <v>286</v>
      </c>
      <c r="C305" s="3" t="s">
        <v>287</v>
      </c>
      <c r="D305" s="3" t="s">
        <v>152</v>
      </c>
      <c r="E305" s="28">
        <f>SUMIFS('Raw Data'!$I$2:$I$878,'Raw Data'!$A$2:$A$878,$A305,'Raw Data'!$B$2:$B$878,$B305,'Raw Data'!$D$2:$D$878,$D305)</f>
        <v>90</v>
      </c>
      <c r="F305" s="5">
        <f>IFERROR(3958.8*ACOS(MIN(1,MAX(-1,SIN(RADIANS('ZIP Coordinates'!$C$2))*SIN(RADIANS(INDEX('ZIP Coordinates'!$C:$C,MATCH($A305,'ZIP Coordinates'!$A:$A,0))))+COS(RADIANS('ZIP Coordinates'!$C$2))*COS(RADIANS(INDEX('ZIP Coordinates'!$C:$C,MATCH($A305,'ZIP Coordinates'!$A:$A,0))))*COS(RADIANS(INDEX('ZIP Coordinates'!$D:$D,MATCH($A305,'ZIP Coordinates'!$A:$A,0))-'ZIP Coordinates'!$D$2))))),"N/A")</f>
        <v>159.71109490437146</v>
      </c>
    </row>
    <row r="306" spans="1:6" x14ac:dyDescent="0.2">
      <c r="A306" s="3" t="s">
        <v>19</v>
      </c>
      <c r="B306" s="3" t="s">
        <v>288</v>
      </c>
      <c r="C306" s="3" t="s">
        <v>287</v>
      </c>
      <c r="D306" s="3" t="s">
        <v>95</v>
      </c>
      <c r="E306" s="28">
        <f>SUMIFS('Raw Data'!$I$2:$I$878,'Raw Data'!$A$2:$A$878,$A306,'Raw Data'!$B$2:$B$878,$B306,'Raw Data'!$D$2:$D$878,$D306)</f>
        <v>321</v>
      </c>
      <c r="F306" s="5">
        <f>IFERROR(3958.8*ACOS(MIN(1,MAX(-1,SIN(RADIANS('ZIP Coordinates'!$C$2))*SIN(RADIANS(INDEX('ZIP Coordinates'!$C:$C,MATCH($A306,'ZIP Coordinates'!$A:$A,0))))+COS(RADIANS('ZIP Coordinates'!$C$2))*COS(RADIANS(INDEX('ZIP Coordinates'!$C:$C,MATCH($A306,'ZIP Coordinates'!$A:$A,0))))*COS(RADIANS(INDEX('ZIP Coordinates'!$D:$D,MATCH($A306,'ZIP Coordinates'!$A:$A,0))-'ZIP Coordinates'!$D$2))))),"N/A")</f>
        <v>159.71109490437146</v>
      </c>
    </row>
    <row r="307" spans="1:6" x14ac:dyDescent="0.2">
      <c r="A307" s="3" t="s">
        <v>19</v>
      </c>
      <c r="B307" s="3" t="s">
        <v>255</v>
      </c>
      <c r="C307" s="3" t="s">
        <v>256</v>
      </c>
      <c r="D307" s="3" t="s">
        <v>95</v>
      </c>
      <c r="E307" s="28">
        <f>SUMIFS('Raw Data'!$I$2:$I$878,'Raw Data'!$A$2:$A$878,$A307,'Raw Data'!$B$2:$B$878,$B307,'Raw Data'!$D$2:$D$878,$D307)</f>
        <v>1200</v>
      </c>
      <c r="F307" s="5">
        <f>IFERROR(3958.8*ACOS(MIN(1,MAX(-1,SIN(RADIANS('ZIP Coordinates'!$C$2))*SIN(RADIANS(INDEX('ZIP Coordinates'!$C:$C,MATCH($A307,'ZIP Coordinates'!$A:$A,0))))+COS(RADIANS('ZIP Coordinates'!$C$2))*COS(RADIANS(INDEX('ZIP Coordinates'!$C:$C,MATCH($A307,'ZIP Coordinates'!$A:$A,0))))*COS(RADIANS(INDEX('ZIP Coordinates'!$D:$D,MATCH($A307,'ZIP Coordinates'!$A:$A,0))-'ZIP Coordinates'!$D$2))))),"N/A")</f>
        <v>159.71109490437146</v>
      </c>
    </row>
    <row r="308" spans="1:6" x14ac:dyDescent="0.2">
      <c r="A308" s="3" t="s">
        <v>20</v>
      </c>
      <c r="B308" s="3" t="s">
        <v>258</v>
      </c>
      <c r="C308" s="3" t="s">
        <v>240</v>
      </c>
      <c r="D308" s="3" t="s">
        <v>222</v>
      </c>
      <c r="E308" s="28">
        <f>SUMIFS('Raw Data'!$I$2:$I$878,'Raw Data'!$A$2:$A$878,$A308,'Raw Data'!$B$2:$B$878,$B308,'Raw Data'!$D$2:$D$878,$D308)</f>
        <v>4</v>
      </c>
      <c r="F308" s="5">
        <f>IFERROR(3958.8*ACOS(MIN(1,MAX(-1,SIN(RADIANS('ZIP Coordinates'!$C$2))*SIN(RADIANS(INDEX('ZIP Coordinates'!$C:$C,MATCH($A308,'ZIP Coordinates'!$A:$A,0))))+COS(RADIANS('ZIP Coordinates'!$C$2))*COS(RADIANS(INDEX('ZIP Coordinates'!$C:$C,MATCH($A308,'ZIP Coordinates'!$A:$A,0))))*COS(RADIANS(INDEX('ZIP Coordinates'!$D:$D,MATCH($A308,'ZIP Coordinates'!$A:$A,0))-'ZIP Coordinates'!$D$2))))),"N/A")</f>
        <v>181.26827089160921</v>
      </c>
    </row>
    <row r="309" spans="1:6" x14ac:dyDescent="0.2">
      <c r="A309" s="3" t="s">
        <v>21</v>
      </c>
      <c r="B309" s="3" t="s">
        <v>239</v>
      </c>
      <c r="C309" s="3" t="s">
        <v>240</v>
      </c>
      <c r="D309" s="3" t="s">
        <v>108</v>
      </c>
      <c r="E309" s="28">
        <f>SUMIFS('Raw Data'!$I$2:$I$878,'Raw Data'!$A$2:$A$878,$A309,'Raw Data'!$B$2:$B$878,$B309,'Raw Data'!$D$2:$D$878,$D309)</f>
        <v>92</v>
      </c>
      <c r="F309" s="5">
        <f>IFERROR(3958.8*ACOS(MIN(1,MAX(-1,SIN(RADIANS('ZIP Coordinates'!$C$2))*SIN(RADIANS(INDEX('ZIP Coordinates'!$C:$C,MATCH($A309,'ZIP Coordinates'!$A:$A,0))))+COS(RADIANS('ZIP Coordinates'!$C$2))*COS(RADIANS(INDEX('ZIP Coordinates'!$C:$C,MATCH($A309,'ZIP Coordinates'!$A:$A,0))))*COS(RADIANS(INDEX('ZIP Coordinates'!$D:$D,MATCH($A309,'ZIP Coordinates'!$A:$A,0))-'ZIP Coordinates'!$D$2))))),"N/A")</f>
        <v>173.66928069538093</v>
      </c>
    </row>
    <row r="310" spans="1:6" x14ac:dyDescent="0.2">
      <c r="A310" s="3" t="s">
        <v>21</v>
      </c>
      <c r="B310" s="3" t="s">
        <v>261</v>
      </c>
      <c r="C310" s="3" t="s">
        <v>260</v>
      </c>
      <c r="D310" s="3" t="s">
        <v>104</v>
      </c>
      <c r="E310" s="28">
        <f>SUMIFS('Raw Data'!$I$2:$I$878,'Raw Data'!$A$2:$A$878,$A310,'Raw Data'!$B$2:$B$878,$B310,'Raw Data'!$D$2:$D$878,$D310)</f>
        <v>118</v>
      </c>
      <c r="F310" s="5">
        <f>IFERROR(3958.8*ACOS(MIN(1,MAX(-1,SIN(RADIANS('ZIP Coordinates'!$C$2))*SIN(RADIANS(INDEX('ZIP Coordinates'!$C:$C,MATCH($A310,'ZIP Coordinates'!$A:$A,0))))+COS(RADIANS('ZIP Coordinates'!$C$2))*COS(RADIANS(INDEX('ZIP Coordinates'!$C:$C,MATCH($A310,'ZIP Coordinates'!$A:$A,0))))*COS(RADIANS(INDEX('ZIP Coordinates'!$D:$D,MATCH($A310,'ZIP Coordinates'!$A:$A,0))-'ZIP Coordinates'!$D$2))))),"N/A")</f>
        <v>173.66928069538093</v>
      </c>
    </row>
    <row r="311" spans="1:6" x14ac:dyDescent="0.2">
      <c r="A311" s="3" t="s">
        <v>21</v>
      </c>
      <c r="B311" s="3" t="s">
        <v>264</v>
      </c>
      <c r="C311" s="3" t="s">
        <v>263</v>
      </c>
      <c r="D311" s="3" t="s">
        <v>108</v>
      </c>
      <c r="E311" s="28">
        <f>SUMIFS('Raw Data'!$I$2:$I$878,'Raw Data'!$A$2:$A$878,$A311,'Raw Data'!$B$2:$B$878,$B311,'Raw Data'!$D$2:$D$878,$D311)</f>
        <v>9</v>
      </c>
      <c r="F311" s="5">
        <f>IFERROR(3958.8*ACOS(MIN(1,MAX(-1,SIN(RADIANS('ZIP Coordinates'!$C$2))*SIN(RADIANS(INDEX('ZIP Coordinates'!$C:$C,MATCH($A311,'ZIP Coordinates'!$A:$A,0))))+COS(RADIANS('ZIP Coordinates'!$C$2))*COS(RADIANS(INDEX('ZIP Coordinates'!$C:$C,MATCH($A311,'ZIP Coordinates'!$A:$A,0))))*COS(RADIANS(INDEX('ZIP Coordinates'!$D:$D,MATCH($A311,'ZIP Coordinates'!$A:$A,0))-'ZIP Coordinates'!$D$2))))),"N/A")</f>
        <v>173.66928069538093</v>
      </c>
    </row>
    <row r="312" spans="1:6" x14ac:dyDescent="0.2">
      <c r="A312" s="3" t="s">
        <v>21</v>
      </c>
      <c r="B312" s="3" t="s">
        <v>269</v>
      </c>
      <c r="C312" s="3" t="s">
        <v>268</v>
      </c>
      <c r="D312" s="3" t="s">
        <v>104</v>
      </c>
      <c r="E312" s="28">
        <f>SUMIFS('Raw Data'!$I$2:$I$878,'Raw Data'!$A$2:$A$878,$A312,'Raw Data'!$B$2:$B$878,$B312,'Raw Data'!$D$2:$D$878,$D312)</f>
        <v>45</v>
      </c>
      <c r="F312" s="5">
        <f>IFERROR(3958.8*ACOS(MIN(1,MAX(-1,SIN(RADIANS('ZIP Coordinates'!$C$2))*SIN(RADIANS(INDEX('ZIP Coordinates'!$C:$C,MATCH($A312,'ZIP Coordinates'!$A:$A,0))))+COS(RADIANS('ZIP Coordinates'!$C$2))*COS(RADIANS(INDEX('ZIP Coordinates'!$C:$C,MATCH($A312,'ZIP Coordinates'!$A:$A,0))))*COS(RADIANS(INDEX('ZIP Coordinates'!$D:$D,MATCH($A312,'ZIP Coordinates'!$A:$A,0))-'ZIP Coordinates'!$D$2))))),"N/A")</f>
        <v>173.66928069538093</v>
      </c>
    </row>
    <row r="313" spans="1:6" x14ac:dyDescent="0.2">
      <c r="A313" s="3" t="s">
        <v>21</v>
      </c>
      <c r="B313" s="3" t="s">
        <v>241</v>
      </c>
      <c r="C313" s="3" t="s">
        <v>242</v>
      </c>
      <c r="D313" s="3" t="s">
        <v>108</v>
      </c>
      <c r="E313" s="28">
        <f>SUMIFS('Raw Data'!$I$2:$I$878,'Raw Data'!$A$2:$A$878,$A313,'Raw Data'!$B$2:$B$878,$B313,'Raw Data'!$D$2:$D$878,$D313)</f>
        <v>26</v>
      </c>
      <c r="F313" s="5">
        <f>IFERROR(3958.8*ACOS(MIN(1,MAX(-1,SIN(RADIANS('ZIP Coordinates'!$C$2))*SIN(RADIANS(INDEX('ZIP Coordinates'!$C:$C,MATCH($A313,'ZIP Coordinates'!$A:$A,0))))+COS(RADIANS('ZIP Coordinates'!$C$2))*COS(RADIANS(INDEX('ZIP Coordinates'!$C:$C,MATCH($A313,'ZIP Coordinates'!$A:$A,0))))*COS(RADIANS(INDEX('ZIP Coordinates'!$D:$D,MATCH($A313,'ZIP Coordinates'!$A:$A,0))-'ZIP Coordinates'!$D$2))))),"N/A")</f>
        <v>173.66928069538093</v>
      </c>
    </row>
    <row r="314" spans="1:6" x14ac:dyDescent="0.2">
      <c r="A314" s="3" t="s">
        <v>21</v>
      </c>
      <c r="B314" s="3" t="s">
        <v>243</v>
      </c>
      <c r="C314" s="3" t="s">
        <v>244</v>
      </c>
      <c r="D314" s="3" t="s">
        <v>108</v>
      </c>
      <c r="E314" s="28">
        <f>SUMIFS('Raw Data'!$I$2:$I$878,'Raw Data'!$A$2:$A$878,$A314,'Raw Data'!$B$2:$B$878,$B314,'Raw Data'!$D$2:$D$878,$D314)</f>
        <v>38</v>
      </c>
      <c r="F314" s="5">
        <f>IFERROR(3958.8*ACOS(MIN(1,MAX(-1,SIN(RADIANS('ZIP Coordinates'!$C$2))*SIN(RADIANS(INDEX('ZIP Coordinates'!$C:$C,MATCH($A314,'ZIP Coordinates'!$A:$A,0))))+COS(RADIANS('ZIP Coordinates'!$C$2))*COS(RADIANS(INDEX('ZIP Coordinates'!$C:$C,MATCH($A314,'ZIP Coordinates'!$A:$A,0))))*COS(RADIANS(INDEX('ZIP Coordinates'!$D:$D,MATCH($A314,'ZIP Coordinates'!$A:$A,0))-'ZIP Coordinates'!$D$2))))),"N/A")</f>
        <v>173.66928069538093</v>
      </c>
    </row>
    <row r="315" spans="1:6" x14ac:dyDescent="0.2">
      <c r="A315" s="3" t="s">
        <v>21</v>
      </c>
      <c r="B315" s="3" t="s">
        <v>272</v>
      </c>
      <c r="C315" s="3" t="s">
        <v>273</v>
      </c>
      <c r="D315" s="3" t="s">
        <v>108</v>
      </c>
      <c r="E315" s="28">
        <f>SUMIFS('Raw Data'!$I$2:$I$878,'Raw Data'!$A$2:$A$878,$A315,'Raw Data'!$B$2:$B$878,$B315,'Raw Data'!$D$2:$D$878,$D315)</f>
        <v>7</v>
      </c>
      <c r="F315" s="5">
        <f>IFERROR(3958.8*ACOS(MIN(1,MAX(-1,SIN(RADIANS('ZIP Coordinates'!$C$2))*SIN(RADIANS(INDEX('ZIP Coordinates'!$C:$C,MATCH($A315,'ZIP Coordinates'!$A:$A,0))))+COS(RADIANS('ZIP Coordinates'!$C$2))*COS(RADIANS(INDEX('ZIP Coordinates'!$C:$C,MATCH($A315,'ZIP Coordinates'!$A:$A,0))))*COS(RADIANS(INDEX('ZIP Coordinates'!$D:$D,MATCH($A315,'ZIP Coordinates'!$A:$A,0))-'ZIP Coordinates'!$D$2))))),"N/A")</f>
        <v>173.66928069538093</v>
      </c>
    </row>
    <row r="316" spans="1:6" x14ac:dyDescent="0.2">
      <c r="A316" s="3" t="s">
        <v>21</v>
      </c>
      <c r="B316" s="3" t="s">
        <v>276</v>
      </c>
      <c r="C316" s="3" t="s">
        <v>275</v>
      </c>
      <c r="D316" s="3" t="s">
        <v>108</v>
      </c>
      <c r="E316" s="28">
        <f>SUMIFS('Raw Data'!$I$2:$I$878,'Raw Data'!$A$2:$A$878,$A316,'Raw Data'!$B$2:$B$878,$B316,'Raw Data'!$D$2:$D$878,$D316)</f>
        <v>23</v>
      </c>
      <c r="F316" s="5">
        <f>IFERROR(3958.8*ACOS(MIN(1,MAX(-1,SIN(RADIANS('ZIP Coordinates'!$C$2))*SIN(RADIANS(INDEX('ZIP Coordinates'!$C:$C,MATCH($A316,'ZIP Coordinates'!$A:$A,0))))+COS(RADIANS('ZIP Coordinates'!$C$2))*COS(RADIANS(INDEX('ZIP Coordinates'!$C:$C,MATCH($A316,'ZIP Coordinates'!$A:$A,0))))*COS(RADIANS(INDEX('ZIP Coordinates'!$D:$D,MATCH($A316,'ZIP Coordinates'!$A:$A,0))-'ZIP Coordinates'!$D$2))))),"N/A")</f>
        <v>173.66928069538093</v>
      </c>
    </row>
    <row r="317" spans="1:6" x14ac:dyDescent="0.2">
      <c r="A317" s="3" t="s">
        <v>21</v>
      </c>
      <c r="B317" s="3" t="s">
        <v>277</v>
      </c>
      <c r="C317" s="3" t="s">
        <v>278</v>
      </c>
      <c r="D317" s="3" t="s">
        <v>108</v>
      </c>
      <c r="E317" s="28">
        <f>SUMIFS('Raw Data'!$I$2:$I$878,'Raw Data'!$A$2:$A$878,$A317,'Raw Data'!$B$2:$B$878,$B317,'Raw Data'!$D$2:$D$878,$D317)</f>
        <v>23</v>
      </c>
      <c r="F317" s="5">
        <f>IFERROR(3958.8*ACOS(MIN(1,MAX(-1,SIN(RADIANS('ZIP Coordinates'!$C$2))*SIN(RADIANS(INDEX('ZIP Coordinates'!$C:$C,MATCH($A317,'ZIP Coordinates'!$A:$A,0))))+COS(RADIANS('ZIP Coordinates'!$C$2))*COS(RADIANS(INDEX('ZIP Coordinates'!$C:$C,MATCH($A317,'ZIP Coordinates'!$A:$A,0))))*COS(RADIANS(INDEX('ZIP Coordinates'!$D:$D,MATCH($A317,'ZIP Coordinates'!$A:$A,0))-'ZIP Coordinates'!$D$2))))),"N/A")</f>
        <v>173.66928069538093</v>
      </c>
    </row>
    <row r="318" spans="1:6" x14ac:dyDescent="0.2">
      <c r="A318" s="3" t="s">
        <v>21</v>
      </c>
      <c r="B318" s="3" t="s">
        <v>279</v>
      </c>
      <c r="C318" s="3" t="s">
        <v>280</v>
      </c>
      <c r="D318" s="3" t="s">
        <v>108</v>
      </c>
      <c r="E318" s="28">
        <f>SUMIFS('Raw Data'!$I$2:$I$878,'Raw Data'!$A$2:$A$878,$A318,'Raw Data'!$B$2:$B$878,$B318,'Raw Data'!$D$2:$D$878,$D318)</f>
        <v>24</v>
      </c>
      <c r="F318" s="5">
        <f>IFERROR(3958.8*ACOS(MIN(1,MAX(-1,SIN(RADIANS('ZIP Coordinates'!$C$2))*SIN(RADIANS(INDEX('ZIP Coordinates'!$C:$C,MATCH($A318,'ZIP Coordinates'!$A:$A,0))))+COS(RADIANS('ZIP Coordinates'!$C$2))*COS(RADIANS(INDEX('ZIP Coordinates'!$C:$C,MATCH($A318,'ZIP Coordinates'!$A:$A,0))))*COS(RADIANS(INDEX('ZIP Coordinates'!$D:$D,MATCH($A318,'ZIP Coordinates'!$A:$A,0))-'ZIP Coordinates'!$D$2))))),"N/A")</f>
        <v>173.66928069538093</v>
      </c>
    </row>
    <row r="319" spans="1:6" x14ac:dyDescent="0.2">
      <c r="A319" s="3" t="s">
        <v>21</v>
      </c>
      <c r="B319" s="3" t="s">
        <v>247</v>
      </c>
      <c r="C319" s="3" t="s">
        <v>246</v>
      </c>
      <c r="D319" s="3" t="s">
        <v>108</v>
      </c>
      <c r="E319" s="28">
        <f>SUMIFS('Raw Data'!$I$2:$I$878,'Raw Data'!$A$2:$A$878,$A319,'Raw Data'!$B$2:$B$878,$B319,'Raw Data'!$D$2:$D$878,$D319)</f>
        <v>60</v>
      </c>
      <c r="F319" s="5">
        <f>IFERROR(3958.8*ACOS(MIN(1,MAX(-1,SIN(RADIANS('ZIP Coordinates'!$C$2))*SIN(RADIANS(INDEX('ZIP Coordinates'!$C:$C,MATCH($A319,'ZIP Coordinates'!$A:$A,0))))+COS(RADIANS('ZIP Coordinates'!$C$2))*COS(RADIANS(INDEX('ZIP Coordinates'!$C:$C,MATCH($A319,'ZIP Coordinates'!$A:$A,0))))*COS(RADIANS(INDEX('ZIP Coordinates'!$D:$D,MATCH($A319,'ZIP Coordinates'!$A:$A,0))-'ZIP Coordinates'!$D$2))))),"N/A")</f>
        <v>173.66928069538093</v>
      </c>
    </row>
    <row r="320" spans="1:6" x14ac:dyDescent="0.2">
      <c r="A320" s="3" t="s">
        <v>21</v>
      </c>
      <c r="B320" s="3" t="s">
        <v>250</v>
      </c>
      <c r="C320" s="3" t="s">
        <v>249</v>
      </c>
      <c r="D320" s="3" t="s">
        <v>104</v>
      </c>
      <c r="E320" s="28">
        <f>SUMIFS('Raw Data'!$I$2:$I$878,'Raw Data'!$A$2:$A$878,$A320,'Raw Data'!$B$2:$B$878,$B320,'Raw Data'!$D$2:$D$878,$D320)</f>
        <v>53</v>
      </c>
      <c r="F320" s="5">
        <f>IFERROR(3958.8*ACOS(MIN(1,MAX(-1,SIN(RADIANS('ZIP Coordinates'!$C$2))*SIN(RADIANS(INDEX('ZIP Coordinates'!$C:$C,MATCH($A320,'ZIP Coordinates'!$A:$A,0))))+COS(RADIANS('ZIP Coordinates'!$C$2))*COS(RADIANS(INDEX('ZIP Coordinates'!$C:$C,MATCH($A320,'ZIP Coordinates'!$A:$A,0))))*COS(RADIANS(INDEX('ZIP Coordinates'!$D:$D,MATCH($A320,'ZIP Coordinates'!$A:$A,0))-'ZIP Coordinates'!$D$2))))),"N/A")</f>
        <v>173.66928069538093</v>
      </c>
    </row>
    <row r="321" spans="1:6" x14ac:dyDescent="0.2">
      <c r="A321" s="3" t="s">
        <v>21</v>
      </c>
      <c r="B321" s="3" t="s">
        <v>251</v>
      </c>
      <c r="C321" s="3" t="s">
        <v>252</v>
      </c>
      <c r="D321" s="3" t="s">
        <v>104</v>
      </c>
      <c r="E321" s="28">
        <f>SUMIFS('Raw Data'!$I$2:$I$878,'Raw Data'!$A$2:$A$878,$A321,'Raw Data'!$B$2:$B$878,$B321,'Raw Data'!$D$2:$D$878,$D321)</f>
        <v>104</v>
      </c>
      <c r="F321" s="5">
        <f>IFERROR(3958.8*ACOS(MIN(1,MAX(-1,SIN(RADIANS('ZIP Coordinates'!$C$2))*SIN(RADIANS(INDEX('ZIP Coordinates'!$C:$C,MATCH($A321,'ZIP Coordinates'!$A:$A,0))))+COS(RADIANS('ZIP Coordinates'!$C$2))*COS(RADIANS(INDEX('ZIP Coordinates'!$C:$C,MATCH($A321,'ZIP Coordinates'!$A:$A,0))))*COS(RADIANS(INDEX('ZIP Coordinates'!$D:$D,MATCH($A321,'ZIP Coordinates'!$A:$A,0))-'ZIP Coordinates'!$D$2))))),"N/A")</f>
        <v>173.66928069538093</v>
      </c>
    </row>
    <row r="322" spans="1:6" x14ac:dyDescent="0.2">
      <c r="A322" s="3" t="s">
        <v>21</v>
      </c>
      <c r="B322" s="3" t="s">
        <v>284</v>
      </c>
      <c r="C322" s="3" t="s">
        <v>285</v>
      </c>
      <c r="D322" s="3" t="s">
        <v>108</v>
      </c>
      <c r="E322" s="28">
        <f>SUMIFS('Raw Data'!$I$2:$I$878,'Raw Data'!$A$2:$A$878,$A322,'Raw Data'!$B$2:$B$878,$B322,'Raw Data'!$D$2:$D$878,$D322)</f>
        <v>17</v>
      </c>
      <c r="F322" s="5">
        <f>IFERROR(3958.8*ACOS(MIN(1,MAX(-1,SIN(RADIANS('ZIP Coordinates'!$C$2))*SIN(RADIANS(INDEX('ZIP Coordinates'!$C:$C,MATCH($A322,'ZIP Coordinates'!$A:$A,0))))+COS(RADIANS('ZIP Coordinates'!$C$2))*COS(RADIANS(INDEX('ZIP Coordinates'!$C:$C,MATCH($A322,'ZIP Coordinates'!$A:$A,0))))*COS(RADIANS(INDEX('ZIP Coordinates'!$D:$D,MATCH($A322,'ZIP Coordinates'!$A:$A,0))-'ZIP Coordinates'!$D$2))))),"N/A")</f>
        <v>173.66928069538093</v>
      </c>
    </row>
    <row r="323" spans="1:6" x14ac:dyDescent="0.2">
      <c r="A323" s="3" t="s">
        <v>21</v>
      </c>
      <c r="B323" s="3" t="s">
        <v>288</v>
      </c>
      <c r="C323" s="3" t="s">
        <v>287</v>
      </c>
      <c r="D323" s="3" t="s">
        <v>108</v>
      </c>
      <c r="E323" s="28">
        <f>SUMIFS('Raw Data'!$I$2:$I$878,'Raw Data'!$A$2:$A$878,$A323,'Raw Data'!$B$2:$B$878,$B323,'Raw Data'!$D$2:$D$878,$D323)</f>
        <v>256</v>
      </c>
      <c r="F323" s="5">
        <f>IFERROR(3958.8*ACOS(MIN(1,MAX(-1,SIN(RADIANS('ZIP Coordinates'!$C$2))*SIN(RADIANS(INDEX('ZIP Coordinates'!$C:$C,MATCH($A323,'ZIP Coordinates'!$A:$A,0))))+COS(RADIANS('ZIP Coordinates'!$C$2))*COS(RADIANS(INDEX('ZIP Coordinates'!$C:$C,MATCH($A323,'ZIP Coordinates'!$A:$A,0))))*COS(RADIANS(INDEX('ZIP Coordinates'!$D:$D,MATCH($A323,'ZIP Coordinates'!$A:$A,0))-'ZIP Coordinates'!$D$2))))),"N/A")</f>
        <v>173.66928069538093</v>
      </c>
    </row>
    <row r="324" spans="1:6" x14ac:dyDescent="0.2">
      <c r="A324" s="3" t="s">
        <v>21</v>
      </c>
      <c r="B324" s="3" t="s">
        <v>257</v>
      </c>
      <c r="C324" s="3" t="s">
        <v>256</v>
      </c>
      <c r="D324" s="3" t="s">
        <v>104</v>
      </c>
      <c r="E324" s="28">
        <f>SUMIFS('Raw Data'!$I$2:$I$878,'Raw Data'!$A$2:$A$878,$A324,'Raw Data'!$B$2:$B$878,$B324,'Raw Data'!$D$2:$D$878,$D324)</f>
        <v>343</v>
      </c>
      <c r="F324" s="5">
        <f>IFERROR(3958.8*ACOS(MIN(1,MAX(-1,SIN(RADIANS('ZIP Coordinates'!$C$2))*SIN(RADIANS(INDEX('ZIP Coordinates'!$C:$C,MATCH($A324,'ZIP Coordinates'!$A:$A,0))))+COS(RADIANS('ZIP Coordinates'!$C$2))*COS(RADIANS(INDEX('ZIP Coordinates'!$C:$C,MATCH($A324,'ZIP Coordinates'!$A:$A,0))))*COS(RADIANS(INDEX('ZIP Coordinates'!$D:$D,MATCH($A324,'ZIP Coordinates'!$A:$A,0))-'ZIP Coordinates'!$D$2))))),"N/A")</f>
        <v>173.66928069538093</v>
      </c>
    </row>
    <row r="325" spans="1:6" x14ac:dyDescent="0.2">
      <c r="A325" s="3" t="s">
        <v>22</v>
      </c>
      <c r="B325" s="3" t="s">
        <v>239</v>
      </c>
      <c r="C325" s="3" t="s">
        <v>240</v>
      </c>
      <c r="D325" s="3" t="s">
        <v>90</v>
      </c>
      <c r="E325" s="28">
        <f>SUMIFS('Raw Data'!$I$2:$I$878,'Raw Data'!$A$2:$A$878,$A325,'Raw Data'!$B$2:$B$878,$B325,'Raw Data'!$D$2:$D$878,$D325)</f>
        <v>92</v>
      </c>
      <c r="F325" s="5">
        <f>IFERROR(3958.8*ACOS(MIN(1,MAX(-1,SIN(RADIANS('ZIP Coordinates'!$C$2))*SIN(RADIANS(INDEX('ZIP Coordinates'!$C:$C,MATCH($A325,'ZIP Coordinates'!$A:$A,0))))+COS(RADIANS('ZIP Coordinates'!$C$2))*COS(RADIANS(INDEX('ZIP Coordinates'!$C:$C,MATCH($A325,'ZIP Coordinates'!$A:$A,0))))*COS(RADIANS(INDEX('ZIP Coordinates'!$D:$D,MATCH($A325,'ZIP Coordinates'!$A:$A,0))-'ZIP Coordinates'!$D$2))))),"N/A")</f>
        <v>167.59263571775259</v>
      </c>
    </row>
    <row r="326" spans="1:6" x14ac:dyDescent="0.2">
      <c r="A326" s="3" t="s">
        <v>22</v>
      </c>
      <c r="B326" s="3" t="s">
        <v>259</v>
      </c>
      <c r="C326" s="3" t="s">
        <v>260</v>
      </c>
      <c r="D326" s="3" t="s">
        <v>90</v>
      </c>
      <c r="E326" s="28">
        <f>SUMIFS('Raw Data'!$I$2:$I$878,'Raw Data'!$A$2:$A$878,$A326,'Raw Data'!$B$2:$B$878,$B326,'Raw Data'!$D$2:$D$878,$D326)</f>
        <v>40</v>
      </c>
      <c r="F326" s="5">
        <f>IFERROR(3958.8*ACOS(MIN(1,MAX(-1,SIN(RADIANS('ZIP Coordinates'!$C$2))*SIN(RADIANS(INDEX('ZIP Coordinates'!$C:$C,MATCH($A326,'ZIP Coordinates'!$A:$A,0))))+COS(RADIANS('ZIP Coordinates'!$C$2))*COS(RADIANS(INDEX('ZIP Coordinates'!$C:$C,MATCH($A326,'ZIP Coordinates'!$A:$A,0))))*COS(RADIANS(INDEX('ZIP Coordinates'!$D:$D,MATCH($A326,'ZIP Coordinates'!$A:$A,0))-'ZIP Coordinates'!$D$2))))),"N/A")</f>
        <v>167.59263571775259</v>
      </c>
    </row>
    <row r="327" spans="1:6" x14ac:dyDescent="0.2">
      <c r="A327" s="3" t="s">
        <v>22</v>
      </c>
      <c r="B327" s="3" t="s">
        <v>261</v>
      </c>
      <c r="C327" s="3" t="s">
        <v>260</v>
      </c>
      <c r="D327" s="3" t="s">
        <v>150</v>
      </c>
      <c r="E327" s="28">
        <f>SUMIFS('Raw Data'!$I$2:$I$878,'Raw Data'!$A$2:$A$878,$A327,'Raw Data'!$B$2:$B$878,$B327,'Raw Data'!$D$2:$D$878,$D327)</f>
        <v>107</v>
      </c>
      <c r="F327" s="5">
        <f>IFERROR(3958.8*ACOS(MIN(1,MAX(-1,SIN(RADIANS('ZIP Coordinates'!$C$2))*SIN(RADIANS(INDEX('ZIP Coordinates'!$C:$C,MATCH($A327,'ZIP Coordinates'!$A:$A,0))))+COS(RADIANS('ZIP Coordinates'!$C$2))*COS(RADIANS(INDEX('ZIP Coordinates'!$C:$C,MATCH($A327,'ZIP Coordinates'!$A:$A,0))))*COS(RADIANS(INDEX('ZIP Coordinates'!$D:$D,MATCH($A327,'ZIP Coordinates'!$A:$A,0))-'ZIP Coordinates'!$D$2))))),"N/A")</f>
        <v>167.59263571775259</v>
      </c>
    </row>
    <row r="328" spans="1:6" x14ac:dyDescent="0.2">
      <c r="A328" s="3" t="s">
        <v>22</v>
      </c>
      <c r="B328" s="3" t="s">
        <v>269</v>
      </c>
      <c r="C328" s="3" t="s">
        <v>268</v>
      </c>
      <c r="D328" s="3" t="s">
        <v>90</v>
      </c>
      <c r="E328" s="28">
        <f>SUMIFS('Raw Data'!$I$2:$I$878,'Raw Data'!$A$2:$A$878,$A328,'Raw Data'!$B$2:$B$878,$B328,'Raw Data'!$D$2:$D$878,$D328)</f>
        <v>9</v>
      </c>
      <c r="F328" s="5">
        <f>IFERROR(3958.8*ACOS(MIN(1,MAX(-1,SIN(RADIANS('ZIP Coordinates'!$C$2))*SIN(RADIANS(INDEX('ZIP Coordinates'!$C:$C,MATCH($A328,'ZIP Coordinates'!$A:$A,0))))+COS(RADIANS('ZIP Coordinates'!$C$2))*COS(RADIANS(INDEX('ZIP Coordinates'!$C:$C,MATCH($A328,'ZIP Coordinates'!$A:$A,0))))*COS(RADIANS(INDEX('ZIP Coordinates'!$D:$D,MATCH($A328,'ZIP Coordinates'!$A:$A,0))-'ZIP Coordinates'!$D$2))))),"N/A")</f>
        <v>167.59263571775259</v>
      </c>
    </row>
    <row r="329" spans="1:6" x14ac:dyDescent="0.2">
      <c r="A329" s="3" t="s">
        <v>22</v>
      </c>
      <c r="B329" s="3" t="s">
        <v>241</v>
      </c>
      <c r="C329" s="3" t="s">
        <v>242</v>
      </c>
      <c r="D329" s="3" t="s">
        <v>90</v>
      </c>
      <c r="E329" s="28">
        <f>SUMIFS('Raw Data'!$I$2:$I$878,'Raw Data'!$A$2:$A$878,$A329,'Raw Data'!$B$2:$B$878,$B329,'Raw Data'!$D$2:$D$878,$D329)</f>
        <v>80</v>
      </c>
      <c r="F329" s="5">
        <f>IFERROR(3958.8*ACOS(MIN(1,MAX(-1,SIN(RADIANS('ZIP Coordinates'!$C$2))*SIN(RADIANS(INDEX('ZIP Coordinates'!$C:$C,MATCH($A329,'ZIP Coordinates'!$A:$A,0))))+COS(RADIANS('ZIP Coordinates'!$C$2))*COS(RADIANS(INDEX('ZIP Coordinates'!$C:$C,MATCH($A329,'ZIP Coordinates'!$A:$A,0))))*COS(RADIANS(INDEX('ZIP Coordinates'!$D:$D,MATCH($A329,'ZIP Coordinates'!$A:$A,0))-'ZIP Coordinates'!$D$2))))),"N/A")</f>
        <v>167.59263571775259</v>
      </c>
    </row>
    <row r="330" spans="1:6" x14ac:dyDescent="0.2">
      <c r="A330" s="3" t="s">
        <v>22</v>
      </c>
      <c r="B330" s="3" t="s">
        <v>243</v>
      </c>
      <c r="C330" s="3" t="s">
        <v>244</v>
      </c>
      <c r="D330" s="3" t="s">
        <v>90</v>
      </c>
      <c r="E330" s="28">
        <f>SUMIFS('Raw Data'!$I$2:$I$878,'Raw Data'!$A$2:$A$878,$A330,'Raw Data'!$B$2:$B$878,$B330,'Raw Data'!$D$2:$D$878,$D330)</f>
        <v>91</v>
      </c>
      <c r="F330" s="5">
        <f>IFERROR(3958.8*ACOS(MIN(1,MAX(-1,SIN(RADIANS('ZIP Coordinates'!$C$2))*SIN(RADIANS(INDEX('ZIP Coordinates'!$C:$C,MATCH($A330,'ZIP Coordinates'!$A:$A,0))))+COS(RADIANS('ZIP Coordinates'!$C$2))*COS(RADIANS(INDEX('ZIP Coordinates'!$C:$C,MATCH($A330,'ZIP Coordinates'!$A:$A,0))))*COS(RADIANS(INDEX('ZIP Coordinates'!$D:$D,MATCH($A330,'ZIP Coordinates'!$A:$A,0))-'ZIP Coordinates'!$D$2))))),"N/A")</f>
        <v>167.59263571775259</v>
      </c>
    </row>
    <row r="331" spans="1:6" x14ac:dyDescent="0.2">
      <c r="A331" s="3" t="s">
        <v>22</v>
      </c>
      <c r="B331" s="3" t="s">
        <v>272</v>
      </c>
      <c r="C331" s="3" t="s">
        <v>273</v>
      </c>
      <c r="D331" s="3" t="s">
        <v>90</v>
      </c>
      <c r="E331" s="28">
        <f>SUMIFS('Raw Data'!$I$2:$I$878,'Raw Data'!$A$2:$A$878,$A331,'Raw Data'!$B$2:$B$878,$B331,'Raw Data'!$D$2:$D$878,$D331)</f>
        <v>2</v>
      </c>
      <c r="F331" s="5">
        <f>IFERROR(3958.8*ACOS(MIN(1,MAX(-1,SIN(RADIANS('ZIP Coordinates'!$C$2))*SIN(RADIANS(INDEX('ZIP Coordinates'!$C:$C,MATCH($A331,'ZIP Coordinates'!$A:$A,0))))+COS(RADIANS('ZIP Coordinates'!$C$2))*COS(RADIANS(INDEX('ZIP Coordinates'!$C:$C,MATCH($A331,'ZIP Coordinates'!$A:$A,0))))*COS(RADIANS(INDEX('ZIP Coordinates'!$D:$D,MATCH($A331,'ZIP Coordinates'!$A:$A,0))-'ZIP Coordinates'!$D$2))))),"N/A")</f>
        <v>167.59263571775259</v>
      </c>
    </row>
    <row r="332" spans="1:6" x14ac:dyDescent="0.2">
      <c r="A332" s="3" t="s">
        <v>22</v>
      </c>
      <c r="B332" s="3" t="s">
        <v>276</v>
      </c>
      <c r="C332" s="3" t="s">
        <v>275</v>
      </c>
      <c r="D332" s="3" t="s">
        <v>90</v>
      </c>
      <c r="E332" s="28">
        <f>SUMIFS('Raw Data'!$I$2:$I$878,'Raw Data'!$A$2:$A$878,$A332,'Raw Data'!$B$2:$B$878,$B332,'Raw Data'!$D$2:$D$878,$D332)</f>
        <v>98</v>
      </c>
      <c r="F332" s="5">
        <f>IFERROR(3958.8*ACOS(MIN(1,MAX(-1,SIN(RADIANS('ZIP Coordinates'!$C$2))*SIN(RADIANS(INDEX('ZIP Coordinates'!$C:$C,MATCH($A332,'ZIP Coordinates'!$A:$A,0))))+COS(RADIANS('ZIP Coordinates'!$C$2))*COS(RADIANS(INDEX('ZIP Coordinates'!$C:$C,MATCH($A332,'ZIP Coordinates'!$A:$A,0))))*COS(RADIANS(INDEX('ZIP Coordinates'!$D:$D,MATCH($A332,'ZIP Coordinates'!$A:$A,0))-'ZIP Coordinates'!$D$2))))),"N/A")</f>
        <v>167.59263571775259</v>
      </c>
    </row>
    <row r="333" spans="1:6" x14ac:dyDescent="0.2">
      <c r="A333" s="3" t="s">
        <v>22</v>
      </c>
      <c r="B333" s="3" t="s">
        <v>277</v>
      </c>
      <c r="C333" s="3" t="s">
        <v>278</v>
      </c>
      <c r="D333" s="3" t="s">
        <v>90</v>
      </c>
      <c r="E333" s="28">
        <f>SUMIFS('Raw Data'!$I$2:$I$878,'Raw Data'!$A$2:$A$878,$A333,'Raw Data'!$B$2:$B$878,$B333,'Raw Data'!$D$2:$D$878,$D333)</f>
        <v>39</v>
      </c>
      <c r="F333" s="5">
        <f>IFERROR(3958.8*ACOS(MIN(1,MAX(-1,SIN(RADIANS('ZIP Coordinates'!$C$2))*SIN(RADIANS(INDEX('ZIP Coordinates'!$C:$C,MATCH($A333,'ZIP Coordinates'!$A:$A,0))))+COS(RADIANS('ZIP Coordinates'!$C$2))*COS(RADIANS(INDEX('ZIP Coordinates'!$C:$C,MATCH($A333,'ZIP Coordinates'!$A:$A,0))))*COS(RADIANS(INDEX('ZIP Coordinates'!$D:$D,MATCH($A333,'ZIP Coordinates'!$A:$A,0))-'ZIP Coordinates'!$D$2))))),"N/A")</f>
        <v>167.59263571775259</v>
      </c>
    </row>
    <row r="334" spans="1:6" x14ac:dyDescent="0.2">
      <c r="A334" s="3" t="s">
        <v>22</v>
      </c>
      <c r="B334" s="3" t="s">
        <v>279</v>
      </c>
      <c r="C334" s="3" t="s">
        <v>280</v>
      </c>
      <c r="D334" s="3" t="s">
        <v>90</v>
      </c>
      <c r="E334" s="28">
        <f>SUMIFS('Raw Data'!$I$2:$I$878,'Raw Data'!$A$2:$A$878,$A334,'Raw Data'!$B$2:$B$878,$B334,'Raw Data'!$D$2:$D$878,$D334)</f>
        <v>36</v>
      </c>
      <c r="F334" s="5">
        <f>IFERROR(3958.8*ACOS(MIN(1,MAX(-1,SIN(RADIANS('ZIP Coordinates'!$C$2))*SIN(RADIANS(INDEX('ZIP Coordinates'!$C:$C,MATCH($A334,'ZIP Coordinates'!$A:$A,0))))+COS(RADIANS('ZIP Coordinates'!$C$2))*COS(RADIANS(INDEX('ZIP Coordinates'!$C:$C,MATCH($A334,'ZIP Coordinates'!$A:$A,0))))*COS(RADIANS(INDEX('ZIP Coordinates'!$D:$D,MATCH($A334,'ZIP Coordinates'!$A:$A,0))-'ZIP Coordinates'!$D$2))))),"N/A")</f>
        <v>167.59263571775259</v>
      </c>
    </row>
    <row r="335" spans="1:6" x14ac:dyDescent="0.2">
      <c r="A335" s="3" t="s">
        <v>22</v>
      </c>
      <c r="B335" s="3" t="s">
        <v>247</v>
      </c>
      <c r="C335" s="3" t="s">
        <v>246</v>
      </c>
      <c r="D335" s="3" t="s">
        <v>90</v>
      </c>
      <c r="E335" s="28">
        <f>SUMIFS('Raw Data'!$I$2:$I$878,'Raw Data'!$A$2:$A$878,$A335,'Raw Data'!$B$2:$B$878,$B335,'Raw Data'!$D$2:$D$878,$D335)</f>
        <v>122</v>
      </c>
      <c r="F335" s="5">
        <f>IFERROR(3958.8*ACOS(MIN(1,MAX(-1,SIN(RADIANS('ZIP Coordinates'!$C$2))*SIN(RADIANS(INDEX('ZIP Coordinates'!$C:$C,MATCH($A335,'ZIP Coordinates'!$A:$A,0))))+COS(RADIANS('ZIP Coordinates'!$C$2))*COS(RADIANS(INDEX('ZIP Coordinates'!$C:$C,MATCH($A335,'ZIP Coordinates'!$A:$A,0))))*COS(RADIANS(INDEX('ZIP Coordinates'!$D:$D,MATCH($A335,'ZIP Coordinates'!$A:$A,0))-'ZIP Coordinates'!$D$2))))),"N/A")</f>
        <v>167.59263571775259</v>
      </c>
    </row>
    <row r="336" spans="1:6" x14ac:dyDescent="0.2">
      <c r="A336" s="3" t="s">
        <v>22</v>
      </c>
      <c r="B336" s="3" t="s">
        <v>250</v>
      </c>
      <c r="C336" s="3" t="s">
        <v>249</v>
      </c>
      <c r="D336" s="3" t="s">
        <v>90</v>
      </c>
      <c r="E336" s="28">
        <f>SUMIFS('Raw Data'!$I$2:$I$878,'Raw Data'!$A$2:$A$878,$A336,'Raw Data'!$B$2:$B$878,$B336,'Raw Data'!$D$2:$D$878,$D336)</f>
        <v>130</v>
      </c>
      <c r="F336" s="5">
        <f>IFERROR(3958.8*ACOS(MIN(1,MAX(-1,SIN(RADIANS('ZIP Coordinates'!$C$2))*SIN(RADIANS(INDEX('ZIP Coordinates'!$C:$C,MATCH($A336,'ZIP Coordinates'!$A:$A,0))))+COS(RADIANS('ZIP Coordinates'!$C$2))*COS(RADIANS(INDEX('ZIP Coordinates'!$C:$C,MATCH($A336,'ZIP Coordinates'!$A:$A,0))))*COS(RADIANS(INDEX('ZIP Coordinates'!$D:$D,MATCH($A336,'ZIP Coordinates'!$A:$A,0))-'ZIP Coordinates'!$D$2))))),"N/A")</f>
        <v>167.59263571775259</v>
      </c>
    </row>
    <row r="337" spans="1:6" x14ac:dyDescent="0.2">
      <c r="A337" s="3" t="s">
        <v>22</v>
      </c>
      <c r="B337" s="3" t="s">
        <v>251</v>
      </c>
      <c r="C337" s="3" t="s">
        <v>252</v>
      </c>
      <c r="D337" s="3" t="s">
        <v>90</v>
      </c>
      <c r="E337" s="28">
        <f>SUMIFS('Raw Data'!$I$2:$I$878,'Raw Data'!$A$2:$A$878,$A337,'Raw Data'!$B$2:$B$878,$B337,'Raw Data'!$D$2:$D$878,$D337)</f>
        <v>195</v>
      </c>
      <c r="F337" s="5">
        <f>IFERROR(3958.8*ACOS(MIN(1,MAX(-1,SIN(RADIANS('ZIP Coordinates'!$C$2))*SIN(RADIANS(INDEX('ZIP Coordinates'!$C:$C,MATCH($A337,'ZIP Coordinates'!$A:$A,0))))+COS(RADIANS('ZIP Coordinates'!$C$2))*COS(RADIANS(INDEX('ZIP Coordinates'!$C:$C,MATCH($A337,'ZIP Coordinates'!$A:$A,0))))*COS(RADIANS(INDEX('ZIP Coordinates'!$D:$D,MATCH($A337,'ZIP Coordinates'!$A:$A,0))-'ZIP Coordinates'!$D$2))))),"N/A")</f>
        <v>167.59263571775259</v>
      </c>
    </row>
    <row r="338" spans="1:6" x14ac:dyDescent="0.2">
      <c r="A338" s="3" t="s">
        <v>22</v>
      </c>
      <c r="B338" s="3" t="s">
        <v>284</v>
      </c>
      <c r="C338" s="3" t="s">
        <v>285</v>
      </c>
      <c r="D338" s="3" t="s">
        <v>90</v>
      </c>
      <c r="E338" s="28">
        <f>SUMIFS('Raw Data'!$I$2:$I$878,'Raw Data'!$A$2:$A$878,$A338,'Raw Data'!$B$2:$B$878,$B338,'Raw Data'!$D$2:$D$878,$D338)</f>
        <v>26</v>
      </c>
      <c r="F338" s="5">
        <f>IFERROR(3958.8*ACOS(MIN(1,MAX(-1,SIN(RADIANS('ZIP Coordinates'!$C$2))*SIN(RADIANS(INDEX('ZIP Coordinates'!$C:$C,MATCH($A338,'ZIP Coordinates'!$A:$A,0))))+COS(RADIANS('ZIP Coordinates'!$C$2))*COS(RADIANS(INDEX('ZIP Coordinates'!$C:$C,MATCH($A338,'ZIP Coordinates'!$A:$A,0))))*COS(RADIANS(INDEX('ZIP Coordinates'!$D:$D,MATCH($A338,'ZIP Coordinates'!$A:$A,0))-'ZIP Coordinates'!$D$2))))),"N/A")</f>
        <v>167.59263571775259</v>
      </c>
    </row>
    <row r="339" spans="1:6" x14ac:dyDescent="0.2">
      <c r="A339" s="3" t="s">
        <v>22</v>
      </c>
      <c r="B339" s="3" t="s">
        <v>288</v>
      </c>
      <c r="C339" s="3" t="s">
        <v>287</v>
      </c>
      <c r="D339" s="3" t="s">
        <v>90</v>
      </c>
      <c r="E339" s="28">
        <f>SUMIFS('Raw Data'!$I$2:$I$878,'Raw Data'!$A$2:$A$878,$A339,'Raw Data'!$B$2:$B$878,$B339,'Raw Data'!$D$2:$D$878,$D339)</f>
        <v>360</v>
      </c>
      <c r="F339" s="5">
        <f>IFERROR(3958.8*ACOS(MIN(1,MAX(-1,SIN(RADIANS('ZIP Coordinates'!$C$2))*SIN(RADIANS(INDEX('ZIP Coordinates'!$C:$C,MATCH($A339,'ZIP Coordinates'!$A:$A,0))))+COS(RADIANS('ZIP Coordinates'!$C$2))*COS(RADIANS(INDEX('ZIP Coordinates'!$C:$C,MATCH($A339,'ZIP Coordinates'!$A:$A,0))))*COS(RADIANS(INDEX('ZIP Coordinates'!$D:$D,MATCH($A339,'ZIP Coordinates'!$A:$A,0))-'ZIP Coordinates'!$D$2))))),"N/A")</f>
        <v>167.59263571775259</v>
      </c>
    </row>
    <row r="340" spans="1:6" x14ac:dyDescent="0.2">
      <c r="A340" s="3" t="s">
        <v>22</v>
      </c>
      <c r="B340" s="3" t="s">
        <v>257</v>
      </c>
      <c r="C340" s="3" t="s">
        <v>256</v>
      </c>
      <c r="D340" s="3" t="s">
        <v>90</v>
      </c>
      <c r="E340" s="28">
        <f>SUMIFS('Raw Data'!$I$2:$I$878,'Raw Data'!$A$2:$A$878,$A340,'Raw Data'!$B$2:$B$878,$B340,'Raw Data'!$D$2:$D$878,$D340)</f>
        <v>818</v>
      </c>
      <c r="F340" s="5">
        <f>IFERROR(3958.8*ACOS(MIN(1,MAX(-1,SIN(RADIANS('ZIP Coordinates'!$C$2))*SIN(RADIANS(INDEX('ZIP Coordinates'!$C:$C,MATCH($A340,'ZIP Coordinates'!$A:$A,0))))+COS(RADIANS('ZIP Coordinates'!$C$2))*COS(RADIANS(INDEX('ZIP Coordinates'!$C:$C,MATCH($A340,'ZIP Coordinates'!$A:$A,0))))*COS(RADIANS(INDEX('ZIP Coordinates'!$D:$D,MATCH($A340,'ZIP Coordinates'!$A:$A,0))-'ZIP Coordinates'!$D$2))))),"N/A")</f>
        <v>167.59263571775259</v>
      </c>
    </row>
    <row r="341" spans="1:6" x14ac:dyDescent="0.2">
      <c r="A341" s="3" t="s">
        <v>23</v>
      </c>
      <c r="B341" s="3" t="s">
        <v>239</v>
      </c>
      <c r="C341" s="3" t="s">
        <v>240</v>
      </c>
      <c r="D341" s="3" t="s">
        <v>111</v>
      </c>
      <c r="E341" s="28">
        <f>SUMIFS('Raw Data'!$I$2:$I$878,'Raw Data'!$A$2:$A$878,$A341,'Raw Data'!$B$2:$B$878,$B341,'Raw Data'!$D$2:$D$878,$D341)</f>
        <v>28</v>
      </c>
      <c r="F341" s="5">
        <f>IFERROR(3958.8*ACOS(MIN(1,MAX(-1,SIN(RADIANS('ZIP Coordinates'!$C$2))*SIN(RADIANS(INDEX('ZIP Coordinates'!$C:$C,MATCH($A341,'ZIP Coordinates'!$A:$A,0))))+COS(RADIANS('ZIP Coordinates'!$C$2))*COS(RADIANS(INDEX('ZIP Coordinates'!$C:$C,MATCH($A341,'ZIP Coordinates'!$A:$A,0))))*COS(RADIANS(INDEX('ZIP Coordinates'!$D:$D,MATCH($A341,'ZIP Coordinates'!$A:$A,0))-'ZIP Coordinates'!$D$2))))),"N/A")</f>
        <v>200.09402060306726</v>
      </c>
    </row>
    <row r="342" spans="1:6" x14ac:dyDescent="0.2">
      <c r="A342" s="3" t="s">
        <v>23</v>
      </c>
      <c r="B342" s="3" t="s">
        <v>259</v>
      </c>
      <c r="C342" s="3" t="s">
        <v>260</v>
      </c>
      <c r="D342" s="3" t="s">
        <v>111</v>
      </c>
      <c r="E342" s="28">
        <f>SUMIFS('Raw Data'!$I$2:$I$878,'Raw Data'!$A$2:$A$878,$A342,'Raw Data'!$B$2:$B$878,$B342,'Raw Data'!$D$2:$D$878,$D342)</f>
        <v>112</v>
      </c>
      <c r="F342" s="5">
        <f>IFERROR(3958.8*ACOS(MIN(1,MAX(-1,SIN(RADIANS('ZIP Coordinates'!$C$2))*SIN(RADIANS(INDEX('ZIP Coordinates'!$C:$C,MATCH($A342,'ZIP Coordinates'!$A:$A,0))))+COS(RADIANS('ZIP Coordinates'!$C$2))*COS(RADIANS(INDEX('ZIP Coordinates'!$C:$C,MATCH($A342,'ZIP Coordinates'!$A:$A,0))))*COS(RADIANS(INDEX('ZIP Coordinates'!$D:$D,MATCH($A342,'ZIP Coordinates'!$A:$A,0))-'ZIP Coordinates'!$D$2))))),"N/A")</f>
        <v>200.09402060306726</v>
      </c>
    </row>
    <row r="343" spans="1:6" x14ac:dyDescent="0.2">
      <c r="A343" s="3" t="s">
        <v>23</v>
      </c>
      <c r="B343" s="3" t="s">
        <v>241</v>
      </c>
      <c r="C343" s="3" t="s">
        <v>242</v>
      </c>
      <c r="D343" s="3" t="s">
        <v>111</v>
      </c>
      <c r="E343" s="28">
        <f>SUMIFS('Raw Data'!$I$2:$I$878,'Raw Data'!$A$2:$A$878,$A343,'Raw Data'!$B$2:$B$878,$B343,'Raw Data'!$D$2:$D$878,$D343)</f>
        <v>32</v>
      </c>
      <c r="F343" s="5">
        <f>IFERROR(3958.8*ACOS(MIN(1,MAX(-1,SIN(RADIANS('ZIP Coordinates'!$C$2))*SIN(RADIANS(INDEX('ZIP Coordinates'!$C:$C,MATCH($A343,'ZIP Coordinates'!$A:$A,0))))+COS(RADIANS('ZIP Coordinates'!$C$2))*COS(RADIANS(INDEX('ZIP Coordinates'!$C:$C,MATCH($A343,'ZIP Coordinates'!$A:$A,0))))*COS(RADIANS(INDEX('ZIP Coordinates'!$D:$D,MATCH($A343,'ZIP Coordinates'!$A:$A,0))-'ZIP Coordinates'!$D$2))))),"N/A")</f>
        <v>200.09402060306726</v>
      </c>
    </row>
    <row r="344" spans="1:6" x14ac:dyDescent="0.2">
      <c r="A344" s="3" t="s">
        <v>23</v>
      </c>
      <c r="B344" s="3" t="s">
        <v>243</v>
      </c>
      <c r="C344" s="3" t="s">
        <v>244</v>
      </c>
      <c r="D344" s="3" t="s">
        <v>111</v>
      </c>
      <c r="E344" s="28">
        <f>SUMIFS('Raw Data'!$I$2:$I$878,'Raw Data'!$A$2:$A$878,$A344,'Raw Data'!$B$2:$B$878,$B344,'Raw Data'!$D$2:$D$878,$D344)</f>
        <v>42</v>
      </c>
      <c r="F344" s="5">
        <f>IFERROR(3958.8*ACOS(MIN(1,MAX(-1,SIN(RADIANS('ZIP Coordinates'!$C$2))*SIN(RADIANS(INDEX('ZIP Coordinates'!$C:$C,MATCH($A344,'ZIP Coordinates'!$A:$A,0))))+COS(RADIANS('ZIP Coordinates'!$C$2))*COS(RADIANS(INDEX('ZIP Coordinates'!$C:$C,MATCH($A344,'ZIP Coordinates'!$A:$A,0))))*COS(RADIANS(INDEX('ZIP Coordinates'!$D:$D,MATCH($A344,'ZIP Coordinates'!$A:$A,0))-'ZIP Coordinates'!$D$2))))),"N/A")</f>
        <v>200.09402060306726</v>
      </c>
    </row>
    <row r="345" spans="1:6" x14ac:dyDescent="0.2">
      <c r="A345" s="3" t="s">
        <v>23</v>
      </c>
      <c r="B345" s="3" t="s">
        <v>276</v>
      </c>
      <c r="C345" s="3" t="s">
        <v>275</v>
      </c>
      <c r="D345" s="3" t="s">
        <v>111</v>
      </c>
      <c r="E345" s="28">
        <f>SUMIFS('Raw Data'!$I$2:$I$878,'Raw Data'!$A$2:$A$878,$A345,'Raw Data'!$B$2:$B$878,$B345,'Raw Data'!$D$2:$D$878,$D345)</f>
        <v>46</v>
      </c>
      <c r="F345" s="5">
        <f>IFERROR(3958.8*ACOS(MIN(1,MAX(-1,SIN(RADIANS('ZIP Coordinates'!$C$2))*SIN(RADIANS(INDEX('ZIP Coordinates'!$C:$C,MATCH($A345,'ZIP Coordinates'!$A:$A,0))))+COS(RADIANS('ZIP Coordinates'!$C$2))*COS(RADIANS(INDEX('ZIP Coordinates'!$C:$C,MATCH($A345,'ZIP Coordinates'!$A:$A,0))))*COS(RADIANS(INDEX('ZIP Coordinates'!$D:$D,MATCH($A345,'ZIP Coordinates'!$A:$A,0))-'ZIP Coordinates'!$D$2))))),"N/A")</f>
        <v>200.09402060306726</v>
      </c>
    </row>
    <row r="346" spans="1:6" x14ac:dyDescent="0.2">
      <c r="A346" s="3" t="s">
        <v>23</v>
      </c>
      <c r="B346" s="3" t="s">
        <v>277</v>
      </c>
      <c r="C346" s="3" t="s">
        <v>278</v>
      </c>
      <c r="D346" s="3" t="s">
        <v>111</v>
      </c>
      <c r="E346" s="28">
        <f>SUMIFS('Raw Data'!$I$2:$I$878,'Raw Data'!$A$2:$A$878,$A346,'Raw Data'!$B$2:$B$878,$B346,'Raw Data'!$D$2:$D$878,$D346)</f>
        <v>41</v>
      </c>
      <c r="F346" s="5">
        <f>IFERROR(3958.8*ACOS(MIN(1,MAX(-1,SIN(RADIANS('ZIP Coordinates'!$C$2))*SIN(RADIANS(INDEX('ZIP Coordinates'!$C:$C,MATCH($A346,'ZIP Coordinates'!$A:$A,0))))+COS(RADIANS('ZIP Coordinates'!$C$2))*COS(RADIANS(INDEX('ZIP Coordinates'!$C:$C,MATCH($A346,'ZIP Coordinates'!$A:$A,0))))*COS(RADIANS(INDEX('ZIP Coordinates'!$D:$D,MATCH($A346,'ZIP Coordinates'!$A:$A,0))-'ZIP Coordinates'!$D$2))))),"N/A")</f>
        <v>200.09402060306726</v>
      </c>
    </row>
    <row r="347" spans="1:6" x14ac:dyDescent="0.2">
      <c r="A347" s="3" t="s">
        <v>23</v>
      </c>
      <c r="B347" s="3" t="s">
        <v>279</v>
      </c>
      <c r="C347" s="3" t="s">
        <v>280</v>
      </c>
      <c r="D347" s="3" t="s">
        <v>111</v>
      </c>
      <c r="E347" s="28">
        <f>SUMIFS('Raw Data'!$I$2:$I$878,'Raw Data'!$A$2:$A$878,$A347,'Raw Data'!$B$2:$B$878,$B347,'Raw Data'!$D$2:$D$878,$D347)</f>
        <v>50</v>
      </c>
      <c r="F347" s="5">
        <f>IFERROR(3958.8*ACOS(MIN(1,MAX(-1,SIN(RADIANS('ZIP Coordinates'!$C$2))*SIN(RADIANS(INDEX('ZIP Coordinates'!$C:$C,MATCH($A347,'ZIP Coordinates'!$A:$A,0))))+COS(RADIANS('ZIP Coordinates'!$C$2))*COS(RADIANS(INDEX('ZIP Coordinates'!$C:$C,MATCH($A347,'ZIP Coordinates'!$A:$A,0))))*COS(RADIANS(INDEX('ZIP Coordinates'!$D:$D,MATCH($A347,'ZIP Coordinates'!$A:$A,0))-'ZIP Coordinates'!$D$2))))),"N/A")</f>
        <v>200.09402060306726</v>
      </c>
    </row>
    <row r="348" spans="1:6" x14ac:dyDescent="0.2">
      <c r="A348" s="3" t="s">
        <v>23</v>
      </c>
      <c r="B348" s="3" t="s">
        <v>247</v>
      </c>
      <c r="C348" s="3" t="s">
        <v>246</v>
      </c>
      <c r="D348" s="3" t="s">
        <v>111</v>
      </c>
      <c r="E348" s="28">
        <f>SUMIFS('Raw Data'!$I$2:$I$878,'Raw Data'!$A$2:$A$878,$A348,'Raw Data'!$B$2:$B$878,$B348,'Raw Data'!$D$2:$D$878,$D348)</f>
        <v>56</v>
      </c>
      <c r="F348" s="5">
        <f>IFERROR(3958.8*ACOS(MIN(1,MAX(-1,SIN(RADIANS('ZIP Coordinates'!$C$2))*SIN(RADIANS(INDEX('ZIP Coordinates'!$C:$C,MATCH($A348,'ZIP Coordinates'!$A:$A,0))))+COS(RADIANS('ZIP Coordinates'!$C$2))*COS(RADIANS(INDEX('ZIP Coordinates'!$C:$C,MATCH($A348,'ZIP Coordinates'!$A:$A,0))))*COS(RADIANS(INDEX('ZIP Coordinates'!$D:$D,MATCH($A348,'ZIP Coordinates'!$A:$A,0))-'ZIP Coordinates'!$D$2))))),"N/A")</f>
        <v>200.09402060306726</v>
      </c>
    </row>
    <row r="349" spans="1:6" x14ac:dyDescent="0.2">
      <c r="A349" s="3" t="s">
        <v>23</v>
      </c>
      <c r="B349" s="3" t="s">
        <v>250</v>
      </c>
      <c r="C349" s="3" t="s">
        <v>249</v>
      </c>
      <c r="D349" s="3" t="s">
        <v>111</v>
      </c>
      <c r="E349" s="28">
        <f>SUMIFS('Raw Data'!$I$2:$I$878,'Raw Data'!$A$2:$A$878,$A349,'Raw Data'!$B$2:$B$878,$B349,'Raw Data'!$D$2:$D$878,$D349)</f>
        <v>60</v>
      </c>
      <c r="F349" s="5">
        <f>IFERROR(3958.8*ACOS(MIN(1,MAX(-1,SIN(RADIANS('ZIP Coordinates'!$C$2))*SIN(RADIANS(INDEX('ZIP Coordinates'!$C:$C,MATCH($A349,'ZIP Coordinates'!$A:$A,0))))+COS(RADIANS('ZIP Coordinates'!$C$2))*COS(RADIANS(INDEX('ZIP Coordinates'!$C:$C,MATCH($A349,'ZIP Coordinates'!$A:$A,0))))*COS(RADIANS(INDEX('ZIP Coordinates'!$D:$D,MATCH($A349,'ZIP Coordinates'!$A:$A,0))-'ZIP Coordinates'!$D$2))))),"N/A")</f>
        <v>200.09402060306726</v>
      </c>
    </row>
    <row r="350" spans="1:6" x14ac:dyDescent="0.2">
      <c r="A350" s="3" t="s">
        <v>23</v>
      </c>
      <c r="B350" s="3" t="s">
        <v>251</v>
      </c>
      <c r="C350" s="3" t="s">
        <v>252</v>
      </c>
      <c r="D350" s="3" t="s">
        <v>111</v>
      </c>
      <c r="E350" s="28">
        <f>SUMIFS('Raw Data'!$I$2:$I$878,'Raw Data'!$A$2:$A$878,$A350,'Raw Data'!$B$2:$B$878,$B350,'Raw Data'!$D$2:$D$878,$D350)</f>
        <v>57</v>
      </c>
      <c r="F350" s="5">
        <f>IFERROR(3958.8*ACOS(MIN(1,MAX(-1,SIN(RADIANS('ZIP Coordinates'!$C$2))*SIN(RADIANS(INDEX('ZIP Coordinates'!$C:$C,MATCH($A350,'ZIP Coordinates'!$A:$A,0))))+COS(RADIANS('ZIP Coordinates'!$C$2))*COS(RADIANS(INDEX('ZIP Coordinates'!$C:$C,MATCH($A350,'ZIP Coordinates'!$A:$A,0))))*COS(RADIANS(INDEX('ZIP Coordinates'!$D:$D,MATCH($A350,'ZIP Coordinates'!$A:$A,0))-'ZIP Coordinates'!$D$2))))),"N/A")</f>
        <v>200.09402060306726</v>
      </c>
    </row>
    <row r="351" spans="1:6" x14ac:dyDescent="0.2">
      <c r="A351" s="3" t="s">
        <v>23</v>
      </c>
      <c r="B351" s="3" t="s">
        <v>282</v>
      </c>
      <c r="C351" s="3" t="s">
        <v>283</v>
      </c>
      <c r="D351" s="3" t="s">
        <v>111</v>
      </c>
      <c r="E351" s="28">
        <f>SUMIFS('Raw Data'!$I$2:$I$878,'Raw Data'!$A$2:$A$878,$A351,'Raw Data'!$B$2:$B$878,$B351,'Raw Data'!$D$2:$D$878,$D351)</f>
        <v>8</v>
      </c>
      <c r="F351" s="5">
        <f>IFERROR(3958.8*ACOS(MIN(1,MAX(-1,SIN(RADIANS('ZIP Coordinates'!$C$2))*SIN(RADIANS(INDEX('ZIP Coordinates'!$C:$C,MATCH($A351,'ZIP Coordinates'!$A:$A,0))))+COS(RADIANS('ZIP Coordinates'!$C$2))*COS(RADIANS(INDEX('ZIP Coordinates'!$C:$C,MATCH($A351,'ZIP Coordinates'!$A:$A,0))))*COS(RADIANS(INDEX('ZIP Coordinates'!$D:$D,MATCH($A351,'ZIP Coordinates'!$A:$A,0))-'ZIP Coordinates'!$D$2))))),"N/A")</f>
        <v>200.09402060306726</v>
      </c>
    </row>
    <row r="352" spans="1:6" x14ac:dyDescent="0.2">
      <c r="A352" s="3" t="s">
        <v>23</v>
      </c>
      <c r="B352" s="3" t="s">
        <v>284</v>
      </c>
      <c r="C352" s="3" t="s">
        <v>285</v>
      </c>
      <c r="D352" s="3" t="s">
        <v>111</v>
      </c>
      <c r="E352" s="28">
        <f>SUMIFS('Raw Data'!$I$2:$I$878,'Raw Data'!$A$2:$A$878,$A352,'Raw Data'!$B$2:$B$878,$B352,'Raw Data'!$D$2:$D$878,$D352)</f>
        <v>6</v>
      </c>
      <c r="F352" s="5">
        <f>IFERROR(3958.8*ACOS(MIN(1,MAX(-1,SIN(RADIANS('ZIP Coordinates'!$C$2))*SIN(RADIANS(INDEX('ZIP Coordinates'!$C:$C,MATCH($A352,'ZIP Coordinates'!$A:$A,0))))+COS(RADIANS('ZIP Coordinates'!$C$2))*COS(RADIANS(INDEX('ZIP Coordinates'!$C:$C,MATCH($A352,'ZIP Coordinates'!$A:$A,0))))*COS(RADIANS(INDEX('ZIP Coordinates'!$D:$D,MATCH($A352,'ZIP Coordinates'!$A:$A,0))-'ZIP Coordinates'!$D$2))))),"N/A")</f>
        <v>200.09402060306726</v>
      </c>
    </row>
    <row r="353" spans="1:6" x14ac:dyDescent="0.2">
      <c r="A353" s="3" t="s">
        <v>23</v>
      </c>
      <c r="B353" s="3" t="s">
        <v>288</v>
      </c>
      <c r="C353" s="3" t="s">
        <v>287</v>
      </c>
      <c r="D353" s="3" t="s">
        <v>111</v>
      </c>
      <c r="E353" s="28">
        <f>SUMIFS('Raw Data'!$I$2:$I$878,'Raw Data'!$A$2:$A$878,$A353,'Raw Data'!$B$2:$B$878,$B353,'Raw Data'!$D$2:$D$878,$D353)</f>
        <v>63</v>
      </c>
      <c r="F353" s="5">
        <f>IFERROR(3958.8*ACOS(MIN(1,MAX(-1,SIN(RADIANS('ZIP Coordinates'!$C$2))*SIN(RADIANS(INDEX('ZIP Coordinates'!$C:$C,MATCH($A353,'ZIP Coordinates'!$A:$A,0))))+COS(RADIANS('ZIP Coordinates'!$C$2))*COS(RADIANS(INDEX('ZIP Coordinates'!$C:$C,MATCH($A353,'ZIP Coordinates'!$A:$A,0))))*COS(RADIANS(INDEX('ZIP Coordinates'!$D:$D,MATCH($A353,'ZIP Coordinates'!$A:$A,0))-'ZIP Coordinates'!$D$2))))),"N/A")</f>
        <v>200.09402060306726</v>
      </c>
    </row>
    <row r="354" spans="1:6" x14ac:dyDescent="0.2">
      <c r="A354" s="3" t="s">
        <v>23</v>
      </c>
      <c r="B354" s="3" t="s">
        <v>255</v>
      </c>
      <c r="C354" s="3" t="s">
        <v>256</v>
      </c>
      <c r="D354" s="3" t="s">
        <v>111</v>
      </c>
      <c r="E354" s="28">
        <f>SUMIFS('Raw Data'!$I$2:$I$878,'Raw Data'!$A$2:$A$878,$A354,'Raw Data'!$B$2:$B$878,$B354,'Raw Data'!$D$2:$D$878,$D354)</f>
        <v>200</v>
      </c>
      <c r="F354" s="5">
        <f>IFERROR(3958.8*ACOS(MIN(1,MAX(-1,SIN(RADIANS('ZIP Coordinates'!$C$2))*SIN(RADIANS(INDEX('ZIP Coordinates'!$C:$C,MATCH($A354,'ZIP Coordinates'!$A:$A,0))))+COS(RADIANS('ZIP Coordinates'!$C$2))*COS(RADIANS(INDEX('ZIP Coordinates'!$C:$C,MATCH($A354,'ZIP Coordinates'!$A:$A,0))))*COS(RADIANS(INDEX('ZIP Coordinates'!$D:$D,MATCH($A354,'ZIP Coordinates'!$A:$A,0))-'ZIP Coordinates'!$D$2))))),"N/A")</f>
        <v>200.09402060306726</v>
      </c>
    </row>
    <row r="355" spans="1:6" x14ac:dyDescent="0.2">
      <c r="A355" s="3" t="s">
        <v>24</v>
      </c>
      <c r="B355" s="3" t="s">
        <v>294</v>
      </c>
      <c r="C355" s="3" t="s">
        <v>295</v>
      </c>
      <c r="D355" s="3" t="s">
        <v>213</v>
      </c>
      <c r="E355" s="28">
        <f>SUMIFS('Raw Data'!$I$2:$I$878,'Raw Data'!$A$2:$A$878,$A355,'Raw Data'!$B$2:$B$878,$B355,'Raw Data'!$D$2:$D$878,$D355)</f>
        <v>3</v>
      </c>
      <c r="F355" s="5">
        <f>IFERROR(3958.8*ACOS(MIN(1,MAX(-1,SIN(RADIANS('ZIP Coordinates'!$C$2))*SIN(RADIANS(INDEX('ZIP Coordinates'!$C:$C,MATCH($A355,'ZIP Coordinates'!$A:$A,0))))+COS(RADIANS('ZIP Coordinates'!$C$2))*COS(RADIANS(INDEX('ZIP Coordinates'!$C:$C,MATCH($A355,'ZIP Coordinates'!$A:$A,0))))*COS(RADIANS(INDEX('ZIP Coordinates'!$D:$D,MATCH($A355,'ZIP Coordinates'!$A:$A,0))-'ZIP Coordinates'!$D$2))))),"N/A")</f>
        <v>128.90650428006145</v>
      </c>
    </row>
    <row r="356" spans="1:6" x14ac:dyDescent="0.2">
      <c r="A356" s="3" t="s">
        <v>24</v>
      </c>
      <c r="B356" s="3" t="s">
        <v>241</v>
      </c>
      <c r="C356" s="3" t="s">
        <v>242</v>
      </c>
      <c r="D356" s="3" t="s">
        <v>116</v>
      </c>
      <c r="E356" s="28">
        <f>SUMIFS('Raw Data'!$I$2:$I$878,'Raw Data'!$A$2:$A$878,$A356,'Raw Data'!$B$2:$B$878,$B356,'Raw Data'!$D$2:$D$878,$D356)</f>
        <v>36</v>
      </c>
      <c r="F356" s="5">
        <f>IFERROR(3958.8*ACOS(MIN(1,MAX(-1,SIN(RADIANS('ZIP Coordinates'!$C$2))*SIN(RADIANS(INDEX('ZIP Coordinates'!$C:$C,MATCH($A356,'ZIP Coordinates'!$A:$A,0))))+COS(RADIANS('ZIP Coordinates'!$C$2))*COS(RADIANS(INDEX('ZIP Coordinates'!$C:$C,MATCH($A356,'ZIP Coordinates'!$A:$A,0))))*COS(RADIANS(INDEX('ZIP Coordinates'!$D:$D,MATCH($A356,'ZIP Coordinates'!$A:$A,0))-'ZIP Coordinates'!$D$2))))),"N/A")</f>
        <v>128.90650428006145</v>
      </c>
    </row>
    <row r="357" spans="1:6" x14ac:dyDescent="0.2">
      <c r="A357" s="3" t="s">
        <v>24</v>
      </c>
      <c r="B357" s="3" t="s">
        <v>247</v>
      </c>
      <c r="C357" s="3" t="s">
        <v>246</v>
      </c>
      <c r="D357" s="3" t="s">
        <v>116</v>
      </c>
      <c r="E357" s="28">
        <f>SUMIFS('Raw Data'!$I$2:$I$878,'Raw Data'!$A$2:$A$878,$A357,'Raw Data'!$B$2:$B$878,$B357,'Raw Data'!$D$2:$D$878,$D357)</f>
        <v>100</v>
      </c>
      <c r="F357" s="5">
        <f>IFERROR(3958.8*ACOS(MIN(1,MAX(-1,SIN(RADIANS('ZIP Coordinates'!$C$2))*SIN(RADIANS(INDEX('ZIP Coordinates'!$C:$C,MATCH($A357,'ZIP Coordinates'!$A:$A,0))))+COS(RADIANS('ZIP Coordinates'!$C$2))*COS(RADIANS(INDEX('ZIP Coordinates'!$C:$C,MATCH($A357,'ZIP Coordinates'!$A:$A,0))))*COS(RADIANS(INDEX('ZIP Coordinates'!$D:$D,MATCH($A357,'ZIP Coordinates'!$A:$A,0))-'ZIP Coordinates'!$D$2))))),"N/A")</f>
        <v>128.90650428006145</v>
      </c>
    </row>
    <row r="358" spans="1:6" x14ac:dyDescent="0.2">
      <c r="A358" s="3" t="s">
        <v>24</v>
      </c>
      <c r="B358" s="3" t="s">
        <v>250</v>
      </c>
      <c r="C358" s="3" t="s">
        <v>249</v>
      </c>
      <c r="D358" s="3" t="s">
        <v>116</v>
      </c>
      <c r="E358" s="28">
        <f>SUMIFS('Raw Data'!$I$2:$I$878,'Raw Data'!$A$2:$A$878,$A358,'Raw Data'!$B$2:$B$878,$B358,'Raw Data'!$D$2:$D$878,$D358)</f>
        <v>96</v>
      </c>
      <c r="F358" s="5">
        <f>IFERROR(3958.8*ACOS(MIN(1,MAX(-1,SIN(RADIANS('ZIP Coordinates'!$C$2))*SIN(RADIANS(INDEX('ZIP Coordinates'!$C:$C,MATCH($A358,'ZIP Coordinates'!$A:$A,0))))+COS(RADIANS('ZIP Coordinates'!$C$2))*COS(RADIANS(INDEX('ZIP Coordinates'!$C:$C,MATCH($A358,'ZIP Coordinates'!$A:$A,0))))*COS(RADIANS(INDEX('ZIP Coordinates'!$D:$D,MATCH($A358,'ZIP Coordinates'!$A:$A,0))-'ZIP Coordinates'!$D$2))))),"N/A")</f>
        <v>128.90650428006145</v>
      </c>
    </row>
    <row r="359" spans="1:6" x14ac:dyDescent="0.2">
      <c r="A359" s="3" t="s">
        <v>24</v>
      </c>
      <c r="B359" s="3" t="s">
        <v>251</v>
      </c>
      <c r="C359" s="3" t="s">
        <v>252</v>
      </c>
      <c r="D359" s="3" t="s">
        <v>116</v>
      </c>
      <c r="E359" s="28">
        <f>SUMIFS('Raw Data'!$I$2:$I$878,'Raw Data'!$A$2:$A$878,$A359,'Raw Data'!$B$2:$B$878,$B359,'Raw Data'!$D$2:$D$878,$D359)</f>
        <v>84</v>
      </c>
      <c r="F359" s="5">
        <f>IFERROR(3958.8*ACOS(MIN(1,MAX(-1,SIN(RADIANS('ZIP Coordinates'!$C$2))*SIN(RADIANS(INDEX('ZIP Coordinates'!$C:$C,MATCH($A359,'ZIP Coordinates'!$A:$A,0))))+COS(RADIANS('ZIP Coordinates'!$C$2))*COS(RADIANS(INDEX('ZIP Coordinates'!$C:$C,MATCH($A359,'ZIP Coordinates'!$A:$A,0))))*COS(RADIANS(INDEX('ZIP Coordinates'!$D:$D,MATCH($A359,'ZIP Coordinates'!$A:$A,0))-'ZIP Coordinates'!$D$2))))),"N/A")</f>
        <v>128.90650428006145</v>
      </c>
    </row>
    <row r="360" spans="1:6" x14ac:dyDescent="0.2">
      <c r="A360" s="3" t="s">
        <v>24</v>
      </c>
      <c r="B360" s="3" t="s">
        <v>255</v>
      </c>
      <c r="C360" s="3" t="s">
        <v>256</v>
      </c>
      <c r="D360" s="3" t="s">
        <v>116</v>
      </c>
      <c r="E360" s="28">
        <f>SUMIFS('Raw Data'!$I$2:$I$878,'Raw Data'!$A$2:$A$878,$A360,'Raw Data'!$B$2:$B$878,$B360,'Raw Data'!$D$2:$D$878,$D360)</f>
        <v>220</v>
      </c>
      <c r="F360" s="5">
        <f>IFERROR(3958.8*ACOS(MIN(1,MAX(-1,SIN(RADIANS('ZIP Coordinates'!$C$2))*SIN(RADIANS(INDEX('ZIP Coordinates'!$C:$C,MATCH($A360,'ZIP Coordinates'!$A:$A,0))))+COS(RADIANS('ZIP Coordinates'!$C$2))*COS(RADIANS(INDEX('ZIP Coordinates'!$C:$C,MATCH($A360,'ZIP Coordinates'!$A:$A,0))))*COS(RADIANS(INDEX('ZIP Coordinates'!$D:$D,MATCH($A360,'ZIP Coordinates'!$A:$A,0))-'ZIP Coordinates'!$D$2))))),"N/A")</f>
        <v>128.90650428006145</v>
      </c>
    </row>
    <row r="361" spans="1:6" x14ac:dyDescent="0.2">
      <c r="A361" s="3" t="s">
        <v>24</v>
      </c>
      <c r="B361" s="3" t="s">
        <v>257</v>
      </c>
      <c r="C361" s="3" t="s">
        <v>256</v>
      </c>
      <c r="D361" s="3" t="s">
        <v>116</v>
      </c>
      <c r="E361" s="28">
        <f>SUMIFS('Raw Data'!$I$2:$I$878,'Raw Data'!$A$2:$A$878,$A361,'Raw Data'!$B$2:$B$878,$B361,'Raw Data'!$D$2:$D$878,$D361)</f>
        <v>63</v>
      </c>
      <c r="F361" s="5">
        <f>IFERROR(3958.8*ACOS(MIN(1,MAX(-1,SIN(RADIANS('ZIP Coordinates'!$C$2))*SIN(RADIANS(INDEX('ZIP Coordinates'!$C:$C,MATCH($A361,'ZIP Coordinates'!$A:$A,0))))+COS(RADIANS('ZIP Coordinates'!$C$2))*COS(RADIANS(INDEX('ZIP Coordinates'!$C:$C,MATCH($A361,'ZIP Coordinates'!$A:$A,0))))*COS(RADIANS(INDEX('ZIP Coordinates'!$D:$D,MATCH($A361,'ZIP Coordinates'!$A:$A,0))-'ZIP Coordinates'!$D$2))))),"N/A")</f>
        <v>128.90650428006145</v>
      </c>
    </row>
    <row r="362" spans="1:6" x14ac:dyDescent="0.2">
      <c r="A362" s="3" t="s">
        <v>25</v>
      </c>
      <c r="B362" s="3" t="s">
        <v>294</v>
      </c>
      <c r="C362" s="3" t="s">
        <v>296</v>
      </c>
      <c r="D362" s="3" t="s">
        <v>147</v>
      </c>
      <c r="E362" s="28">
        <f>SUMIFS('Raw Data'!$I$2:$I$878,'Raw Data'!$A$2:$A$878,$A362,'Raw Data'!$B$2:$B$878,$B362,'Raw Data'!$D$2:$D$878,$D362)</f>
        <v>112</v>
      </c>
      <c r="F362" s="5">
        <f>IFERROR(3958.8*ACOS(MIN(1,MAX(-1,SIN(RADIANS('ZIP Coordinates'!$C$2))*SIN(RADIANS(INDEX('ZIP Coordinates'!$C:$C,MATCH($A362,'ZIP Coordinates'!$A:$A,0))))+COS(RADIANS('ZIP Coordinates'!$C$2))*COS(RADIANS(INDEX('ZIP Coordinates'!$C:$C,MATCH($A362,'ZIP Coordinates'!$A:$A,0))))*COS(RADIANS(INDEX('ZIP Coordinates'!$D:$D,MATCH($A362,'ZIP Coordinates'!$A:$A,0))-'ZIP Coordinates'!$D$2))))),"N/A")</f>
        <v>133.2296450053272</v>
      </c>
    </row>
    <row r="363" spans="1:6" x14ac:dyDescent="0.2">
      <c r="A363" s="3" t="s">
        <v>26</v>
      </c>
      <c r="B363" s="3" t="s">
        <v>259</v>
      </c>
      <c r="C363" s="3" t="s">
        <v>260</v>
      </c>
      <c r="D363" s="3" t="s">
        <v>201</v>
      </c>
      <c r="E363" s="28">
        <f>SUMIFS('Raw Data'!$I$2:$I$878,'Raw Data'!$A$2:$A$878,$A363,'Raw Data'!$B$2:$B$878,$B363,'Raw Data'!$D$2:$D$878,$D363)</f>
        <v>8</v>
      </c>
      <c r="F363" s="5">
        <f>IFERROR(3958.8*ACOS(MIN(1,MAX(-1,SIN(RADIANS('ZIP Coordinates'!$C$2))*SIN(RADIANS(INDEX('ZIP Coordinates'!$C:$C,MATCH($A363,'ZIP Coordinates'!$A:$A,0))))+COS(RADIANS('ZIP Coordinates'!$C$2))*COS(RADIANS(INDEX('ZIP Coordinates'!$C:$C,MATCH($A363,'ZIP Coordinates'!$A:$A,0))))*COS(RADIANS(INDEX('ZIP Coordinates'!$D:$D,MATCH($A363,'ZIP Coordinates'!$A:$A,0))-'ZIP Coordinates'!$D$2))))),"N/A")</f>
        <v>125.68759292675206</v>
      </c>
    </row>
    <row r="364" spans="1:6" x14ac:dyDescent="0.2">
      <c r="A364" s="3" t="s">
        <v>26</v>
      </c>
      <c r="B364" s="3" t="s">
        <v>253</v>
      </c>
      <c r="C364" s="3" t="s">
        <v>254</v>
      </c>
      <c r="D364" s="3" t="s">
        <v>201</v>
      </c>
      <c r="E364" s="28">
        <f>SUMIFS('Raw Data'!$I$2:$I$878,'Raw Data'!$A$2:$A$878,$A364,'Raw Data'!$B$2:$B$878,$B364,'Raw Data'!$D$2:$D$878,$D364)</f>
        <v>7</v>
      </c>
      <c r="F364" s="5">
        <f>IFERROR(3958.8*ACOS(MIN(1,MAX(-1,SIN(RADIANS('ZIP Coordinates'!$C$2))*SIN(RADIANS(INDEX('ZIP Coordinates'!$C:$C,MATCH($A364,'ZIP Coordinates'!$A:$A,0))))+COS(RADIANS('ZIP Coordinates'!$C$2))*COS(RADIANS(INDEX('ZIP Coordinates'!$C:$C,MATCH($A364,'ZIP Coordinates'!$A:$A,0))))*COS(RADIANS(INDEX('ZIP Coordinates'!$D:$D,MATCH($A364,'ZIP Coordinates'!$A:$A,0))-'ZIP Coordinates'!$D$2))))),"N/A")</f>
        <v>125.68759292675206</v>
      </c>
    </row>
    <row r="365" spans="1:6" x14ac:dyDescent="0.2">
      <c r="A365" s="3" t="s">
        <v>27</v>
      </c>
      <c r="B365" s="3" t="s">
        <v>258</v>
      </c>
      <c r="C365" s="3" t="s">
        <v>240</v>
      </c>
      <c r="D365" s="3" t="s">
        <v>180</v>
      </c>
      <c r="E365" s="28">
        <f>SUMIFS('Raw Data'!$I$2:$I$878,'Raw Data'!$A$2:$A$878,$A365,'Raw Data'!$B$2:$B$878,$B365,'Raw Data'!$D$2:$D$878,$D365)</f>
        <v>116</v>
      </c>
      <c r="F365" s="5">
        <f>IFERROR(3958.8*ACOS(MIN(1,MAX(-1,SIN(RADIANS('ZIP Coordinates'!$C$2))*SIN(RADIANS(INDEX('ZIP Coordinates'!$C:$C,MATCH($A365,'ZIP Coordinates'!$A:$A,0))))+COS(RADIANS('ZIP Coordinates'!$C$2))*COS(RADIANS(INDEX('ZIP Coordinates'!$C:$C,MATCH($A365,'ZIP Coordinates'!$A:$A,0))))*COS(RADIANS(INDEX('ZIP Coordinates'!$D:$D,MATCH($A365,'ZIP Coordinates'!$A:$A,0))-'ZIP Coordinates'!$D$2))))),"N/A")</f>
        <v>133.84218480102859</v>
      </c>
    </row>
    <row r="366" spans="1:6" x14ac:dyDescent="0.2">
      <c r="A366" s="3" t="s">
        <v>27</v>
      </c>
      <c r="B366" s="3" t="s">
        <v>259</v>
      </c>
      <c r="C366" s="3" t="s">
        <v>260</v>
      </c>
      <c r="D366" s="3" t="s">
        <v>182</v>
      </c>
      <c r="E366" s="28">
        <f>SUMIFS('Raw Data'!$I$2:$I$878,'Raw Data'!$A$2:$A$878,$A366,'Raw Data'!$B$2:$B$878,$B366,'Raw Data'!$D$2:$D$878,$D366)</f>
        <v>68</v>
      </c>
      <c r="F366" s="5">
        <f>IFERROR(3958.8*ACOS(MIN(1,MAX(-1,SIN(RADIANS('ZIP Coordinates'!$C$2))*SIN(RADIANS(INDEX('ZIP Coordinates'!$C:$C,MATCH($A366,'ZIP Coordinates'!$A:$A,0))))+COS(RADIANS('ZIP Coordinates'!$C$2))*COS(RADIANS(INDEX('ZIP Coordinates'!$C:$C,MATCH($A366,'ZIP Coordinates'!$A:$A,0))))*COS(RADIANS(INDEX('ZIP Coordinates'!$D:$D,MATCH($A366,'ZIP Coordinates'!$A:$A,0))-'ZIP Coordinates'!$D$2))))),"N/A")</f>
        <v>133.84218480102859</v>
      </c>
    </row>
    <row r="367" spans="1:6" x14ac:dyDescent="0.2">
      <c r="A367" s="3" t="s">
        <v>27</v>
      </c>
      <c r="B367" s="3" t="s">
        <v>269</v>
      </c>
      <c r="C367" s="3" t="s">
        <v>268</v>
      </c>
      <c r="D367" s="3" t="s">
        <v>182</v>
      </c>
      <c r="E367" s="28">
        <f>SUMIFS('Raw Data'!$I$2:$I$878,'Raw Data'!$A$2:$A$878,$A367,'Raw Data'!$B$2:$B$878,$B367,'Raw Data'!$D$2:$D$878,$D367)</f>
        <v>11</v>
      </c>
      <c r="F367" s="5">
        <f>IFERROR(3958.8*ACOS(MIN(1,MAX(-1,SIN(RADIANS('ZIP Coordinates'!$C$2))*SIN(RADIANS(INDEX('ZIP Coordinates'!$C:$C,MATCH($A367,'ZIP Coordinates'!$A:$A,0))))+COS(RADIANS('ZIP Coordinates'!$C$2))*COS(RADIANS(INDEX('ZIP Coordinates'!$C:$C,MATCH($A367,'ZIP Coordinates'!$A:$A,0))))*COS(RADIANS(INDEX('ZIP Coordinates'!$D:$D,MATCH($A367,'ZIP Coordinates'!$A:$A,0))-'ZIP Coordinates'!$D$2))))),"N/A")</f>
        <v>133.84218480102859</v>
      </c>
    </row>
    <row r="368" spans="1:6" x14ac:dyDescent="0.2">
      <c r="A368" s="3" t="s">
        <v>27</v>
      </c>
      <c r="B368" s="3" t="s">
        <v>276</v>
      </c>
      <c r="C368" s="3" t="s">
        <v>275</v>
      </c>
      <c r="D368" s="3" t="s">
        <v>168</v>
      </c>
      <c r="E368" s="28">
        <f>SUMIFS('Raw Data'!$I$2:$I$878,'Raw Data'!$A$2:$A$878,$A368,'Raw Data'!$B$2:$B$878,$B368,'Raw Data'!$D$2:$D$878,$D368)</f>
        <v>53</v>
      </c>
      <c r="F368" s="5">
        <f>IFERROR(3958.8*ACOS(MIN(1,MAX(-1,SIN(RADIANS('ZIP Coordinates'!$C$2))*SIN(RADIANS(INDEX('ZIP Coordinates'!$C:$C,MATCH($A368,'ZIP Coordinates'!$A:$A,0))))+COS(RADIANS('ZIP Coordinates'!$C$2))*COS(RADIANS(INDEX('ZIP Coordinates'!$C:$C,MATCH($A368,'ZIP Coordinates'!$A:$A,0))))*COS(RADIANS(INDEX('ZIP Coordinates'!$D:$D,MATCH($A368,'ZIP Coordinates'!$A:$A,0))-'ZIP Coordinates'!$D$2))))),"N/A")</f>
        <v>133.84218480102859</v>
      </c>
    </row>
    <row r="369" spans="1:6" x14ac:dyDescent="0.2">
      <c r="A369" s="3" t="s">
        <v>27</v>
      </c>
      <c r="B369" s="3" t="s">
        <v>247</v>
      </c>
      <c r="C369" s="3" t="s">
        <v>246</v>
      </c>
      <c r="D369" s="3" t="s">
        <v>109</v>
      </c>
      <c r="E369" s="28">
        <f>SUMIFS('Raw Data'!$I$2:$I$878,'Raw Data'!$A$2:$A$878,$A369,'Raw Data'!$B$2:$B$878,$B369,'Raw Data'!$D$2:$D$878,$D369)</f>
        <v>40</v>
      </c>
      <c r="F369" s="5">
        <f>IFERROR(3958.8*ACOS(MIN(1,MAX(-1,SIN(RADIANS('ZIP Coordinates'!$C$2))*SIN(RADIANS(INDEX('ZIP Coordinates'!$C:$C,MATCH($A369,'ZIP Coordinates'!$A:$A,0))))+COS(RADIANS('ZIP Coordinates'!$C$2))*COS(RADIANS(INDEX('ZIP Coordinates'!$C:$C,MATCH($A369,'ZIP Coordinates'!$A:$A,0))))*COS(RADIANS(INDEX('ZIP Coordinates'!$D:$D,MATCH($A369,'ZIP Coordinates'!$A:$A,0))-'ZIP Coordinates'!$D$2))))),"N/A")</f>
        <v>133.84218480102859</v>
      </c>
    </row>
    <row r="370" spans="1:6" x14ac:dyDescent="0.2">
      <c r="A370" s="3" t="s">
        <v>27</v>
      </c>
      <c r="B370" s="3" t="s">
        <v>250</v>
      </c>
      <c r="C370" s="3" t="s">
        <v>249</v>
      </c>
      <c r="D370" s="3" t="s">
        <v>109</v>
      </c>
      <c r="E370" s="28">
        <f>SUMIFS('Raw Data'!$I$2:$I$878,'Raw Data'!$A$2:$A$878,$A370,'Raw Data'!$B$2:$B$878,$B370,'Raw Data'!$D$2:$D$878,$D370)</f>
        <v>40</v>
      </c>
      <c r="F370" s="5">
        <f>IFERROR(3958.8*ACOS(MIN(1,MAX(-1,SIN(RADIANS('ZIP Coordinates'!$C$2))*SIN(RADIANS(INDEX('ZIP Coordinates'!$C:$C,MATCH($A370,'ZIP Coordinates'!$A:$A,0))))+COS(RADIANS('ZIP Coordinates'!$C$2))*COS(RADIANS(INDEX('ZIP Coordinates'!$C:$C,MATCH($A370,'ZIP Coordinates'!$A:$A,0))))*COS(RADIANS(INDEX('ZIP Coordinates'!$D:$D,MATCH($A370,'ZIP Coordinates'!$A:$A,0))-'ZIP Coordinates'!$D$2))))),"N/A")</f>
        <v>133.84218480102859</v>
      </c>
    </row>
    <row r="371" spans="1:6" x14ac:dyDescent="0.2">
      <c r="A371" s="3" t="s">
        <v>27</v>
      </c>
      <c r="B371" s="3" t="s">
        <v>251</v>
      </c>
      <c r="C371" s="3" t="s">
        <v>252</v>
      </c>
      <c r="D371" s="3" t="s">
        <v>109</v>
      </c>
      <c r="E371" s="28">
        <f>SUMIFS('Raw Data'!$I$2:$I$878,'Raw Data'!$A$2:$A$878,$A371,'Raw Data'!$B$2:$B$878,$B371,'Raw Data'!$D$2:$D$878,$D371)</f>
        <v>25</v>
      </c>
      <c r="F371" s="5">
        <f>IFERROR(3958.8*ACOS(MIN(1,MAX(-1,SIN(RADIANS('ZIP Coordinates'!$C$2))*SIN(RADIANS(INDEX('ZIP Coordinates'!$C:$C,MATCH($A371,'ZIP Coordinates'!$A:$A,0))))+COS(RADIANS('ZIP Coordinates'!$C$2))*COS(RADIANS(INDEX('ZIP Coordinates'!$C:$C,MATCH($A371,'ZIP Coordinates'!$A:$A,0))))*COS(RADIANS(INDEX('ZIP Coordinates'!$D:$D,MATCH($A371,'ZIP Coordinates'!$A:$A,0))-'ZIP Coordinates'!$D$2))))),"N/A")</f>
        <v>133.84218480102859</v>
      </c>
    </row>
    <row r="372" spans="1:6" x14ac:dyDescent="0.2">
      <c r="A372" s="3" t="s">
        <v>27</v>
      </c>
      <c r="B372" s="3" t="s">
        <v>255</v>
      </c>
      <c r="C372" s="3" t="s">
        <v>256</v>
      </c>
      <c r="D372" s="3" t="s">
        <v>109</v>
      </c>
      <c r="E372" s="28">
        <f>SUMIFS('Raw Data'!$I$2:$I$878,'Raw Data'!$A$2:$A$878,$A372,'Raw Data'!$B$2:$B$878,$B372,'Raw Data'!$D$2:$D$878,$D372)</f>
        <v>100</v>
      </c>
      <c r="F372" s="5">
        <f>IFERROR(3958.8*ACOS(MIN(1,MAX(-1,SIN(RADIANS('ZIP Coordinates'!$C$2))*SIN(RADIANS(INDEX('ZIP Coordinates'!$C:$C,MATCH($A372,'ZIP Coordinates'!$A:$A,0))))+COS(RADIANS('ZIP Coordinates'!$C$2))*COS(RADIANS(INDEX('ZIP Coordinates'!$C:$C,MATCH($A372,'ZIP Coordinates'!$A:$A,0))))*COS(RADIANS(INDEX('ZIP Coordinates'!$D:$D,MATCH($A372,'ZIP Coordinates'!$A:$A,0))-'ZIP Coordinates'!$D$2))))),"N/A")</f>
        <v>133.84218480102859</v>
      </c>
    </row>
    <row r="373" spans="1:6" x14ac:dyDescent="0.2">
      <c r="A373" s="3" t="s">
        <v>27</v>
      </c>
      <c r="B373" s="3" t="s">
        <v>257</v>
      </c>
      <c r="C373" s="3" t="s">
        <v>256</v>
      </c>
      <c r="D373" s="3" t="s">
        <v>109</v>
      </c>
      <c r="E373" s="28">
        <f>SUMIFS('Raw Data'!$I$2:$I$878,'Raw Data'!$A$2:$A$878,$A373,'Raw Data'!$B$2:$B$878,$B373,'Raw Data'!$D$2:$D$878,$D373)</f>
        <v>30</v>
      </c>
      <c r="F373" s="5">
        <f>IFERROR(3958.8*ACOS(MIN(1,MAX(-1,SIN(RADIANS('ZIP Coordinates'!$C$2))*SIN(RADIANS(INDEX('ZIP Coordinates'!$C:$C,MATCH($A373,'ZIP Coordinates'!$A:$A,0))))+COS(RADIANS('ZIP Coordinates'!$C$2))*COS(RADIANS(INDEX('ZIP Coordinates'!$C:$C,MATCH($A373,'ZIP Coordinates'!$A:$A,0))))*COS(RADIANS(INDEX('ZIP Coordinates'!$D:$D,MATCH($A373,'ZIP Coordinates'!$A:$A,0))-'ZIP Coordinates'!$D$2))))),"N/A")</f>
        <v>133.84218480102859</v>
      </c>
    </row>
    <row r="374" spans="1:6" x14ac:dyDescent="0.2">
      <c r="A374" s="3" t="s">
        <v>28</v>
      </c>
      <c r="B374" s="3" t="s">
        <v>239</v>
      </c>
      <c r="C374" s="3" t="s">
        <v>240</v>
      </c>
      <c r="D374" s="3" t="s">
        <v>198</v>
      </c>
      <c r="E374" s="28">
        <f>SUMIFS('Raw Data'!$I$2:$I$878,'Raw Data'!$A$2:$A$878,$A374,'Raw Data'!$B$2:$B$878,$B374,'Raw Data'!$D$2:$D$878,$D374)</f>
        <v>11</v>
      </c>
      <c r="F374" s="5">
        <f>IFERROR(3958.8*ACOS(MIN(1,MAX(-1,SIN(RADIANS('ZIP Coordinates'!$C$2))*SIN(RADIANS(INDEX('ZIP Coordinates'!$C:$C,MATCH($A374,'ZIP Coordinates'!$A:$A,0))))+COS(RADIANS('ZIP Coordinates'!$C$2))*COS(RADIANS(INDEX('ZIP Coordinates'!$C:$C,MATCH($A374,'ZIP Coordinates'!$A:$A,0))))*COS(RADIANS(INDEX('ZIP Coordinates'!$D:$D,MATCH($A374,'ZIP Coordinates'!$A:$A,0))-'ZIP Coordinates'!$D$2))))),"N/A")</f>
        <v>146.62233132851182</v>
      </c>
    </row>
    <row r="375" spans="1:6" x14ac:dyDescent="0.2">
      <c r="A375" s="3" t="s">
        <v>28</v>
      </c>
      <c r="B375" s="3" t="s">
        <v>261</v>
      </c>
      <c r="C375" s="3" t="s">
        <v>260</v>
      </c>
      <c r="D375" s="3" t="s">
        <v>119</v>
      </c>
      <c r="E375" s="28">
        <f>SUMIFS('Raw Data'!$I$2:$I$878,'Raw Data'!$A$2:$A$878,$A375,'Raw Data'!$B$2:$B$878,$B375,'Raw Data'!$D$2:$D$878,$D375)</f>
        <v>12</v>
      </c>
      <c r="F375" s="5">
        <f>IFERROR(3958.8*ACOS(MIN(1,MAX(-1,SIN(RADIANS('ZIP Coordinates'!$C$2))*SIN(RADIANS(INDEX('ZIP Coordinates'!$C:$C,MATCH($A375,'ZIP Coordinates'!$A:$A,0))))+COS(RADIANS('ZIP Coordinates'!$C$2))*COS(RADIANS(INDEX('ZIP Coordinates'!$C:$C,MATCH($A375,'ZIP Coordinates'!$A:$A,0))))*COS(RADIANS(INDEX('ZIP Coordinates'!$D:$D,MATCH($A375,'ZIP Coordinates'!$A:$A,0))-'ZIP Coordinates'!$D$2))))),"N/A")</f>
        <v>146.62233132851182</v>
      </c>
    </row>
    <row r="376" spans="1:6" x14ac:dyDescent="0.2">
      <c r="A376" s="3" t="s">
        <v>28</v>
      </c>
      <c r="B376" s="3" t="s">
        <v>241</v>
      </c>
      <c r="C376" s="3" t="s">
        <v>242</v>
      </c>
      <c r="D376" s="3" t="s">
        <v>119</v>
      </c>
      <c r="E376" s="28">
        <f>SUMIFS('Raw Data'!$I$2:$I$878,'Raw Data'!$A$2:$A$878,$A376,'Raw Data'!$B$2:$B$878,$B376,'Raw Data'!$D$2:$D$878,$D376)</f>
        <v>10</v>
      </c>
      <c r="F376" s="5">
        <f>IFERROR(3958.8*ACOS(MIN(1,MAX(-1,SIN(RADIANS('ZIP Coordinates'!$C$2))*SIN(RADIANS(INDEX('ZIP Coordinates'!$C:$C,MATCH($A376,'ZIP Coordinates'!$A:$A,0))))+COS(RADIANS('ZIP Coordinates'!$C$2))*COS(RADIANS(INDEX('ZIP Coordinates'!$C:$C,MATCH($A376,'ZIP Coordinates'!$A:$A,0))))*COS(RADIANS(INDEX('ZIP Coordinates'!$D:$D,MATCH($A376,'ZIP Coordinates'!$A:$A,0))-'ZIP Coordinates'!$D$2))))),"N/A")</f>
        <v>146.62233132851182</v>
      </c>
    </row>
    <row r="377" spans="1:6" x14ac:dyDescent="0.2">
      <c r="A377" s="3" t="s">
        <v>28</v>
      </c>
      <c r="B377" s="3" t="s">
        <v>243</v>
      </c>
      <c r="C377" s="3" t="s">
        <v>244</v>
      </c>
      <c r="D377" s="3" t="s">
        <v>119</v>
      </c>
      <c r="E377" s="28">
        <f>SUMIFS('Raw Data'!$I$2:$I$878,'Raw Data'!$A$2:$A$878,$A377,'Raw Data'!$B$2:$B$878,$B377,'Raw Data'!$D$2:$D$878,$D377)</f>
        <v>10</v>
      </c>
      <c r="F377" s="5">
        <f>IFERROR(3958.8*ACOS(MIN(1,MAX(-1,SIN(RADIANS('ZIP Coordinates'!$C$2))*SIN(RADIANS(INDEX('ZIP Coordinates'!$C:$C,MATCH($A377,'ZIP Coordinates'!$A:$A,0))))+COS(RADIANS('ZIP Coordinates'!$C$2))*COS(RADIANS(INDEX('ZIP Coordinates'!$C:$C,MATCH($A377,'ZIP Coordinates'!$A:$A,0))))*COS(RADIANS(INDEX('ZIP Coordinates'!$D:$D,MATCH($A377,'ZIP Coordinates'!$A:$A,0))-'ZIP Coordinates'!$D$2))))),"N/A")</f>
        <v>146.62233132851182</v>
      </c>
    </row>
    <row r="378" spans="1:6" x14ac:dyDescent="0.2">
      <c r="A378" s="3" t="s">
        <v>28</v>
      </c>
      <c r="B378" s="3" t="s">
        <v>276</v>
      </c>
      <c r="C378" s="3" t="s">
        <v>275</v>
      </c>
      <c r="D378" s="3" t="s">
        <v>119</v>
      </c>
      <c r="E378" s="28">
        <f>SUMIFS('Raw Data'!$I$2:$I$878,'Raw Data'!$A$2:$A$878,$A378,'Raw Data'!$B$2:$B$878,$B378,'Raw Data'!$D$2:$D$878,$D378)</f>
        <v>10</v>
      </c>
      <c r="F378" s="5">
        <f>IFERROR(3958.8*ACOS(MIN(1,MAX(-1,SIN(RADIANS('ZIP Coordinates'!$C$2))*SIN(RADIANS(INDEX('ZIP Coordinates'!$C:$C,MATCH($A378,'ZIP Coordinates'!$A:$A,0))))+COS(RADIANS('ZIP Coordinates'!$C$2))*COS(RADIANS(INDEX('ZIP Coordinates'!$C:$C,MATCH($A378,'ZIP Coordinates'!$A:$A,0))))*COS(RADIANS(INDEX('ZIP Coordinates'!$D:$D,MATCH($A378,'ZIP Coordinates'!$A:$A,0))-'ZIP Coordinates'!$D$2))))),"N/A")</f>
        <v>146.62233132851182</v>
      </c>
    </row>
    <row r="379" spans="1:6" x14ac:dyDescent="0.2">
      <c r="A379" s="3" t="s">
        <v>28</v>
      </c>
      <c r="B379" s="3" t="s">
        <v>245</v>
      </c>
      <c r="C379" s="3" t="s">
        <v>246</v>
      </c>
      <c r="D379" s="3" t="s">
        <v>119</v>
      </c>
      <c r="E379" s="28">
        <f>SUMIFS('Raw Data'!$I$2:$I$878,'Raw Data'!$A$2:$A$878,$A379,'Raw Data'!$B$2:$B$878,$B379,'Raw Data'!$D$2:$D$878,$D379)</f>
        <v>20</v>
      </c>
      <c r="F379" s="5">
        <f>IFERROR(3958.8*ACOS(MIN(1,MAX(-1,SIN(RADIANS('ZIP Coordinates'!$C$2))*SIN(RADIANS(INDEX('ZIP Coordinates'!$C:$C,MATCH($A379,'ZIP Coordinates'!$A:$A,0))))+COS(RADIANS('ZIP Coordinates'!$C$2))*COS(RADIANS(INDEX('ZIP Coordinates'!$C:$C,MATCH($A379,'ZIP Coordinates'!$A:$A,0))))*COS(RADIANS(INDEX('ZIP Coordinates'!$D:$D,MATCH($A379,'ZIP Coordinates'!$A:$A,0))-'ZIP Coordinates'!$D$2))))),"N/A")</f>
        <v>146.62233132851182</v>
      </c>
    </row>
    <row r="380" spans="1:6" x14ac:dyDescent="0.2">
      <c r="A380" s="3" t="s">
        <v>28</v>
      </c>
      <c r="B380" s="3" t="s">
        <v>247</v>
      </c>
      <c r="C380" s="3" t="s">
        <v>246</v>
      </c>
      <c r="D380" s="3" t="s">
        <v>119</v>
      </c>
      <c r="E380" s="28">
        <f>SUMIFS('Raw Data'!$I$2:$I$878,'Raw Data'!$A$2:$A$878,$A380,'Raw Data'!$B$2:$B$878,$B380,'Raw Data'!$D$2:$D$878,$D380)</f>
        <v>113</v>
      </c>
      <c r="F380" s="5">
        <f>IFERROR(3958.8*ACOS(MIN(1,MAX(-1,SIN(RADIANS('ZIP Coordinates'!$C$2))*SIN(RADIANS(INDEX('ZIP Coordinates'!$C:$C,MATCH($A380,'ZIP Coordinates'!$A:$A,0))))+COS(RADIANS('ZIP Coordinates'!$C$2))*COS(RADIANS(INDEX('ZIP Coordinates'!$C:$C,MATCH($A380,'ZIP Coordinates'!$A:$A,0))))*COS(RADIANS(INDEX('ZIP Coordinates'!$D:$D,MATCH($A380,'ZIP Coordinates'!$A:$A,0))-'ZIP Coordinates'!$D$2))))),"N/A")</f>
        <v>146.62233132851182</v>
      </c>
    </row>
    <row r="381" spans="1:6" x14ac:dyDescent="0.2">
      <c r="A381" s="3" t="s">
        <v>28</v>
      </c>
      <c r="B381" s="3" t="s">
        <v>250</v>
      </c>
      <c r="C381" s="3" t="s">
        <v>249</v>
      </c>
      <c r="D381" s="3" t="s">
        <v>119</v>
      </c>
      <c r="E381" s="28">
        <f>SUMIFS('Raw Data'!$I$2:$I$878,'Raw Data'!$A$2:$A$878,$A381,'Raw Data'!$B$2:$B$878,$B381,'Raw Data'!$D$2:$D$878,$D381)</f>
        <v>123</v>
      </c>
      <c r="F381" s="5">
        <f>IFERROR(3958.8*ACOS(MIN(1,MAX(-1,SIN(RADIANS('ZIP Coordinates'!$C$2))*SIN(RADIANS(INDEX('ZIP Coordinates'!$C:$C,MATCH($A381,'ZIP Coordinates'!$A:$A,0))))+COS(RADIANS('ZIP Coordinates'!$C$2))*COS(RADIANS(INDEX('ZIP Coordinates'!$C:$C,MATCH($A381,'ZIP Coordinates'!$A:$A,0))))*COS(RADIANS(INDEX('ZIP Coordinates'!$D:$D,MATCH($A381,'ZIP Coordinates'!$A:$A,0))-'ZIP Coordinates'!$D$2))))),"N/A")</f>
        <v>146.62233132851182</v>
      </c>
    </row>
    <row r="382" spans="1:6" x14ac:dyDescent="0.2">
      <c r="A382" s="3" t="s">
        <v>28</v>
      </c>
      <c r="B382" s="3" t="s">
        <v>251</v>
      </c>
      <c r="C382" s="3" t="s">
        <v>252</v>
      </c>
      <c r="D382" s="3" t="s">
        <v>119</v>
      </c>
      <c r="E382" s="28">
        <f>SUMIFS('Raw Data'!$I$2:$I$878,'Raw Data'!$A$2:$A$878,$A382,'Raw Data'!$B$2:$B$878,$B382,'Raw Data'!$D$2:$D$878,$D382)</f>
        <v>67</v>
      </c>
      <c r="F382" s="5">
        <f>IFERROR(3958.8*ACOS(MIN(1,MAX(-1,SIN(RADIANS('ZIP Coordinates'!$C$2))*SIN(RADIANS(INDEX('ZIP Coordinates'!$C:$C,MATCH($A382,'ZIP Coordinates'!$A:$A,0))))+COS(RADIANS('ZIP Coordinates'!$C$2))*COS(RADIANS(INDEX('ZIP Coordinates'!$C:$C,MATCH($A382,'ZIP Coordinates'!$A:$A,0))))*COS(RADIANS(INDEX('ZIP Coordinates'!$D:$D,MATCH($A382,'ZIP Coordinates'!$A:$A,0))-'ZIP Coordinates'!$D$2))))),"N/A")</f>
        <v>146.62233132851182</v>
      </c>
    </row>
    <row r="383" spans="1:6" x14ac:dyDescent="0.2">
      <c r="A383" s="3" t="s">
        <v>28</v>
      </c>
      <c r="B383" s="3" t="s">
        <v>255</v>
      </c>
      <c r="C383" s="3" t="s">
        <v>256</v>
      </c>
      <c r="D383" s="3" t="s">
        <v>119</v>
      </c>
      <c r="E383" s="28">
        <f>SUMIFS('Raw Data'!$I$2:$I$878,'Raw Data'!$A$2:$A$878,$A383,'Raw Data'!$B$2:$B$878,$B383,'Raw Data'!$D$2:$D$878,$D383)</f>
        <v>160</v>
      </c>
      <c r="F383" s="5">
        <f>IFERROR(3958.8*ACOS(MIN(1,MAX(-1,SIN(RADIANS('ZIP Coordinates'!$C$2))*SIN(RADIANS(INDEX('ZIP Coordinates'!$C:$C,MATCH($A383,'ZIP Coordinates'!$A:$A,0))))+COS(RADIANS('ZIP Coordinates'!$C$2))*COS(RADIANS(INDEX('ZIP Coordinates'!$C:$C,MATCH($A383,'ZIP Coordinates'!$A:$A,0))))*COS(RADIANS(INDEX('ZIP Coordinates'!$D:$D,MATCH($A383,'ZIP Coordinates'!$A:$A,0))-'ZIP Coordinates'!$D$2))))),"N/A")</f>
        <v>146.62233132851182</v>
      </c>
    </row>
    <row r="384" spans="1:6" x14ac:dyDescent="0.2">
      <c r="A384" s="3" t="s">
        <v>28</v>
      </c>
      <c r="B384" s="3" t="s">
        <v>257</v>
      </c>
      <c r="C384" s="3" t="s">
        <v>256</v>
      </c>
      <c r="D384" s="3" t="s">
        <v>119</v>
      </c>
      <c r="E384" s="28">
        <f>SUMIFS('Raw Data'!$I$2:$I$878,'Raw Data'!$A$2:$A$878,$A384,'Raw Data'!$B$2:$B$878,$B384,'Raw Data'!$D$2:$D$878,$D384)</f>
        <v>31</v>
      </c>
      <c r="F384" s="5">
        <f>IFERROR(3958.8*ACOS(MIN(1,MAX(-1,SIN(RADIANS('ZIP Coordinates'!$C$2))*SIN(RADIANS(INDEX('ZIP Coordinates'!$C:$C,MATCH($A384,'ZIP Coordinates'!$A:$A,0))))+COS(RADIANS('ZIP Coordinates'!$C$2))*COS(RADIANS(INDEX('ZIP Coordinates'!$C:$C,MATCH($A384,'ZIP Coordinates'!$A:$A,0))))*COS(RADIANS(INDEX('ZIP Coordinates'!$D:$D,MATCH($A384,'ZIP Coordinates'!$A:$A,0))-'ZIP Coordinates'!$D$2))))),"N/A")</f>
        <v>146.62233132851182</v>
      </c>
    </row>
    <row r="385" spans="1:6" x14ac:dyDescent="0.2">
      <c r="A385" s="3" t="s">
        <v>29</v>
      </c>
      <c r="B385" s="3" t="s">
        <v>258</v>
      </c>
      <c r="C385" s="3" t="s">
        <v>240</v>
      </c>
      <c r="D385" s="3" t="s">
        <v>191</v>
      </c>
      <c r="E385" s="28">
        <f>SUMIFS('Raw Data'!$I$2:$I$878,'Raw Data'!$A$2:$A$878,$A385,'Raw Data'!$B$2:$B$878,$B385,'Raw Data'!$D$2:$D$878,$D385)</f>
        <v>60</v>
      </c>
      <c r="F385" s="5">
        <f>IFERROR(3958.8*ACOS(MIN(1,MAX(-1,SIN(RADIANS('ZIP Coordinates'!$C$2))*SIN(RADIANS(INDEX('ZIP Coordinates'!$C:$C,MATCH($A385,'ZIP Coordinates'!$A:$A,0))))+COS(RADIANS('ZIP Coordinates'!$C$2))*COS(RADIANS(INDEX('ZIP Coordinates'!$C:$C,MATCH($A385,'ZIP Coordinates'!$A:$A,0))))*COS(RADIANS(INDEX('ZIP Coordinates'!$D:$D,MATCH($A385,'ZIP Coordinates'!$A:$A,0))-'ZIP Coordinates'!$D$2))))),"N/A")</f>
        <v>143.73270700152293</v>
      </c>
    </row>
    <row r="386" spans="1:6" x14ac:dyDescent="0.2">
      <c r="A386" s="3" t="s">
        <v>30</v>
      </c>
      <c r="B386" s="3" t="s">
        <v>248</v>
      </c>
      <c r="C386" s="3" t="s">
        <v>249</v>
      </c>
      <c r="D386" s="3" t="s">
        <v>154</v>
      </c>
      <c r="E386" s="28">
        <f>SUMIFS('Raw Data'!$I$2:$I$878,'Raw Data'!$A$2:$A$878,$A386,'Raw Data'!$B$2:$B$878,$B386,'Raw Data'!$D$2:$D$878,$D386)</f>
        <v>180</v>
      </c>
      <c r="F386" s="5">
        <f>IFERROR(3958.8*ACOS(MIN(1,MAX(-1,SIN(RADIANS('ZIP Coordinates'!$C$2))*SIN(RADIANS(INDEX('ZIP Coordinates'!$C:$C,MATCH($A386,'ZIP Coordinates'!$A:$A,0))))+COS(RADIANS('ZIP Coordinates'!$C$2))*COS(RADIANS(INDEX('ZIP Coordinates'!$C:$C,MATCH($A386,'ZIP Coordinates'!$A:$A,0))))*COS(RADIANS(INDEX('ZIP Coordinates'!$D:$D,MATCH($A386,'ZIP Coordinates'!$A:$A,0))-'ZIP Coordinates'!$D$2))))),"N/A")</f>
        <v>158.91789379300721</v>
      </c>
    </row>
    <row r="387" spans="1:6" x14ac:dyDescent="0.2">
      <c r="A387" s="3" t="s">
        <v>30</v>
      </c>
      <c r="B387" s="3" t="s">
        <v>281</v>
      </c>
      <c r="C387" s="3" t="s">
        <v>252</v>
      </c>
      <c r="D387" s="3" t="s">
        <v>154</v>
      </c>
      <c r="E387" s="28">
        <f>SUMIFS('Raw Data'!$I$2:$I$878,'Raw Data'!$A$2:$A$878,$A387,'Raw Data'!$B$2:$B$878,$B387,'Raw Data'!$D$2:$D$878,$D387)</f>
        <v>60</v>
      </c>
      <c r="F387" s="5">
        <f>IFERROR(3958.8*ACOS(MIN(1,MAX(-1,SIN(RADIANS('ZIP Coordinates'!$C$2))*SIN(RADIANS(INDEX('ZIP Coordinates'!$C:$C,MATCH($A387,'ZIP Coordinates'!$A:$A,0))))+COS(RADIANS('ZIP Coordinates'!$C$2))*COS(RADIANS(INDEX('ZIP Coordinates'!$C:$C,MATCH($A387,'ZIP Coordinates'!$A:$A,0))))*COS(RADIANS(INDEX('ZIP Coordinates'!$D:$D,MATCH($A387,'ZIP Coordinates'!$A:$A,0))-'ZIP Coordinates'!$D$2))))),"N/A")</f>
        <v>158.91789379300721</v>
      </c>
    </row>
    <row r="388" spans="1:6" x14ac:dyDescent="0.2">
      <c r="A388" s="3" t="s">
        <v>30</v>
      </c>
      <c r="B388" s="3" t="s">
        <v>251</v>
      </c>
      <c r="C388" s="3" t="s">
        <v>252</v>
      </c>
      <c r="D388" s="3" t="s">
        <v>154</v>
      </c>
      <c r="E388" s="28">
        <f>SUMIFS('Raw Data'!$I$2:$I$878,'Raw Data'!$A$2:$A$878,$A388,'Raw Data'!$B$2:$B$878,$B388,'Raw Data'!$D$2:$D$878,$D388)</f>
        <v>64</v>
      </c>
      <c r="F388" s="5">
        <f>IFERROR(3958.8*ACOS(MIN(1,MAX(-1,SIN(RADIANS('ZIP Coordinates'!$C$2))*SIN(RADIANS(INDEX('ZIP Coordinates'!$C:$C,MATCH($A388,'ZIP Coordinates'!$A:$A,0))))+COS(RADIANS('ZIP Coordinates'!$C$2))*COS(RADIANS(INDEX('ZIP Coordinates'!$C:$C,MATCH($A388,'ZIP Coordinates'!$A:$A,0))))*COS(RADIANS(INDEX('ZIP Coordinates'!$D:$D,MATCH($A388,'ZIP Coordinates'!$A:$A,0))-'ZIP Coordinates'!$D$2))))),"N/A")</f>
        <v>158.91789379300721</v>
      </c>
    </row>
    <row r="389" spans="1:6" x14ac:dyDescent="0.2">
      <c r="A389" s="3" t="s">
        <v>30</v>
      </c>
      <c r="B389" s="3" t="s">
        <v>255</v>
      </c>
      <c r="C389" s="3" t="s">
        <v>256</v>
      </c>
      <c r="D389" s="3" t="s">
        <v>154</v>
      </c>
      <c r="E389" s="28">
        <f>SUMIFS('Raw Data'!$I$2:$I$878,'Raw Data'!$A$2:$A$878,$A389,'Raw Data'!$B$2:$B$878,$B389,'Raw Data'!$D$2:$D$878,$D389)</f>
        <v>340</v>
      </c>
      <c r="F389" s="5">
        <f>IFERROR(3958.8*ACOS(MIN(1,MAX(-1,SIN(RADIANS('ZIP Coordinates'!$C$2))*SIN(RADIANS(INDEX('ZIP Coordinates'!$C:$C,MATCH($A389,'ZIP Coordinates'!$A:$A,0))))+COS(RADIANS('ZIP Coordinates'!$C$2))*COS(RADIANS(INDEX('ZIP Coordinates'!$C:$C,MATCH($A389,'ZIP Coordinates'!$A:$A,0))))*COS(RADIANS(INDEX('ZIP Coordinates'!$D:$D,MATCH($A389,'ZIP Coordinates'!$A:$A,0))-'ZIP Coordinates'!$D$2))))),"N/A")</f>
        <v>158.91789379300721</v>
      </c>
    </row>
    <row r="390" spans="1:6" x14ac:dyDescent="0.2">
      <c r="A390" s="3" t="s">
        <v>31</v>
      </c>
      <c r="B390" s="3" t="s">
        <v>261</v>
      </c>
      <c r="C390" s="3" t="s">
        <v>260</v>
      </c>
      <c r="D390" s="3" t="s">
        <v>136</v>
      </c>
      <c r="E390" s="28">
        <f>SUMIFS('Raw Data'!$I$2:$I$878,'Raw Data'!$A$2:$A$878,$A390,'Raw Data'!$B$2:$B$878,$B390,'Raw Data'!$D$2:$D$878,$D390)</f>
        <v>15</v>
      </c>
      <c r="F390" s="5">
        <f>IFERROR(3958.8*ACOS(MIN(1,MAX(-1,SIN(RADIANS('ZIP Coordinates'!$C$2))*SIN(RADIANS(INDEX('ZIP Coordinates'!$C:$C,MATCH($A390,'ZIP Coordinates'!$A:$A,0))))+COS(RADIANS('ZIP Coordinates'!$C$2))*COS(RADIANS(INDEX('ZIP Coordinates'!$C:$C,MATCH($A390,'ZIP Coordinates'!$A:$A,0))))*COS(RADIANS(INDEX('ZIP Coordinates'!$D:$D,MATCH($A390,'ZIP Coordinates'!$A:$A,0))-'ZIP Coordinates'!$D$2))))),"N/A")</f>
        <v>147.51382379737242</v>
      </c>
    </row>
    <row r="391" spans="1:6" x14ac:dyDescent="0.2">
      <c r="A391" s="3" t="s">
        <v>31</v>
      </c>
      <c r="B391" s="3" t="s">
        <v>241</v>
      </c>
      <c r="C391" s="3" t="s">
        <v>242</v>
      </c>
      <c r="D391" s="3" t="s">
        <v>136</v>
      </c>
      <c r="E391" s="28">
        <f>SUMIFS('Raw Data'!$I$2:$I$878,'Raw Data'!$A$2:$A$878,$A391,'Raw Data'!$B$2:$B$878,$B391,'Raw Data'!$D$2:$D$878,$D391)</f>
        <v>18</v>
      </c>
      <c r="F391" s="5">
        <f>IFERROR(3958.8*ACOS(MIN(1,MAX(-1,SIN(RADIANS('ZIP Coordinates'!$C$2))*SIN(RADIANS(INDEX('ZIP Coordinates'!$C:$C,MATCH($A391,'ZIP Coordinates'!$A:$A,0))))+COS(RADIANS('ZIP Coordinates'!$C$2))*COS(RADIANS(INDEX('ZIP Coordinates'!$C:$C,MATCH($A391,'ZIP Coordinates'!$A:$A,0))))*COS(RADIANS(INDEX('ZIP Coordinates'!$D:$D,MATCH($A391,'ZIP Coordinates'!$A:$A,0))-'ZIP Coordinates'!$D$2))))),"N/A")</f>
        <v>147.51382379737242</v>
      </c>
    </row>
    <row r="392" spans="1:6" x14ac:dyDescent="0.2">
      <c r="A392" s="3" t="s">
        <v>31</v>
      </c>
      <c r="B392" s="3" t="s">
        <v>243</v>
      </c>
      <c r="C392" s="3" t="s">
        <v>244</v>
      </c>
      <c r="D392" s="3" t="s">
        <v>136</v>
      </c>
      <c r="E392" s="28">
        <f>SUMIFS('Raw Data'!$I$2:$I$878,'Raw Data'!$A$2:$A$878,$A392,'Raw Data'!$B$2:$B$878,$B392,'Raw Data'!$D$2:$D$878,$D392)</f>
        <v>2</v>
      </c>
      <c r="F392" s="5">
        <f>IFERROR(3958.8*ACOS(MIN(1,MAX(-1,SIN(RADIANS('ZIP Coordinates'!$C$2))*SIN(RADIANS(INDEX('ZIP Coordinates'!$C:$C,MATCH($A392,'ZIP Coordinates'!$A:$A,0))))+COS(RADIANS('ZIP Coordinates'!$C$2))*COS(RADIANS(INDEX('ZIP Coordinates'!$C:$C,MATCH($A392,'ZIP Coordinates'!$A:$A,0))))*COS(RADIANS(INDEX('ZIP Coordinates'!$D:$D,MATCH($A392,'ZIP Coordinates'!$A:$A,0))-'ZIP Coordinates'!$D$2))))),"N/A")</f>
        <v>147.51382379737242</v>
      </c>
    </row>
    <row r="393" spans="1:6" x14ac:dyDescent="0.2">
      <c r="A393" s="3" t="s">
        <v>31</v>
      </c>
      <c r="B393" s="3" t="s">
        <v>276</v>
      </c>
      <c r="C393" s="3" t="s">
        <v>275</v>
      </c>
      <c r="D393" s="3" t="s">
        <v>136</v>
      </c>
      <c r="E393" s="28">
        <f>SUMIFS('Raw Data'!$I$2:$I$878,'Raw Data'!$A$2:$A$878,$A393,'Raw Data'!$B$2:$B$878,$B393,'Raw Data'!$D$2:$D$878,$D393)</f>
        <v>23</v>
      </c>
      <c r="F393" s="5">
        <f>IFERROR(3958.8*ACOS(MIN(1,MAX(-1,SIN(RADIANS('ZIP Coordinates'!$C$2))*SIN(RADIANS(INDEX('ZIP Coordinates'!$C:$C,MATCH($A393,'ZIP Coordinates'!$A:$A,0))))+COS(RADIANS('ZIP Coordinates'!$C$2))*COS(RADIANS(INDEX('ZIP Coordinates'!$C:$C,MATCH($A393,'ZIP Coordinates'!$A:$A,0))))*COS(RADIANS(INDEX('ZIP Coordinates'!$D:$D,MATCH($A393,'ZIP Coordinates'!$A:$A,0))-'ZIP Coordinates'!$D$2))))),"N/A")</f>
        <v>147.51382379737242</v>
      </c>
    </row>
    <row r="394" spans="1:6" x14ac:dyDescent="0.2">
      <c r="A394" s="3" t="s">
        <v>31</v>
      </c>
      <c r="B394" s="3" t="s">
        <v>277</v>
      </c>
      <c r="C394" s="3" t="s">
        <v>278</v>
      </c>
      <c r="D394" s="3" t="s">
        <v>136</v>
      </c>
      <c r="E394" s="28">
        <f>SUMIFS('Raw Data'!$I$2:$I$878,'Raw Data'!$A$2:$A$878,$A394,'Raw Data'!$B$2:$B$878,$B394,'Raw Data'!$D$2:$D$878,$D394)</f>
        <v>28</v>
      </c>
      <c r="F394" s="5">
        <f>IFERROR(3958.8*ACOS(MIN(1,MAX(-1,SIN(RADIANS('ZIP Coordinates'!$C$2))*SIN(RADIANS(INDEX('ZIP Coordinates'!$C:$C,MATCH($A394,'ZIP Coordinates'!$A:$A,0))))+COS(RADIANS('ZIP Coordinates'!$C$2))*COS(RADIANS(INDEX('ZIP Coordinates'!$C:$C,MATCH($A394,'ZIP Coordinates'!$A:$A,0))))*COS(RADIANS(INDEX('ZIP Coordinates'!$D:$D,MATCH($A394,'ZIP Coordinates'!$A:$A,0))-'ZIP Coordinates'!$D$2))))),"N/A")</f>
        <v>147.51382379737242</v>
      </c>
    </row>
    <row r="395" spans="1:6" x14ac:dyDescent="0.2">
      <c r="A395" s="3" t="s">
        <v>31</v>
      </c>
      <c r="B395" s="3" t="s">
        <v>279</v>
      </c>
      <c r="C395" s="3" t="s">
        <v>280</v>
      </c>
      <c r="D395" s="3" t="s">
        <v>136</v>
      </c>
      <c r="E395" s="28">
        <f>SUMIFS('Raw Data'!$I$2:$I$878,'Raw Data'!$A$2:$A$878,$A395,'Raw Data'!$B$2:$B$878,$B395,'Raw Data'!$D$2:$D$878,$D395)</f>
        <v>24</v>
      </c>
      <c r="F395" s="5">
        <f>IFERROR(3958.8*ACOS(MIN(1,MAX(-1,SIN(RADIANS('ZIP Coordinates'!$C$2))*SIN(RADIANS(INDEX('ZIP Coordinates'!$C:$C,MATCH($A395,'ZIP Coordinates'!$A:$A,0))))+COS(RADIANS('ZIP Coordinates'!$C$2))*COS(RADIANS(INDEX('ZIP Coordinates'!$C:$C,MATCH($A395,'ZIP Coordinates'!$A:$A,0))))*COS(RADIANS(INDEX('ZIP Coordinates'!$D:$D,MATCH($A395,'ZIP Coordinates'!$A:$A,0))-'ZIP Coordinates'!$D$2))))),"N/A")</f>
        <v>147.51382379737242</v>
      </c>
    </row>
    <row r="396" spans="1:6" x14ac:dyDescent="0.2">
      <c r="A396" s="3" t="s">
        <v>31</v>
      </c>
      <c r="B396" s="3" t="s">
        <v>247</v>
      </c>
      <c r="C396" s="3" t="s">
        <v>246</v>
      </c>
      <c r="D396" s="3" t="s">
        <v>136</v>
      </c>
      <c r="E396" s="28">
        <f>SUMIFS('Raw Data'!$I$2:$I$878,'Raw Data'!$A$2:$A$878,$A396,'Raw Data'!$B$2:$B$878,$B396,'Raw Data'!$D$2:$D$878,$D396)</f>
        <v>58</v>
      </c>
      <c r="F396" s="5">
        <f>IFERROR(3958.8*ACOS(MIN(1,MAX(-1,SIN(RADIANS('ZIP Coordinates'!$C$2))*SIN(RADIANS(INDEX('ZIP Coordinates'!$C:$C,MATCH($A396,'ZIP Coordinates'!$A:$A,0))))+COS(RADIANS('ZIP Coordinates'!$C$2))*COS(RADIANS(INDEX('ZIP Coordinates'!$C:$C,MATCH($A396,'ZIP Coordinates'!$A:$A,0))))*COS(RADIANS(INDEX('ZIP Coordinates'!$D:$D,MATCH($A396,'ZIP Coordinates'!$A:$A,0))-'ZIP Coordinates'!$D$2))))),"N/A")</f>
        <v>147.51382379737242</v>
      </c>
    </row>
    <row r="397" spans="1:6" x14ac:dyDescent="0.2">
      <c r="A397" s="3" t="s">
        <v>31</v>
      </c>
      <c r="B397" s="3" t="s">
        <v>250</v>
      </c>
      <c r="C397" s="3" t="s">
        <v>249</v>
      </c>
      <c r="D397" s="3" t="s">
        <v>103</v>
      </c>
      <c r="E397" s="28">
        <f>SUMIFS('Raw Data'!$I$2:$I$878,'Raw Data'!$A$2:$A$878,$A397,'Raw Data'!$B$2:$B$878,$B397,'Raw Data'!$D$2:$D$878,$D397)</f>
        <v>211</v>
      </c>
      <c r="F397" s="5">
        <f>IFERROR(3958.8*ACOS(MIN(1,MAX(-1,SIN(RADIANS('ZIP Coordinates'!$C$2))*SIN(RADIANS(INDEX('ZIP Coordinates'!$C:$C,MATCH($A397,'ZIP Coordinates'!$A:$A,0))))+COS(RADIANS('ZIP Coordinates'!$C$2))*COS(RADIANS(INDEX('ZIP Coordinates'!$C:$C,MATCH($A397,'ZIP Coordinates'!$A:$A,0))))*COS(RADIANS(INDEX('ZIP Coordinates'!$D:$D,MATCH($A397,'ZIP Coordinates'!$A:$A,0))-'ZIP Coordinates'!$D$2))))),"N/A")</f>
        <v>147.51382379737242</v>
      </c>
    </row>
    <row r="398" spans="1:6" x14ac:dyDescent="0.2">
      <c r="A398" s="3" t="s">
        <v>31</v>
      </c>
      <c r="B398" s="3" t="s">
        <v>251</v>
      </c>
      <c r="C398" s="3" t="s">
        <v>252</v>
      </c>
      <c r="D398" s="3" t="s">
        <v>103</v>
      </c>
      <c r="E398" s="28">
        <f>SUMIFS('Raw Data'!$I$2:$I$878,'Raw Data'!$A$2:$A$878,$A398,'Raw Data'!$B$2:$B$878,$B398,'Raw Data'!$D$2:$D$878,$D398)</f>
        <v>193</v>
      </c>
      <c r="F398" s="5">
        <f>IFERROR(3958.8*ACOS(MIN(1,MAX(-1,SIN(RADIANS('ZIP Coordinates'!$C$2))*SIN(RADIANS(INDEX('ZIP Coordinates'!$C:$C,MATCH($A398,'ZIP Coordinates'!$A:$A,0))))+COS(RADIANS('ZIP Coordinates'!$C$2))*COS(RADIANS(INDEX('ZIP Coordinates'!$C:$C,MATCH($A398,'ZIP Coordinates'!$A:$A,0))))*COS(RADIANS(INDEX('ZIP Coordinates'!$D:$D,MATCH($A398,'ZIP Coordinates'!$A:$A,0))-'ZIP Coordinates'!$D$2))))),"N/A")</f>
        <v>147.51382379737242</v>
      </c>
    </row>
    <row r="399" spans="1:6" x14ac:dyDescent="0.2">
      <c r="A399" s="3" t="s">
        <v>31</v>
      </c>
      <c r="B399" s="3" t="s">
        <v>284</v>
      </c>
      <c r="C399" s="3" t="s">
        <v>285</v>
      </c>
      <c r="D399" s="3" t="s">
        <v>136</v>
      </c>
      <c r="E399" s="28">
        <f>SUMIFS('Raw Data'!$I$2:$I$878,'Raw Data'!$A$2:$A$878,$A399,'Raw Data'!$B$2:$B$878,$B399,'Raw Data'!$D$2:$D$878,$D399)</f>
        <v>4</v>
      </c>
      <c r="F399" s="5">
        <f>IFERROR(3958.8*ACOS(MIN(1,MAX(-1,SIN(RADIANS('ZIP Coordinates'!$C$2))*SIN(RADIANS(INDEX('ZIP Coordinates'!$C:$C,MATCH($A399,'ZIP Coordinates'!$A:$A,0))))+COS(RADIANS('ZIP Coordinates'!$C$2))*COS(RADIANS(INDEX('ZIP Coordinates'!$C:$C,MATCH($A399,'ZIP Coordinates'!$A:$A,0))))*COS(RADIANS(INDEX('ZIP Coordinates'!$D:$D,MATCH($A399,'ZIP Coordinates'!$A:$A,0))-'ZIP Coordinates'!$D$2))))),"N/A")</f>
        <v>147.51382379737242</v>
      </c>
    </row>
    <row r="400" spans="1:6" x14ac:dyDescent="0.2">
      <c r="A400" s="3" t="s">
        <v>31</v>
      </c>
      <c r="B400" s="3" t="s">
        <v>288</v>
      </c>
      <c r="C400" s="3" t="s">
        <v>287</v>
      </c>
      <c r="D400" s="3" t="s">
        <v>103</v>
      </c>
      <c r="E400" s="28">
        <f>SUMIFS('Raw Data'!$I$2:$I$878,'Raw Data'!$A$2:$A$878,$A400,'Raw Data'!$B$2:$B$878,$B400,'Raw Data'!$D$2:$D$878,$D400)</f>
        <v>257</v>
      </c>
      <c r="F400" s="5">
        <f>IFERROR(3958.8*ACOS(MIN(1,MAX(-1,SIN(RADIANS('ZIP Coordinates'!$C$2))*SIN(RADIANS(INDEX('ZIP Coordinates'!$C:$C,MATCH($A400,'ZIP Coordinates'!$A:$A,0))))+COS(RADIANS('ZIP Coordinates'!$C$2))*COS(RADIANS(INDEX('ZIP Coordinates'!$C:$C,MATCH($A400,'ZIP Coordinates'!$A:$A,0))))*COS(RADIANS(INDEX('ZIP Coordinates'!$D:$D,MATCH($A400,'ZIP Coordinates'!$A:$A,0))-'ZIP Coordinates'!$D$2))))),"N/A")</f>
        <v>147.51382379737242</v>
      </c>
    </row>
    <row r="401" spans="1:6" x14ac:dyDescent="0.2">
      <c r="A401" s="3" t="s">
        <v>31</v>
      </c>
      <c r="B401" s="3" t="s">
        <v>257</v>
      </c>
      <c r="C401" s="3" t="s">
        <v>256</v>
      </c>
      <c r="D401" s="3" t="s">
        <v>103</v>
      </c>
      <c r="E401" s="28">
        <f>SUMIFS('Raw Data'!$I$2:$I$878,'Raw Data'!$A$2:$A$878,$A401,'Raw Data'!$B$2:$B$878,$B401,'Raw Data'!$D$2:$D$878,$D401)</f>
        <v>65</v>
      </c>
      <c r="F401" s="5">
        <f>IFERROR(3958.8*ACOS(MIN(1,MAX(-1,SIN(RADIANS('ZIP Coordinates'!$C$2))*SIN(RADIANS(INDEX('ZIP Coordinates'!$C:$C,MATCH($A401,'ZIP Coordinates'!$A:$A,0))))+COS(RADIANS('ZIP Coordinates'!$C$2))*COS(RADIANS(INDEX('ZIP Coordinates'!$C:$C,MATCH($A401,'ZIP Coordinates'!$A:$A,0))))*COS(RADIANS(INDEX('ZIP Coordinates'!$D:$D,MATCH($A401,'ZIP Coordinates'!$A:$A,0))-'ZIP Coordinates'!$D$2))))),"N/A")</f>
        <v>147.51382379737242</v>
      </c>
    </row>
    <row r="402" spans="1:6" x14ac:dyDescent="0.2">
      <c r="A402" s="3" t="s">
        <v>32</v>
      </c>
      <c r="B402" s="3" t="s">
        <v>259</v>
      </c>
      <c r="C402" s="3" t="s">
        <v>260</v>
      </c>
      <c r="D402" s="3" t="s">
        <v>151</v>
      </c>
      <c r="E402" s="28">
        <f>SUMIFS('Raw Data'!$I$2:$I$878,'Raw Data'!$A$2:$A$878,$A402,'Raw Data'!$B$2:$B$878,$B402,'Raw Data'!$D$2:$D$878,$D402)</f>
        <v>12</v>
      </c>
      <c r="F402" s="5">
        <f>IFERROR(3958.8*ACOS(MIN(1,MAX(-1,SIN(RADIANS('ZIP Coordinates'!$C$2))*SIN(RADIANS(INDEX('ZIP Coordinates'!$C:$C,MATCH($A402,'ZIP Coordinates'!$A:$A,0))))+COS(RADIANS('ZIP Coordinates'!$C$2))*COS(RADIANS(INDEX('ZIP Coordinates'!$C:$C,MATCH($A402,'ZIP Coordinates'!$A:$A,0))))*COS(RADIANS(INDEX('ZIP Coordinates'!$D:$D,MATCH($A402,'ZIP Coordinates'!$A:$A,0))-'ZIP Coordinates'!$D$2))))),"N/A")</f>
        <v>165.56237092425968</v>
      </c>
    </row>
    <row r="403" spans="1:6" x14ac:dyDescent="0.2">
      <c r="A403" s="3" t="s">
        <v>32</v>
      </c>
      <c r="B403" s="3" t="s">
        <v>261</v>
      </c>
      <c r="C403" s="3" t="s">
        <v>260</v>
      </c>
      <c r="D403" s="3" t="s">
        <v>151</v>
      </c>
      <c r="E403" s="28">
        <f>SUMIFS('Raw Data'!$I$2:$I$878,'Raw Data'!$A$2:$A$878,$A403,'Raw Data'!$B$2:$B$878,$B403,'Raw Data'!$D$2:$D$878,$D403)</f>
        <v>22</v>
      </c>
      <c r="F403" s="5">
        <f>IFERROR(3958.8*ACOS(MIN(1,MAX(-1,SIN(RADIANS('ZIP Coordinates'!$C$2))*SIN(RADIANS(INDEX('ZIP Coordinates'!$C:$C,MATCH($A403,'ZIP Coordinates'!$A:$A,0))))+COS(RADIANS('ZIP Coordinates'!$C$2))*COS(RADIANS(INDEX('ZIP Coordinates'!$C:$C,MATCH($A403,'ZIP Coordinates'!$A:$A,0))))*COS(RADIANS(INDEX('ZIP Coordinates'!$D:$D,MATCH($A403,'ZIP Coordinates'!$A:$A,0))-'ZIP Coordinates'!$D$2))))),"N/A")</f>
        <v>165.56237092425968</v>
      </c>
    </row>
    <row r="404" spans="1:6" x14ac:dyDescent="0.2">
      <c r="A404" s="3" t="s">
        <v>32</v>
      </c>
      <c r="B404" s="3" t="s">
        <v>271</v>
      </c>
      <c r="C404" s="3" t="s">
        <v>244</v>
      </c>
      <c r="D404" s="3" t="s">
        <v>151</v>
      </c>
      <c r="E404" s="28">
        <f>SUMIFS('Raw Data'!$I$2:$I$878,'Raw Data'!$A$2:$A$878,$A404,'Raw Data'!$B$2:$B$878,$B404,'Raw Data'!$D$2:$D$878,$D404)</f>
        <v>765</v>
      </c>
      <c r="F404" s="5">
        <f>IFERROR(3958.8*ACOS(MIN(1,MAX(-1,SIN(RADIANS('ZIP Coordinates'!$C$2))*SIN(RADIANS(INDEX('ZIP Coordinates'!$C:$C,MATCH($A404,'ZIP Coordinates'!$A:$A,0))))+COS(RADIANS('ZIP Coordinates'!$C$2))*COS(RADIANS(INDEX('ZIP Coordinates'!$C:$C,MATCH($A404,'ZIP Coordinates'!$A:$A,0))))*COS(RADIANS(INDEX('ZIP Coordinates'!$D:$D,MATCH($A404,'ZIP Coordinates'!$A:$A,0))-'ZIP Coordinates'!$D$2))))),"N/A")</f>
        <v>165.56237092425968</v>
      </c>
    </row>
    <row r="405" spans="1:6" x14ac:dyDescent="0.2">
      <c r="A405" s="3" t="s">
        <v>32</v>
      </c>
      <c r="B405" s="3" t="s">
        <v>243</v>
      </c>
      <c r="C405" s="3" t="s">
        <v>244</v>
      </c>
      <c r="D405" s="3" t="s">
        <v>151</v>
      </c>
      <c r="E405" s="28">
        <f>SUMIFS('Raw Data'!$I$2:$I$878,'Raw Data'!$A$2:$A$878,$A405,'Raw Data'!$B$2:$B$878,$B405,'Raw Data'!$D$2:$D$878,$D405)</f>
        <v>-5</v>
      </c>
      <c r="F405" s="5">
        <f>IFERROR(3958.8*ACOS(MIN(1,MAX(-1,SIN(RADIANS('ZIP Coordinates'!$C$2))*SIN(RADIANS(INDEX('ZIP Coordinates'!$C:$C,MATCH($A405,'ZIP Coordinates'!$A:$A,0))))+COS(RADIANS('ZIP Coordinates'!$C$2))*COS(RADIANS(INDEX('ZIP Coordinates'!$C:$C,MATCH($A405,'ZIP Coordinates'!$A:$A,0))))*COS(RADIANS(INDEX('ZIP Coordinates'!$D:$D,MATCH($A405,'ZIP Coordinates'!$A:$A,0))-'ZIP Coordinates'!$D$2))))),"N/A")</f>
        <v>165.56237092425968</v>
      </c>
    </row>
    <row r="406" spans="1:6" x14ac:dyDescent="0.2">
      <c r="A406" s="3" t="s">
        <v>32</v>
      </c>
      <c r="B406" s="3" t="s">
        <v>276</v>
      </c>
      <c r="C406" s="3" t="s">
        <v>275</v>
      </c>
      <c r="D406" s="3" t="s">
        <v>214</v>
      </c>
      <c r="E406" s="28">
        <f>SUMIFS('Raw Data'!$I$2:$I$878,'Raw Data'!$A$2:$A$878,$A406,'Raw Data'!$B$2:$B$878,$B406,'Raw Data'!$D$2:$D$878,$D406)</f>
        <v>3</v>
      </c>
      <c r="F406" s="5">
        <f>IFERROR(3958.8*ACOS(MIN(1,MAX(-1,SIN(RADIANS('ZIP Coordinates'!$C$2))*SIN(RADIANS(INDEX('ZIP Coordinates'!$C:$C,MATCH($A406,'ZIP Coordinates'!$A:$A,0))))+COS(RADIANS('ZIP Coordinates'!$C$2))*COS(RADIANS(INDEX('ZIP Coordinates'!$C:$C,MATCH($A406,'ZIP Coordinates'!$A:$A,0))))*COS(RADIANS(INDEX('ZIP Coordinates'!$D:$D,MATCH($A406,'ZIP Coordinates'!$A:$A,0))-'ZIP Coordinates'!$D$2))))),"N/A")</f>
        <v>165.56237092425968</v>
      </c>
    </row>
    <row r="407" spans="1:6" x14ac:dyDescent="0.2">
      <c r="A407" s="3" t="s">
        <v>33</v>
      </c>
      <c r="B407" s="3" t="s">
        <v>239</v>
      </c>
      <c r="C407" s="3" t="s">
        <v>240</v>
      </c>
      <c r="D407" s="3" t="s">
        <v>91</v>
      </c>
      <c r="E407" s="28">
        <f>SUMIFS('Raw Data'!$I$2:$I$878,'Raw Data'!$A$2:$A$878,$A407,'Raw Data'!$B$2:$B$878,$B407,'Raw Data'!$D$2:$D$878,$D407)</f>
        <v>52</v>
      </c>
      <c r="F407" s="5">
        <f>IFERROR(3958.8*ACOS(MIN(1,MAX(-1,SIN(RADIANS('ZIP Coordinates'!$C$2))*SIN(RADIANS(INDEX('ZIP Coordinates'!$C:$C,MATCH($A407,'ZIP Coordinates'!$A:$A,0))))+COS(RADIANS('ZIP Coordinates'!$C$2))*COS(RADIANS(INDEX('ZIP Coordinates'!$C:$C,MATCH($A407,'ZIP Coordinates'!$A:$A,0))))*COS(RADIANS(INDEX('ZIP Coordinates'!$D:$D,MATCH($A407,'ZIP Coordinates'!$A:$A,0))-'ZIP Coordinates'!$D$2))))),"N/A")</f>
        <v>164.84247716245491</v>
      </c>
    </row>
    <row r="408" spans="1:6" x14ac:dyDescent="0.2">
      <c r="A408" s="3" t="s">
        <v>33</v>
      </c>
      <c r="B408" s="3" t="s">
        <v>261</v>
      </c>
      <c r="C408" s="3" t="s">
        <v>260</v>
      </c>
      <c r="D408" s="3" t="s">
        <v>91</v>
      </c>
      <c r="E408" s="28">
        <f>SUMIFS('Raw Data'!$I$2:$I$878,'Raw Data'!$A$2:$A$878,$A408,'Raw Data'!$B$2:$B$878,$B408,'Raw Data'!$D$2:$D$878,$D408)</f>
        <v>38</v>
      </c>
      <c r="F408" s="5">
        <f>IFERROR(3958.8*ACOS(MIN(1,MAX(-1,SIN(RADIANS('ZIP Coordinates'!$C$2))*SIN(RADIANS(INDEX('ZIP Coordinates'!$C:$C,MATCH($A408,'ZIP Coordinates'!$A:$A,0))))+COS(RADIANS('ZIP Coordinates'!$C$2))*COS(RADIANS(INDEX('ZIP Coordinates'!$C:$C,MATCH($A408,'ZIP Coordinates'!$A:$A,0))))*COS(RADIANS(INDEX('ZIP Coordinates'!$D:$D,MATCH($A408,'ZIP Coordinates'!$A:$A,0))-'ZIP Coordinates'!$D$2))))),"N/A")</f>
        <v>164.84247716245491</v>
      </c>
    </row>
    <row r="409" spans="1:6" x14ac:dyDescent="0.2">
      <c r="A409" s="3" t="s">
        <v>33</v>
      </c>
      <c r="B409" s="3" t="s">
        <v>241</v>
      </c>
      <c r="C409" s="3" t="s">
        <v>242</v>
      </c>
      <c r="D409" s="3" t="s">
        <v>91</v>
      </c>
      <c r="E409" s="28">
        <f>SUMIFS('Raw Data'!$I$2:$I$878,'Raw Data'!$A$2:$A$878,$A409,'Raw Data'!$B$2:$B$878,$B409,'Raw Data'!$D$2:$D$878,$D409)</f>
        <v>20</v>
      </c>
      <c r="F409" s="5">
        <f>IFERROR(3958.8*ACOS(MIN(1,MAX(-1,SIN(RADIANS('ZIP Coordinates'!$C$2))*SIN(RADIANS(INDEX('ZIP Coordinates'!$C:$C,MATCH($A409,'ZIP Coordinates'!$A:$A,0))))+COS(RADIANS('ZIP Coordinates'!$C$2))*COS(RADIANS(INDEX('ZIP Coordinates'!$C:$C,MATCH($A409,'ZIP Coordinates'!$A:$A,0))))*COS(RADIANS(INDEX('ZIP Coordinates'!$D:$D,MATCH($A409,'ZIP Coordinates'!$A:$A,0))-'ZIP Coordinates'!$D$2))))),"N/A")</f>
        <v>164.84247716245491</v>
      </c>
    </row>
    <row r="410" spans="1:6" x14ac:dyDescent="0.2">
      <c r="A410" s="3" t="s">
        <v>33</v>
      </c>
      <c r="B410" s="3" t="s">
        <v>243</v>
      </c>
      <c r="C410" s="3" t="s">
        <v>244</v>
      </c>
      <c r="D410" s="3" t="s">
        <v>91</v>
      </c>
      <c r="E410" s="28">
        <f>SUMIFS('Raw Data'!$I$2:$I$878,'Raw Data'!$A$2:$A$878,$A410,'Raw Data'!$B$2:$B$878,$B410,'Raw Data'!$D$2:$D$878,$D410)</f>
        <v>19</v>
      </c>
      <c r="F410" s="5">
        <f>IFERROR(3958.8*ACOS(MIN(1,MAX(-1,SIN(RADIANS('ZIP Coordinates'!$C$2))*SIN(RADIANS(INDEX('ZIP Coordinates'!$C:$C,MATCH($A410,'ZIP Coordinates'!$A:$A,0))))+COS(RADIANS('ZIP Coordinates'!$C$2))*COS(RADIANS(INDEX('ZIP Coordinates'!$C:$C,MATCH($A410,'ZIP Coordinates'!$A:$A,0))))*COS(RADIANS(INDEX('ZIP Coordinates'!$D:$D,MATCH($A410,'ZIP Coordinates'!$A:$A,0))-'ZIP Coordinates'!$D$2))))),"N/A")</f>
        <v>164.84247716245491</v>
      </c>
    </row>
    <row r="411" spans="1:6" x14ac:dyDescent="0.2">
      <c r="A411" s="3" t="s">
        <v>33</v>
      </c>
      <c r="B411" s="3" t="s">
        <v>276</v>
      </c>
      <c r="C411" s="3" t="s">
        <v>275</v>
      </c>
      <c r="D411" s="3" t="s">
        <v>91</v>
      </c>
      <c r="E411" s="28">
        <f>SUMIFS('Raw Data'!$I$2:$I$878,'Raw Data'!$A$2:$A$878,$A411,'Raw Data'!$B$2:$B$878,$B411,'Raw Data'!$D$2:$D$878,$D411)</f>
        <v>65</v>
      </c>
      <c r="F411" s="5">
        <f>IFERROR(3958.8*ACOS(MIN(1,MAX(-1,SIN(RADIANS('ZIP Coordinates'!$C$2))*SIN(RADIANS(INDEX('ZIP Coordinates'!$C:$C,MATCH($A411,'ZIP Coordinates'!$A:$A,0))))+COS(RADIANS('ZIP Coordinates'!$C$2))*COS(RADIANS(INDEX('ZIP Coordinates'!$C:$C,MATCH($A411,'ZIP Coordinates'!$A:$A,0))))*COS(RADIANS(INDEX('ZIP Coordinates'!$D:$D,MATCH($A411,'ZIP Coordinates'!$A:$A,0))-'ZIP Coordinates'!$D$2))))),"N/A")</f>
        <v>164.84247716245491</v>
      </c>
    </row>
    <row r="412" spans="1:6" x14ac:dyDescent="0.2">
      <c r="A412" s="3" t="s">
        <v>33</v>
      </c>
      <c r="B412" s="3" t="s">
        <v>277</v>
      </c>
      <c r="C412" s="3" t="s">
        <v>278</v>
      </c>
      <c r="D412" s="3" t="s">
        <v>91</v>
      </c>
      <c r="E412" s="28">
        <f>SUMIFS('Raw Data'!$I$2:$I$878,'Raw Data'!$A$2:$A$878,$A412,'Raw Data'!$B$2:$B$878,$B412,'Raw Data'!$D$2:$D$878,$D412)</f>
        <v>39</v>
      </c>
      <c r="F412" s="5">
        <f>IFERROR(3958.8*ACOS(MIN(1,MAX(-1,SIN(RADIANS('ZIP Coordinates'!$C$2))*SIN(RADIANS(INDEX('ZIP Coordinates'!$C:$C,MATCH($A412,'ZIP Coordinates'!$A:$A,0))))+COS(RADIANS('ZIP Coordinates'!$C$2))*COS(RADIANS(INDEX('ZIP Coordinates'!$C:$C,MATCH($A412,'ZIP Coordinates'!$A:$A,0))))*COS(RADIANS(INDEX('ZIP Coordinates'!$D:$D,MATCH($A412,'ZIP Coordinates'!$A:$A,0))-'ZIP Coordinates'!$D$2))))),"N/A")</f>
        <v>164.84247716245491</v>
      </c>
    </row>
    <row r="413" spans="1:6" x14ac:dyDescent="0.2">
      <c r="A413" s="3" t="s">
        <v>33</v>
      </c>
      <c r="B413" s="3" t="s">
        <v>279</v>
      </c>
      <c r="C413" s="3" t="s">
        <v>280</v>
      </c>
      <c r="D413" s="3" t="s">
        <v>91</v>
      </c>
      <c r="E413" s="28">
        <f>SUMIFS('Raw Data'!$I$2:$I$878,'Raw Data'!$A$2:$A$878,$A413,'Raw Data'!$B$2:$B$878,$B413,'Raw Data'!$D$2:$D$878,$D413)</f>
        <v>37</v>
      </c>
      <c r="F413" s="5">
        <f>IFERROR(3958.8*ACOS(MIN(1,MAX(-1,SIN(RADIANS('ZIP Coordinates'!$C$2))*SIN(RADIANS(INDEX('ZIP Coordinates'!$C:$C,MATCH($A413,'ZIP Coordinates'!$A:$A,0))))+COS(RADIANS('ZIP Coordinates'!$C$2))*COS(RADIANS(INDEX('ZIP Coordinates'!$C:$C,MATCH($A413,'ZIP Coordinates'!$A:$A,0))))*COS(RADIANS(INDEX('ZIP Coordinates'!$D:$D,MATCH($A413,'ZIP Coordinates'!$A:$A,0))-'ZIP Coordinates'!$D$2))))),"N/A")</f>
        <v>164.84247716245491</v>
      </c>
    </row>
    <row r="414" spans="1:6" x14ac:dyDescent="0.2">
      <c r="A414" s="3" t="s">
        <v>33</v>
      </c>
      <c r="B414" s="3" t="s">
        <v>247</v>
      </c>
      <c r="C414" s="3" t="s">
        <v>246</v>
      </c>
      <c r="D414" s="3" t="s">
        <v>91</v>
      </c>
      <c r="E414" s="28">
        <f>SUMIFS('Raw Data'!$I$2:$I$878,'Raw Data'!$A$2:$A$878,$A414,'Raw Data'!$B$2:$B$878,$B414,'Raw Data'!$D$2:$D$878,$D414)</f>
        <v>110</v>
      </c>
      <c r="F414" s="5">
        <f>IFERROR(3958.8*ACOS(MIN(1,MAX(-1,SIN(RADIANS('ZIP Coordinates'!$C$2))*SIN(RADIANS(INDEX('ZIP Coordinates'!$C:$C,MATCH($A414,'ZIP Coordinates'!$A:$A,0))))+COS(RADIANS('ZIP Coordinates'!$C$2))*COS(RADIANS(INDEX('ZIP Coordinates'!$C:$C,MATCH($A414,'ZIP Coordinates'!$A:$A,0))))*COS(RADIANS(INDEX('ZIP Coordinates'!$D:$D,MATCH($A414,'ZIP Coordinates'!$A:$A,0))-'ZIP Coordinates'!$D$2))))),"N/A")</f>
        <v>164.84247716245491</v>
      </c>
    </row>
    <row r="415" spans="1:6" x14ac:dyDescent="0.2">
      <c r="A415" s="3" t="s">
        <v>33</v>
      </c>
      <c r="B415" s="3" t="s">
        <v>250</v>
      </c>
      <c r="C415" s="3" t="s">
        <v>249</v>
      </c>
      <c r="D415" s="3" t="s">
        <v>91</v>
      </c>
      <c r="E415" s="28">
        <f>SUMIFS('Raw Data'!$I$2:$I$878,'Raw Data'!$A$2:$A$878,$A415,'Raw Data'!$B$2:$B$878,$B415,'Raw Data'!$D$2:$D$878,$D415)</f>
        <v>63</v>
      </c>
      <c r="F415" s="5">
        <f>IFERROR(3958.8*ACOS(MIN(1,MAX(-1,SIN(RADIANS('ZIP Coordinates'!$C$2))*SIN(RADIANS(INDEX('ZIP Coordinates'!$C:$C,MATCH($A415,'ZIP Coordinates'!$A:$A,0))))+COS(RADIANS('ZIP Coordinates'!$C$2))*COS(RADIANS(INDEX('ZIP Coordinates'!$C:$C,MATCH($A415,'ZIP Coordinates'!$A:$A,0))))*COS(RADIANS(INDEX('ZIP Coordinates'!$D:$D,MATCH($A415,'ZIP Coordinates'!$A:$A,0))-'ZIP Coordinates'!$D$2))))),"N/A")</f>
        <v>164.84247716245491</v>
      </c>
    </row>
    <row r="416" spans="1:6" x14ac:dyDescent="0.2">
      <c r="A416" s="3" t="s">
        <v>33</v>
      </c>
      <c r="B416" s="3" t="s">
        <v>251</v>
      </c>
      <c r="C416" s="3" t="s">
        <v>252</v>
      </c>
      <c r="D416" s="3" t="s">
        <v>91</v>
      </c>
      <c r="E416" s="28">
        <f>SUMIFS('Raw Data'!$I$2:$I$878,'Raw Data'!$A$2:$A$878,$A416,'Raw Data'!$B$2:$B$878,$B416,'Raw Data'!$D$2:$D$878,$D416)</f>
        <v>143</v>
      </c>
      <c r="F416" s="5">
        <f>IFERROR(3958.8*ACOS(MIN(1,MAX(-1,SIN(RADIANS('ZIP Coordinates'!$C$2))*SIN(RADIANS(INDEX('ZIP Coordinates'!$C:$C,MATCH($A416,'ZIP Coordinates'!$A:$A,0))))+COS(RADIANS('ZIP Coordinates'!$C$2))*COS(RADIANS(INDEX('ZIP Coordinates'!$C:$C,MATCH($A416,'ZIP Coordinates'!$A:$A,0))))*COS(RADIANS(INDEX('ZIP Coordinates'!$D:$D,MATCH($A416,'ZIP Coordinates'!$A:$A,0))-'ZIP Coordinates'!$D$2))))),"N/A")</f>
        <v>164.84247716245491</v>
      </c>
    </row>
    <row r="417" spans="1:6" x14ac:dyDescent="0.2">
      <c r="A417" s="3" t="s">
        <v>33</v>
      </c>
      <c r="B417" s="3" t="s">
        <v>288</v>
      </c>
      <c r="C417" s="3" t="s">
        <v>287</v>
      </c>
      <c r="D417" s="3" t="s">
        <v>91</v>
      </c>
      <c r="E417" s="28">
        <f>SUMIFS('Raw Data'!$I$2:$I$878,'Raw Data'!$A$2:$A$878,$A417,'Raw Data'!$B$2:$B$878,$B417,'Raw Data'!$D$2:$D$878,$D417)</f>
        <v>341</v>
      </c>
      <c r="F417" s="5">
        <f>IFERROR(3958.8*ACOS(MIN(1,MAX(-1,SIN(RADIANS('ZIP Coordinates'!$C$2))*SIN(RADIANS(INDEX('ZIP Coordinates'!$C:$C,MATCH($A417,'ZIP Coordinates'!$A:$A,0))))+COS(RADIANS('ZIP Coordinates'!$C$2))*COS(RADIANS(INDEX('ZIP Coordinates'!$C:$C,MATCH($A417,'ZIP Coordinates'!$A:$A,0))))*COS(RADIANS(INDEX('ZIP Coordinates'!$D:$D,MATCH($A417,'ZIP Coordinates'!$A:$A,0))-'ZIP Coordinates'!$D$2))))),"N/A")</f>
        <v>164.84247716245491</v>
      </c>
    </row>
    <row r="418" spans="1:6" x14ac:dyDescent="0.2">
      <c r="A418" s="3" t="s">
        <v>33</v>
      </c>
      <c r="B418" s="3" t="s">
        <v>255</v>
      </c>
      <c r="C418" s="3" t="s">
        <v>256</v>
      </c>
      <c r="D418" s="3" t="s">
        <v>91</v>
      </c>
      <c r="E418" s="28">
        <f>SUMIFS('Raw Data'!$I$2:$I$878,'Raw Data'!$A$2:$A$878,$A418,'Raw Data'!$B$2:$B$878,$B418,'Raw Data'!$D$2:$D$878,$D418)</f>
        <v>20</v>
      </c>
      <c r="F418" s="5">
        <f>IFERROR(3958.8*ACOS(MIN(1,MAX(-1,SIN(RADIANS('ZIP Coordinates'!$C$2))*SIN(RADIANS(INDEX('ZIP Coordinates'!$C:$C,MATCH($A418,'ZIP Coordinates'!$A:$A,0))))+COS(RADIANS('ZIP Coordinates'!$C$2))*COS(RADIANS(INDEX('ZIP Coordinates'!$C:$C,MATCH($A418,'ZIP Coordinates'!$A:$A,0))))*COS(RADIANS(INDEX('ZIP Coordinates'!$D:$D,MATCH($A418,'ZIP Coordinates'!$A:$A,0))-'ZIP Coordinates'!$D$2))))),"N/A")</f>
        <v>164.84247716245491</v>
      </c>
    </row>
    <row r="419" spans="1:6" x14ac:dyDescent="0.2">
      <c r="A419" s="3" t="s">
        <v>33</v>
      </c>
      <c r="B419" s="3" t="s">
        <v>257</v>
      </c>
      <c r="C419" s="3" t="s">
        <v>256</v>
      </c>
      <c r="D419" s="3" t="s">
        <v>91</v>
      </c>
      <c r="E419" s="28">
        <f>SUMIFS('Raw Data'!$I$2:$I$878,'Raw Data'!$A$2:$A$878,$A419,'Raw Data'!$B$2:$B$878,$B419,'Raw Data'!$D$2:$D$878,$D419)</f>
        <v>605</v>
      </c>
      <c r="F419" s="5">
        <f>IFERROR(3958.8*ACOS(MIN(1,MAX(-1,SIN(RADIANS('ZIP Coordinates'!$C$2))*SIN(RADIANS(INDEX('ZIP Coordinates'!$C:$C,MATCH($A419,'ZIP Coordinates'!$A:$A,0))))+COS(RADIANS('ZIP Coordinates'!$C$2))*COS(RADIANS(INDEX('ZIP Coordinates'!$C:$C,MATCH($A419,'ZIP Coordinates'!$A:$A,0))))*COS(RADIANS(INDEX('ZIP Coordinates'!$D:$D,MATCH($A419,'ZIP Coordinates'!$A:$A,0))-'ZIP Coordinates'!$D$2))))),"N/A")</f>
        <v>164.84247716245491</v>
      </c>
    </row>
    <row r="420" spans="1:6" x14ac:dyDescent="0.2">
      <c r="A420" s="3" t="s">
        <v>34</v>
      </c>
      <c r="B420" s="3" t="s">
        <v>259</v>
      </c>
      <c r="C420" s="3" t="s">
        <v>260</v>
      </c>
      <c r="D420" s="3" t="s">
        <v>144</v>
      </c>
      <c r="E420" s="28">
        <f>SUMIFS('Raw Data'!$I$2:$I$878,'Raw Data'!$A$2:$A$878,$A420,'Raw Data'!$B$2:$B$878,$B420,'Raw Data'!$D$2:$D$878,$D420)</f>
        <v>240</v>
      </c>
      <c r="F420" s="5">
        <f>IFERROR(3958.8*ACOS(MIN(1,MAX(-1,SIN(RADIANS('ZIP Coordinates'!$C$2))*SIN(RADIANS(INDEX('ZIP Coordinates'!$C:$C,MATCH($A420,'ZIP Coordinates'!$A:$A,0))))+COS(RADIANS('ZIP Coordinates'!$C$2))*COS(RADIANS(INDEX('ZIP Coordinates'!$C:$C,MATCH($A420,'ZIP Coordinates'!$A:$A,0))))*COS(RADIANS(INDEX('ZIP Coordinates'!$D:$D,MATCH($A420,'ZIP Coordinates'!$A:$A,0))-'ZIP Coordinates'!$D$2))))),"N/A")</f>
        <v>168.97312266710628</v>
      </c>
    </row>
    <row r="421" spans="1:6" x14ac:dyDescent="0.2">
      <c r="A421" s="3" t="s">
        <v>34</v>
      </c>
      <c r="B421" s="3" t="s">
        <v>241</v>
      </c>
      <c r="C421" s="3" t="s">
        <v>242</v>
      </c>
      <c r="D421" s="3" t="s">
        <v>174</v>
      </c>
      <c r="E421" s="28">
        <f>SUMIFS('Raw Data'!$I$2:$I$878,'Raw Data'!$A$2:$A$878,$A421,'Raw Data'!$B$2:$B$878,$B421,'Raw Data'!$D$2:$D$878,$D421)</f>
        <v>35</v>
      </c>
      <c r="F421" s="5">
        <f>IFERROR(3958.8*ACOS(MIN(1,MAX(-1,SIN(RADIANS('ZIP Coordinates'!$C$2))*SIN(RADIANS(INDEX('ZIP Coordinates'!$C:$C,MATCH($A421,'ZIP Coordinates'!$A:$A,0))))+COS(RADIANS('ZIP Coordinates'!$C$2))*COS(RADIANS(INDEX('ZIP Coordinates'!$C:$C,MATCH($A421,'ZIP Coordinates'!$A:$A,0))))*COS(RADIANS(INDEX('ZIP Coordinates'!$D:$D,MATCH($A421,'ZIP Coordinates'!$A:$A,0))-'ZIP Coordinates'!$D$2))))),"N/A")</f>
        <v>168.97312266710628</v>
      </c>
    </row>
    <row r="422" spans="1:6" x14ac:dyDescent="0.2">
      <c r="A422" s="3" t="s">
        <v>34</v>
      </c>
      <c r="B422" s="3" t="s">
        <v>243</v>
      </c>
      <c r="C422" s="3" t="s">
        <v>244</v>
      </c>
      <c r="D422" s="3" t="s">
        <v>174</v>
      </c>
      <c r="E422" s="28">
        <f>SUMIFS('Raw Data'!$I$2:$I$878,'Raw Data'!$A$2:$A$878,$A422,'Raw Data'!$B$2:$B$878,$B422,'Raw Data'!$D$2:$D$878,$D422)</f>
        <v>6</v>
      </c>
      <c r="F422" s="5">
        <f>IFERROR(3958.8*ACOS(MIN(1,MAX(-1,SIN(RADIANS('ZIP Coordinates'!$C$2))*SIN(RADIANS(INDEX('ZIP Coordinates'!$C:$C,MATCH($A422,'ZIP Coordinates'!$A:$A,0))))+COS(RADIANS('ZIP Coordinates'!$C$2))*COS(RADIANS(INDEX('ZIP Coordinates'!$C:$C,MATCH($A422,'ZIP Coordinates'!$A:$A,0))))*COS(RADIANS(INDEX('ZIP Coordinates'!$D:$D,MATCH($A422,'ZIP Coordinates'!$A:$A,0))-'ZIP Coordinates'!$D$2))))),"N/A")</f>
        <v>168.97312266710628</v>
      </c>
    </row>
    <row r="423" spans="1:6" x14ac:dyDescent="0.2">
      <c r="A423" s="3" t="s">
        <v>34</v>
      </c>
      <c r="B423" s="3" t="s">
        <v>276</v>
      </c>
      <c r="C423" s="3" t="s">
        <v>275</v>
      </c>
      <c r="D423" s="3" t="s">
        <v>144</v>
      </c>
      <c r="E423" s="28">
        <f>SUMIFS('Raw Data'!$I$2:$I$878,'Raw Data'!$A$2:$A$878,$A423,'Raw Data'!$B$2:$B$878,$B423,'Raw Data'!$D$2:$D$878,$D423)</f>
        <v>64</v>
      </c>
      <c r="F423" s="5">
        <f>IFERROR(3958.8*ACOS(MIN(1,MAX(-1,SIN(RADIANS('ZIP Coordinates'!$C$2))*SIN(RADIANS(INDEX('ZIP Coordinates'!$C:$C,MATCH($A423,'ZIP Coordinates'!$A:$A,0))))+COS(RADIANS('ZIP Coordinates'!$C$2))*COS(RADIANS(INDEX('ZIP Coordinates'!$C:$C,MATCH($A423,'ZIP Coordinates'!$A:$A,0))))*COS(RADIANS(INDEX('ZIP Coordinates'!$D:$D,MATCH($A423,'ZIP Coordinates'!$A:$A,0))-'ZIP Coordinates'!$D$2))))),"N/A")</f>
        <v>168.97312266710628</v>
      </c>
    </row>
    <row r="424" spans="1:6" x14ac:dyDescent="0.2">
      <c r="A424" s="3" t="s">
        <v>35</v>
      </c>
      <c r="B424" s="3" t="s">
        <v>258</v>
      </c>
      <c r="C424" s="3" t="s">
        <v>240</v>
      </c>
      <c r="D424" s="3" t="s">
        <v>100</v>
      </c>
      <c r="E424" s="28">
        <f>SUMIFS('Raw Data'!$I$2:$I$878,'Raw Data'!$A$2:$A$878,$A424,'Raw Data'!$B$2:$B$878,$B424,'Raw Data'!$D$2:$D$878,$D424)</f>
        <v>48</v>
      </c>
      <c r="F424" s="5">
        <f>IFERROR(3958.8*ACOS(MIN(1,MAX(-1,SIN(RADIANS('ZIP Coordinates'!$C$2))*SIN(RADIANS(INDEX('ZIP Coordinates'!$C:$C,MATCH($A424,'ZIP Coordinates'!$A:$A,0))))+COS(RADIANS('ZIP Coordinates'!$C$2))*COS(RADIANS(INDEX('ZIP Coordinates'!$C:$C,MATCH($A424,'ZIP Coordinates'!$A:$A,0))))*COS(RADIANS(INDEX('ZIP Coordinates'!$D:$D,MATCH($A424,'ZIP Coordinates'!$A:$A,0))-'ZIP Coordinates'!$D$2))))),"N/A")</f>
        <v>144.62058702086327</v>
      </c>
    </row>
    <row r="425" spans="1:6" x14ac:dyDescent="0.2">
      <c r="A425" s="3" t="s">
        <v>35</v>
      </c>
      <c r="B425" s="3" t="s">
        <v>239</v>
      </c>
      <c r="C425" s="3" t="s">
        <v>240</v>
      </c>
      <c r="D425" s="3" t="s">
        <v>100</v>
      </c>
      <c r="E425" s="28">
        <f>SUMIFS('Raw Data'!$I$2:$I$878,'Raw Data'!$A$2:$A$878,$A425,'Raw Data'!$B$2:$B$878,$B425,'Raw Data'!$D$2:$D$878,$D425)</f>
        <v>4</v>
      </c>
      <c r="F425" s="5">
        <f>IFERROR(3958.8*ACOS(MIN(1,MAX(-1,SIN(RADIANS('ZIP Coordinates'!$C$2))*SIN(RADIANS(INDEX('ZIP Coordinates'!$C:$C,MATCH($A425,'ZIP Coordinates'!$A:$A,0))))+COS(RADIANS('ZIP Coordinates'!$C$2))*COS(RADIANS(INDEX('ZIP Coordinates'!$C:$C,MATCH($A425,'ZIP Coordinates'!$A:$A,0))))*COS(RADIANS(INDEX('ZIP Coordinates'!$D:$D,MATCH($A425,'ZIP Coordinates'!$A:$A,0))-'ZIP Coordinates'!$D$2))))),"N/A")</f>
        <v>144.62058702086327</v>
      </c>
    </row>
    <row r="426" spans="1:6" x14ac:dyDescent="0.2">
      <c r="A426" s="3" t="s">
        <v>35</v>
      </c>
      <c r="B426" s="3" t="s">
        <v>259</v>
      </c>
      <c r="C426" s="3" t="s">
        <v>260</v>
      </c>
      <c r="D426" s="3" t="s">
        <v>100</v>
      </c>
      <c r="E426" s="28">
        <f>SUMIFS('Raw Data'!$I$2:$I$878,'Raw Data'!$A$2:$A$878,$A426,'Raw Data'!$B$2:$B$878,$B426,'Raw Data'!$D$2:$D$878,$D426)</f>
        <v>48</v>
      </c>
      <c r="F426" s="5">
        <f>IFERROR(3958.8*ACOS(MIN(1,MAX(-1,SIN(RADIANS('ZIP Coordinates'!$C$2))*SIN(RADIANS(INDEX('ZIP Coordinates'!$C:$C,MATCH($A426,'ZIP Coordinates'!$A:$A,0))))+COS(RADIANS('ZIP Coordinates'!$C$2))*COS(RADIANS(INDEX('ZIP Coordinates'!$C:$C,MATCH($A426,'ZIP Coordinates'!$A:$A,0))))*COS(RADIANS(INDEX('ZIP Coordinates'!$D:$D,MATCH($A426,'ZIP Coordinates'!$A:$A,0))-'ZIP Coordinates'!$D$2))))),"N/A")</f>
        <v>144.62058702086327</v>
      </c>
    </row>
    <row r="427" spans="1:6" x14ac:dyDescent="0.2">
      <c r="A427" s="3" t="s">
        <v>35</v>
      </c>
      <c r="B427" s="3" t="s">
        <v>241</v>
      </c>
      <c r="C427" s="3" t="s">
        <v>242</v>
      </c>
      <c r="D427" s="3" t="s">
        <v>100</v>
      </c>
      <c r="E427" s="28">
        <f>SUMIFS('Raw Data'!$I$2:$I$878,'Raw Data'!$A$2:$A$878,$A427,'Raw Data'!$B$2:$B$878,$B427,'Raw Data'!$D$2:$D$878,$D427)</f>
        <v>70</v>
      </c>
      <c r="F427" s="5">
        <f>IFERROR(3958.8*ACOS(MIN(1,MAX(-1,SIN(RADIANS('ZIP Coordinates'!$C$2))*SIN(RADIANS(INDEX('ZIP Coordinates'!$C:$C,MATCH($A427,'ZIP Coordinates'!$A:$A,0))))+COS(RADIANS('ZIP Coordinates'!$C$2))*COS(RADIANS(INDEX('ZIP Coordinates'!$C:$C,MATCH($A427,'ZIP Coordinates'!$A:$A,0))))*COS(RADIANS(INDEX('ZIP Coordinates'!$D:$D,MATCH($A427,'ZIP Coordinates'!$A:$A,0))-'ZIP Coordinates'!$D$2))))),"N/A")</f>
        <v>144.62058702086327</v>
      </c>
    </row>
    <row r="428" spans="1:6" x14ac:dyDescent="0.2">
      <c r="A428" s="3" t="s">
        <v>35</v>
      </c>
      <c r="B428" s="3" t="s">
        <v>243</v>
      </c>
      <c r="C428" s="3" t="s">
        <v>244</v>
      </c>
      <c r="D428" s="3" t="s">
        <v>100</v>
      </c>
      <c r="E428" s="28">
        <f>SUMIFS('Raw Data'!$I$2:$I$878,'Raw Data'!$A$2:$A$878,$A428,'Raw Data'!$B$2:$B$878,$B428,'Raw Data'!$D$2:$D$878,$D428)</f>
        <v>79</v>
      </c>
      <c r="F428" s="5">
        <f>IFERROR(3958.8*ACOS(MIN(1,MAX(-1,SIN(RADIANS('ZIP Coordinates'!$C$2))*SIN(RADIANS(INDEX('ZIP Coordinates'!$C:$C,MATCH($A428,'ZIP Coordinates'!$A:$A,0))))+COS(RADIANS('ZIP Coordinates'!$C$2))*COS(RADIANS(INDEX('ZIP Coordinates'!$C:$C,MATCH($A428,'ZIP Coordinates'!$A:$A,0))))*COS(RADIANS(INDEX('ZIP Coordinates'!$D:$D,MATCH($A428,'ZIP Coordinates'!$A:$A,0))-'ZIP Coordinates'!$D$2))))),"N/A")</f>
        <v>144.62058702086327</v>
      </c>
    </row>
    <row r="429" spans="1:6" x14ac:dyDescent="0.2">
      <c r="A429" s="3" t="s">
        <v>35</v>
      </c>
      <c r="B429" s="3" t="s">
        <v>274</v>
      </c>
      <c r="C429" s="3" t="s">
        <v>275</v>
      </c>
      <c r="D429" s="3" t="s">
        <v>100</v>
      </c>
      <c r="E429" s="28">
        <f>SUMIFS('Raw Data'!$I$2:$I$878,'Raw Data'!$A$2:$A$878,$A429,'Raw Data'!$B$2:$B$878,$B429,'Raw Data'!$D$2:$D$878,$D429)</f>
        <v>27</v>
      </c>
      <c r="F429" s="5">
        <f>IFERROR(3958.8*ACOS(MIN(1,MAX(-1,SIN(RADIANS('ZIP Coordinates'!$C$2))*SIN(RADIANS(INDEX('ZIP Coordinates'!$C:$C,MATCH($A429,'ZIP Coordinates'!$A:$A,0))))+COS(RADIANS('ZIP Coordinates'!$C$2))*COS(RADIANS(INDEX('ZIP Coordinates'!$C:$C,MATCH($A429,'ZIP Coordinates'!$A:$A,0))))*COS(RADIANS(INDEX('ZIP Coordinates'!$D:$D,MATCH($A429,'ZIP Coordinates'!$A:$A,0))-'ZIP Coordinates'!$D$2))))),"N/A")</f>
        <v>144.62058702086327</v>
      </c>
    </row>
    <row r="430" spans="1:6" x14ac:dyDescent="0.2">
      <c r="A430" s="3" t="s">
        <v>35</v>
      </c>
      <c r="B430" s="3" t="s">
        <v>276</v>
      </c>
      <c r="C430" s="3" t="s">
        <v>275</v>
      </c>
      <c r="D430" s="3" t="s">
        <v>100</v>
      </c>
      <c r="E430" s="28">
        <f>SUMIFS('Raw Data'!$I$2:$I$878,'Raw Data'!$A$2:$A$878,$A430,'Raw Data'!$B$2:$B$878,$B430,'Raw Data'!$D$2:$D$878,$D430)</f>
        <v>65</v>
      </c>
      <c r="F430" s="5">
        <f>IFERROR(3958.8*ACOS(MIN(1,MAX(-1,SIN(RADIANS('ZIP Coordinates'!$C$2))*SIN(RADIANS(INDEX('ZIP Coordinates'!$C:$C,MATCH($A430,'ZIP Coordinates'!$A:$A,0))))+COS(RADIANS('ZIP Coordinates'!$C$2))*COS(RADIANS(INDEX('ZIP Coordinates'!$C:$C,MATCH($A430,'ZIP Coordinates'!$A:$A,0))))*COS(RADIANS(INDEX('ZIP Coordinates'!$D:$D,MATCH($A430,'ZIP Coordinates'!$A:$A,0))-'ZIP Coordinates'!$D$2))))),"N/A")</f>
        <v>144.62058702086327</v>
      </c>
    </row>
    <row r="431" spans="1:6" x14ac:dyDescent="0.2">
      <c r="A431" s="3" t="s">
        <v>35</v>
      </c>
      <c r="B431" s="3" t="s">
        <v>247</v>
      </c>
      <c r="C431" s="3" t="s">
        <v>246</v>
      </c>
      <c r="D431" s="3" t="s">
        <v>100</v>
      </c>
      <c r="E431" s="28">
        <f>SUMIFS('Raw Data'!$I$2:$I$878,'Raw Data'!$A$2:$A$878,$A431,'Raw Data'!$B$2:$B$878,$B431,'Raw Data'!$D$2:$D$878,$D431)</f>
        <v>130</v>
      </c>
      <c r="F431" s="5">
        <f>IFERROR(3958.8*ACOS(MIN(1,MAX(-1,SIN(RADIANS('ZIP Coordinates'!$C$2))*SIN(RADIANS(INDEX('ZIP Coordinates'!$C:$C,MATCH($A431,'ZIP Coordinates'!$A:$A,0))))+COS(RADIANS('ZIP Coordinates'!$C$2))*COS(RADIANS(INDEX('ZIP Coordinates'!$C:$C,MATCH($A431,'ZIP Coordinates'!$A:$A,0))))*COS(RADIANS(INDEX('ZIP Coordinates'!$D:$D,MATCH($A431,'ZIP Coordinates'!$A:$A,0))-'ZIP Coordinates'!$D$2))))),"N/A")</f>
        <v>144.62058702086327</v>
      </c>
    </row>
    <row r="432" spans="1:6" x14ac:dyDescent="0.2">
      <c r="A432" s="3" t="s">
        <v>35</v>
      </c>
      <c r="B432" s="3" t="s">
        <v>250</v>
      </c>
      <c r="C432" s="3" t="s">
        <v>249</v>
      </c>
      <c r="D432" s="3" t="s">
        <v>100</v>
      </c>
      <c r="E432" s="28">
        <f>SUMIFS('Raw Data'!$I$2:$I$878,'Raw Data'!$A$2:$A$878,$A432,'Raw Data'!$B$2:$B$878,$B432,'Raw Data'!$D$2:$D$878,$D432)</f>
        <v>127</v>
      </c>
      <c r="F432" s="5">
        <f>IFERROR(3958.8*ACOS(MIN(1,MAX(-1,SIN(RADIANS('ZIP Coordinates'!$C$2))*SIN(RADIANS(INDEX('ZIP Coordinates'!$C:$C,MATCH($A432,'ZIP Coordinates'!$A:$A,0))))+COS(RADIANS('ZIP Coordinates'!$C$2))*COS(RADIANS(INDEX('ZIP Coordinates'!$C:$C,MATCH($A432,'ZIP Coordinates'!$A:$A,0))))*COS(RADIANS(INDEX('ZIP Coordinates'!$D:$D,MATCH($A432,'ZIP Coordinates'!$A:$A,0))-'ZIP Coordinates'!$D$2))))),"N/A")</f>
        <v>144.62058702086327</v>
      </c>
    </row>
    <row r="433" spans="1:6" x14ac:dyDescent="0.2">
      <c r="A433" s="3" t="s">
        <v>35</v>
      </c>
      <c r="B433" s="3" t="s">
        <v>251</v>
      </c>
      <c r="C433" s="3" t="s">
        <v>252</v>
      </c>
      <c r="D433" s="3" t="s">
        <v>100</v>
      </c>
      <c r="E433" s="28">
        <f>SUMIFS('Raw Data'!$I$2:$I$878,'Raw Data'!$A$2:$A$878,$A433,'Raw Data'!$B$2:$B$878,$B433,'Raw Data'!$D$2:$D$878,$D433)</f>
        <v>133</v>
      </c>
      <c r="F433" s="5">
        <f>IFERROR(3958.8*ACOS(MIN(1,MAX(-1,SIN(RADIANS('ZIP Coordinates'!$C$2))*SIN(RADIANS(INDEX('ZIP Coordinates'!$C:$C,MATCH($A433,'ZIP Coordinates'!$A:$A,0))))+COS(RADIANS('ZIP Coordinates'!$C$2))*COS(RADIANS(INDEX('ZIP Coordinates'!$C:$C,MATCH($A433,'ZIP Coordinates'!$A:$A,0))))*COS(RADIANS(INDEX('ZIP Coordinates'!$D:$D,MATCH($A433,'ZIP Coordinates'!$A:$A,0))-'ZIP Coordinates'!$D$2))))),"N/A")</f>
        <v>144.62058702086327</v>
      </c>
    </row>
    <row r="434" spans="1:6" x14ac:dyDescent="0.2">
      <c r="A434" s="3" t="s">
        <v>35</v>
      </c>
      <c r="B434" s="3" t="s">
        <v>286</v>
      </c>
      <c r="C434" s="3" t="s">
        <v>287</v>
      </c>
      <c r="D434" s="3" t="s">
        <v>100</v>
      </c>
      <c r="E434" s="28">
        <f>SUMIFS('Raw Data'!$I$2:$I$878,'Raw Data'!$A$2:$A$878,$A434,'Raw Data'!$B$2:$B$878,$B434,'Raw Data'!$D$2:$D$878,$D434)</f>
        <v>900</v>
      </c>
      <c r="F434" s="5">
        <f>IFERROR(3958.8*ACOS(MIN(1,MAX(-1,SIN(RADIANS('ZIP Coordinates'!$C$2))*SIN(RADIANS(INDEX('ZIP Coordinates'!$C:$C,MATCH($A434,'ZIP Coordinates'!$A:$A,0))))+COS(RADIANS('ZIP Coordinates'!$C$2))*COS(RADIANS(INDEX('ZIP Coordinates'!$C:$C,MATCH($A434,'ZIP Coordinates'!$A:$A,0))))*COS(RADIANS(INDEX('ZIP Coordinates'!$D:$D,MATCH($A434,'ZIP Coordinates'!$A:$A,0))-'ZIP Coordinates'!$D$2))))),"N/A")</f>
        <v>144.62058702086327</v>
      </c>
    </row>
    <row r="435" spans="1:6" x14ac:dyDescent="0.2">
      <c r="A435" s="3" t="s">
        <v>35</v>
      </c>
      <c r="B435" s="3" t="s">
        <v>255</v>
      </c>
      <c r="C435" s="3" t="s">
        <v>256</v>
      </c>
      <c r="D435" s="3" t="s">
        <v>100</v>
      </c>
      <c r="E435" s="28">
        <f>SUMIFS('Raw Data'!$I$2:$I$878,'Raw Data'!$A$2:$A$878,$A435,'Raw Data'!$B$2:$B$878,$B435,'Raw Data'!$D$2:$D$878,$D435)</f>
        <v>1260</v>
      </c>
      <c r="F435" s="5">
        <f>IFERROR(3958.8*ACOS(MIN(1,MAX(-1,SIN(RADIANS('ZIP Coordinates'!$C$2))*SIN(RADIANS(INDEX('ZIP Coordinates'!$C:$C,MATCH($A435,'ZIP Coordinates'!$A:$A,0))))+COS(RADIANS('ZIP Coordinates'!$C$2))*COS(RADIANS(INDEX('ZIP Coordinates'!$C:$C,MATCH($A435,'ZIP Coordinates'!$A:$A,0))))*COS(RADIANS(INDEX('ZIP Coordinates'!$D:$D,MATCH($A435,'ZIP Coordinates'!$A:$A,0))-'ZIP Coordinates'!$D$2))))),"N/A")</f>
        <v>144.62058702086327</v>
      </c>
    </row>
    <row r="436" spans="1:6" x14ac:dyDescent="0.2">
      <c r="A436" s="3" t="s">
        <v>36</v>
      </c>
      <c r="B436" s="3" t="s">
        <v>258</v>
      </c>
      <c r="C436" s="3" t="s">
        <v>240</v>
      </c>
      <c r="D436" s="3" t="s">
        <v>217</v>
      </c>
      <c r="E436" s="28">
        <f>SUMIFS('Raw Data'!$I$2:$I$878,'Raw Data'!$A$2:$A$878,$A436,'Raw Data'!$B$2:$B$878,$B436,'Raw Data'!$D$2:$D$878,$D436)</f>
        <v>8</v>
      </c>
      <c r="F436" s="5">
        <f>IFERROR(3958.8*ACOS(MIN(1,MAX(-1,SIN(RADIANS('ZIP Coordinates'!$C$2))*SIN(RADIANS(INDEX('ZIP Coordinates'!$C:$C,MATCH($A436,'ZIP Coordinates'!$A:$A,0))))+COS(RADIANS('ZIP Coordinates'!$C$2))*COS(RADIANS(INDEX('ZIP Coordinates'!$C:$C,MATCH($A436,'ZIP Coordinates'!$A:$A,0))))*COS(RADIANS(INDEX('ZIP Coordinates'!$D:$D,MATCH($A436,'ZIP Coordinates'!$A:$A,0))-'ZIP Coordinates'!$D$2))))),"N/A")</f>
        <v>177.14727978591571</v>
      </c>
    </row>
    <row r="437" spans="1:6" x14ac:dyDescent="0.2">
      <c r="A437" s="3" t="s">
        <v>37</v>
      </c>
      <c r="B437" s="3" t="s">
        <v>247</v>
      </c>
      <c r="C437" s="3" t="s">
        <v>246</v>
      </c>
      <c r="D437" s="3" t="s">
        <v>122</v>
      </c>
      <c r="E437" s="28">
        <f>SUMIFS('Raw Data'!$I$2:$I$878,'Raw Data'!$A$2:$A$878,$A437,'Raw Data'!$B$2:$B$878,$B437,'Raw Data'!$D$2:$D$878,$D437)</f>
        <v>108</v>
      </c>
      <c r="F437" s="5">
        <f>IFERROR(3958.8*ACOS(MIN(1,MAX(-1,SIN(RADIANS('ZIP Coordinates'!$C$2))*SIN(RADIANS(INDEX('ZIP Coordinates'!$C:$C,MATCH($A437,'ZIP Coordinates'!$A:$A,0))))+COS(RADIANS('ZIP Coordinates'!$C$2))*COS(RADIANS(INDEX('ZIP Coordinates'!$C:$C,MATCH($A437,'ZIP Coordinates'!$A:$A,0))))*COS(RADIANS(INDEX('ZIP Coordinates'!$D:$D,MATCH($A437,'ZIP Coordinates'!$A:$A,0))-'ZIP Coordinates'!$D$2))))),"N/A")</f>
        <v>178.20658975537148</v>
      </c>
    </row>
    <row r="438" spans="1:6" x14ac:dyDescent="0.2">
      <c r="A438" s="3" t="s">
        <v>37</v>
      </c>
      <c r="B438" s="3" t="s">
        <v>250</v>
      </c>
      <c r="C438" s="3" t="s">
        <v>249</v>
      </c>
      <c r="D438" s="3" t="s">
        <v>122</v>
      </c>
      <c r="E438" s="28">
        <f>SUMIFS('Raw Data'!$I$2:$I$878,'Raw Data'!$A$2:$A$878,$A438,'Raw Data'!$B$2:$B$878,$B438,'Raw Data'!$D$2:$D$878,$D438)</f>
        <v>112</v>
      </c>
      <c r="F438" s="5">
        <f>IFERROR(3958.8*ACOS(MIN(1,MAX(-1,SIN(RADIANS('ZIP Coordinates'!$C$2))*SIN(RADIANS(INDEX('ZIP Coordinates'!$C:$C,MATCH($A438,'ZIP Coordinates'!$A:$A,0))))+COS(RADIANS('ZIP Coordinates'!$C$2))*COS(RADIANS(INDEX('ZIP Coordinates'!$C:$C,MATCH($A438,'ZIP Coordinates'!$A:$A,0))))*COS(RADIANS(INDEX('ZIP Coordinates'!$D:$D,MATCH($A438,'ZIP Coordinates'!$A:$A,0))-'ZIP Coordinates'!$D$2))))),"N/A")</f>
        <v>178.20658975537148</v>
      </c>
    </row>
    <row r="439" spans="1:6" x14ac:dyDescent="0.2">
      <c r="A439" s="3" t="s">
        <v>37</v>
      </c>
      <c r="B439" s="3" t="s">
        <v>251</v>
      </c>
      <c r="C439" s="3" t="s">
        <v>252</v>
      </c>
      <c r="D439" s="3" t="s">
        <v>122</v>
      </c>
      <c r="E439" s="28">
        <f>SUMIFS('Raw Data'!$I$2:$I$878,'Raw Data'!$A$2:$A$878,$A439,'Raw Data'!$B$2:$B$878,$B439,'Raw Data'!$D$2:$D$878,$D439)</f>
        <v>106</v>
      </c>
      <c r="F439" s="5">
        <f>IFERROR(3958.8*ACOS(MIN(1,MAX(-1,SIN(RADIANS('ZIP Coordinates'!$C$2))*SIN(RADIANS(INDEX('ZIP Coordinates'!$C:$C,MATCH($A439,'ZIP Coordinates'!$A:$A,0))))+COS(RADIANS('ZIP Coordinates'!$C$2))*COS(RADIANS(INDEX('ZIP Coordinates'!$C:$C,MATCH($A439,'ZIP Coordinates'!$A:$A,0))))*COS(RADIANS(INDEX('ZIP Coordinates'!$D:$D,MATCH($A439,'ZIP Coordinates'!$A:$A,0))-'ZIP Coordinates'!$D$2))))),"N/A")</f>
        <v>178.20658975537148</v>
      </c>
    </row>
    <row r="440" spans="1:6" x14ac:dyDescent="0.2">
      <c r="A440" s="3" t="s">
        <v>37</v>
      </c>
      <c r="B440" s="3" t="s">
        <v>255</v>
      </c>
      <c r="C440" s="3" t="s">
        <v>256</v>
      </c>
      <c r="D440" s="3" t="s">
        <v>122</v>
      </c>
      <c r="E440" s="28">
        <f>SUMIFS('Raw Data'!$I$2:$I$878,'Raw Data'!$A$2:$A$878,$A440,'Raw Data'!$B$2:$B$878,$B440,'Raw Data'!$D$2:$D$878,$D440)</f>
        <v>560</v>
      </c>
      <c r="F440" s="5">
        <f>IFERROR(3958.8*ACOS(MIN(1,MAX(-1,SIN(RADIANS('ZIP Coordinates'!$C$2))*SIN(RADIANS(INDEX('ZIP Coordinates'!$C:$C,MATCH($A440,'ZIP Coordinates'!$A:$A,0))))+COS(RADIANS('ZIP Coordinates'!$C$2))*COS(RADIANS(INDEX('ZIP Coordinates'!$C:$C,MATCH($A440,'ZIP Coordinates'!$A:$A,0))))*COS(RADIANS(INDEX('ZIP Coordinates'!$D:$D,MATCH($A440,'ZIP Coordinates'!$A:$A,0))-'ZIP Coordinates'!$D$2))))),"N/A")</f>
        <v>178.20658975537148</v>
      </c>
    </row>
    <row r="441" spans="1:6" x14ac:dyDescent="0.2">
      <c r="A441" s="3" t="s">
        <v>38</v>
      </c>
      <c r="B441" s="3" t="s">
        <v>239</v>
      </c>
      <c r="C441" s="3" t="s">
        <v>240</v>
      </c>
      <c r="D441" s="3" t="s">
        <v>114</v>
      </c>
      <c r="E441" s="28">
        <f>SUMIFS('Raw Data'!$I$2:$I$878,'Raw Data'!$A$2:$A$878,$A441,'Raw Data'!$B$2:$B$878,$B441,'Raw Data'!$D$2:$D$878,$D441)</f>
        <v>10</v>
      </c>
      <c r="F441" s="5">
        <f>IFERROR(3958.8*ACOS(MIN(1,MAX(-1,SIN(RADIANS('ZIP Coordinates'!$C$2))*SIN(RADIANS(INDEX('ZIP Coordinates'!$C:$C,MATCH($A441,'ZIP Coordinates'!$A:$A,0))))+COS(RADIANS('ZIP Coordinates'!$C$2))*COS(RADIANS(INDEX('ZIP Coordinates'!$C:$C,MATCH($A441,'ZIP Coordinates'!$A:$A,0))))*COS(RADIANS(INDEX('ZIP Coordinates'!$D:$D,MATCH($A441,'ZIP Coordinates'!$A:$A,0))-'ZIP Coordinates'!$D$2))))),"N/A")</f>
        <v>133.78845252056198</v>
      </c>
    </row>
    <row r="442" spans="1:6" x14ac:dyDescent="0.2">
      <c r="A442" s="3" t="s">
        <v>38</v>
      </c>
      <c r="B442" s="3" t="s">
        <v>261</v>
      </c>
      <c r="C442" s="3" t="s">
        <v>260</v>
      </c>
      <c r="D442" s="3" t="s">
        <v>114</v>
      </c>
      <c r="E442" s="28">
        <f>SUMIFS('Raw Data'!$I$2:$I$878,'Raw Data'!$A$2:$A$878,$A442,'Raw Data'!$B$2:$B$878,$B442,'Raw Data'!$D$2:$D$878,$D442)</f>
        <v>10</v>
      </c>
      <c r="F442" s="5">
        <f>IFERROR(3958.8*ACOS(MIN(1,MAX(-1,SIN(RADIANS('ZIP Coordinates'!$C$2))*SIN(RADIANS(INDEX('ZIP Coordinates'!$C:$C,MATCH($A442,'ZIP Coordinates'!$A:$A,0))))+COS(RADIANS('ZIP Coordinates'!$C$2))*COS(RADIANS(INDEX('ZIP Coordinates'!$C:$C,MATCH($A442,'ZIP Coordinates'!$A:$A,0))))*COS(RADIANS(INDEX('ZIP Coordinates'!$D:$D,MATCH($A442,'ZIP Coordinates'!$A:$A,0))-'ZIP Coordinates'!$D$2))))),"N/A")</f>
        <v>133.78845252056198</v>
      </c>
    </row>
    <row r="443" spans="1:6" x14ac:dyDescent="0.2">
      <c r="A443" s="3" t="s">
        <v>38</v>
      </c>
      <c r="B443" s="3" t="s">
        <v>241</v>
      </c>
      <c r="C443" s="3" t="s">
        <v>242</v>
      </c>
      <c r="D443" s="3" t="s">
        <v>114</v>
      </c>
      <c r="E443" s="28">
        <f>SUMIFS('Raw Data'!$I$2:$I$878,'Raw Data'!$A$2:$A$878,$A443,'Raw Data'!$B$2:$B$878,$B443,'Raw Data'!$D$2:$D$878,$D443)</f>
        <v>29</v>
      </c>
      <c r="F443" s="5">
        <f>IFERROR(3958.8*ACOS(MIN(1,MAX(-1,SIN(RADIANS('ZIP Coordinates'!$C$2))*SIN(RADIANS(INDEX('ZIP Coordinates'!$C:$C,MATCH($A443,'ZIP Coordinates'!$A:$A,0))))+COS(RADIANS('ZIP Coordinates'!$C$2))*COS(RADIANS(INDEX('ZIP Coordinates'!$C:$C,MATCH($A443,'ZIP Coordinates'!$A:$A,0))))*COS(RADIANS(INDEX('ZIP Coordinates'!$D:$D,MATCH($A443,'ZIP Coordinates'!$A:$A,0))-'ZIP Coordinates'!$D$2))))),"N/A")</f>
        <v>133.78845252056198</v>
      </c>
    </row>
    <row r="444" spans="1:6" x14ac:dyDescent="0.2">
      <c r="A444" s="3" t="s">
        <v>38</v>
      </c>
      <c r="B444" s="3" t="s">
        <v>243</v>
      </c>
      <c r="C444" s="3" t="s">
        <v>244</v>
      </c>
      <c r="D444" s="3" t="s">
        <v>114</v>
      </c>
      <c r="E444" s="28">
        <f>SUMIFS('Raw Data'!$I$2:$I$878,'Raw Data'!$A$2:$A$878,$A444,'Raw Data'!$B$2:$B$878,$B444,'Raw Data'!$D$2:$D$878,$D444)</f>
        <v>29</v>
      </c>
      <c r="F444" s="5">
        <f>IFERROR(3958.8*ACOS(MIN(1,MAX(-1,SIN(RADIANS('ZIP Coordinates'!$C$2))*SIN(RADIANS(INDEX('ZIP Coordinates'!$C:$C,MATCH($A444,'ZIP Coordinates'!$A:$A,0))))+COS(RADIANS('ZIP Coordinates'!$C$2))*COS(RADIANS(INDEX('ZIP Coordinates'!$C:$C,MATCH($A444,'ZIP Coordinates'!$A:$A,0))))*COS(RADIANS(INDEX('ZIP Coordinates'!$D:$D,MATCH($A444,'ZIP Coordinates'!$A:$A,0))-'ZIP Coordinates'!$D$2))))),"N/A")</f>
        <v>133.78845252056198</v>
      </c>
    </row>
    <row r="445" spans="1:6" x14ac:dyDescent="0.2">
      <c r="A445" s="3" t="s">
        <v>38</v>
      </c>
      <c r="B445" s="3" t="s">
        <v>276</v>
      </c>
      <c r="C445" s="3" t="s">
        <v>275</v>
      </c>
      <c r="D445" s="3" t="s">
        <v>114</v>
      </c>
      <c r="E445" s="28">
        <f>SUMIFS('Raw Data'!$I$2:$I$878,'Raw Data'!$A$2:$A$878,$A445,'Raw Data'!$B$2:$B$878,$B445,'Raw Data'!$D$2:$D$878,$D445)</f>
        <v>25</v>
      </c>
      <c r="F445" s="5">
        <f>IFERROR(3958.8*ACOS(MIN(1,MAX(-1,SIN(RADIANS('ZIP Coordinates'!$C$2))*SIN(RADIANS(INDEX('ZIP Coordinates'!$C:$C,MATCH($A445,'ZIP Coordinates'!$A:$A,0))))+COS(RADIANS('ZIP Coordinates'!$C$2))*COS(RADIANS(INDEX('ZIP Coordinates'!$C:$C,MATCH($A445,'ZIP Coordinates'!$A:$A,0))))*COS(RADIANS(INDEX('ZIP Coordinates'!$D:$D,MATCH($A445,'ZIP Coordinates'!$A:$A,0))-'ZIP Coordinates'!$D$2))))),"N/A")</f>
        <v>133.78845252056198</v>
      </c>
    </row>
    <row r="446" spans="1:6" x14ac:dyDescent="0.2">
      <c r="A446" s="3" t="s">
        <v>38</v>
      </c>
      <c r="B446" s="3" t="s">
        <v>247</v>
      </c>
      <c r="C446" s="3" t="s">
        <v>246</v>
      </c>
      <c r="D446" s="3" t="s">
        <v>114</v>
      </c>
      <c r="E446" s="28">
        <f>SUMIFS('Raw Data'!$I$2:$I$878,'Raw Data'!$A$2:$A$878,$A446,'Raw Data'!$B$2:$B$878,$B446,'Raw Data'!$D$2:$D$878,$D446)</f>
        <v>20</v>
      </c>
      <c r="F446" s="5">
        <f>IFERROR(3958.8*ACOS(MIN(1,MAX(-1,SIN(RADIANS('ZIP Coordinates'!$C$2))*SIN(RADIANS(INDEX('ZIP Coordinates'!$C:$C,MATCH($A446,'ZIP Coordinates'!$A:$A,0))))+COS(RADIANS('ZIP Coordinates'!$C$2))*COS(RADIANS(INDEX('ZIP Coordinates'!$C:$C,MATCH($A446,'ZIP Coordinates'!$A:$A,0))))*COS(RADIANS(INDEX('ZIP Coordinates'!$D:$D,MATCH($A446,'ZIP Coordinates'!$A:$A,0))-'ZIP Coordinates'!$D$2))))),"N/A")</f>
        <v>133.78845252056198</v>
      </c>
    </row>
    <row r="447" spans="1:6" x14ac:dyDescent="0.2">
      <c r="A447" s="3" t="s">
        <v>38</v>
      </c>
      <c r="B447" s="3" t="s">
        <v>251</v>
      </c>
      <c r="C447" s="3" t="s">
        <v>252</v>
      </c>
      <c r="D447" s="3" t="s">
        <v>114</v>
      </c>
      <c r="E447" s="28">
        <f>SUMIFS('Raw Data'!$I$2:$I$878,'Raw Data'!$A$2:$A$878,$A447,'Raw Data'!$B$2:$B$878,$B447,'Raw Data'!$D$2:$D$878,$D447)</f>
        <v>20</v>
      </c>
      <c r="F447" s="5">
        <f>IFERROR(3958.8*ACOS(MIN(1,MAX(-1,SIN(RADIANS('ZIP Coordinates'!$C$2))*SIN(RADIANS(INDEX('ZIP Coordinates'!$C:$C,MATCH($A447,'ZIP Coordinates'!$A:$A,0))))+COS(RADIANS('ZIP Coordinates'!$C$2))*COS(RADIANS(INDEX('ZIP Coordinates'!$C:$C,MATCH($A447,'ZIP Coordinates'!$A:$A,0))))*COS(RADIANS(INDEX('ZIP Coordinates'!$D:$D,MATCH($A447,'ZIP Coordinates'!$A:$A,0))-'ZIP Coordinates'!$D$2))))),"N/A")</f>
        <v>133.78845252056198</v>
      </c>
    </row>
    <row r="448" spans="1:6" x14ac:dyDescent="0.2">
      <c r="A448" s="3" t="s">
        <v>38</v>
      </c>
      <c r="B448" s="3" t="s">
        <v>282</v>
      </c>
      <c r="C448" s="3" t="s">
        <v>283</v>
      </c>
      <c r="D448" s="3" t="s">
        <v>114</v>
      </c>
      <c r="E448" s="28">
        <f>SUMIFS('Raw Data'!$I$2:$I$878,'Raw Data'!$A$2:$A$878,$A448,'Raw Data'!$B$2:$B$878,$B448,'Raw Data'!$D$2:$D$878,$D448)</f>
        <v>8</v>
      </c>
      <c r="F448" s="5">
        <f>IFERROR(3958.8*ACOS(MIN(1,MAX(-1,SIN(RADIANS('ZIP Coordinates'!$C$2))*SIN(RADIANS(INDEX('ZIP Coordinates'!$C:$C,MATCH($A448,'ZIP Coordinates'!$A:$A,0))))+COS(RADIANS('ZIP Coordinates'!$C$2))*COS(RADIANS(INDEX('ZIP Coordinates'!$C:$C,MATCH($A448,'ZIP Coordinates'!$A:$A,0))))*COS(RADIANS(INDEX('ZIP Coordinates'!$D:$D,MATCH($A448,'ZIP Coordinates'!$A:$A,0))-'ZIP Coordinates'!$D$2))))),"N/A")</f>
        <v>133.78845252056198</v>
      </c>
    </row>
    <row r="449" spans="1:6" x14ac:dyDescent="0.2">
      <c r="A449" s="3" t="s">
        <v>38</v>
      </c>
      <c r="B449" s="3" t="s">
        <v>284</v>
      </c>
      <c r="C449" s="3" t="s">
        <v>285</v>
      </c>
      <c r="D449" s="3" t="s">
        <v>114</v>
      </c>
      <c r="E449" s="28">
        <f>SUMIFS('Raw Data'!$I$2:$I$878,'Raw Data'!$A$2:$A$878,$A449,'Raw Data'!$B$2:$B$878,$B449,'Raw Data'!$D$2:$D$878,$D449)</f>
        <v>7</v>
      </c>
      <c r="F449" s="5">
        <f>IFERROR(3958.8*ACOS(MIN(1,MAX(-1,SIN(RADIANS('ZIP Coordinates'!$C$2))*SIN(RADIANS(INDEX('ZIP Coordinates'!$C:$C,MATCH($A449,'ZIP Coordinates'!$A:$A,0))))+COS(RADIANS('ZIP Coordinates'!$C$2))*COS(RADIANS(INDEX('ZIP Coordinates'!$C:$C,MATCH($A449,'ZIP Coordinates'!$A:$A,0))))*COS(RADIANS(INDEX('ZIP Coordinates'!$D:$D,MATCH($A449,'ZIP Coordinates'!$A:$A,0))-'ZIP Coordinates'!$D$2))))),"N/A")</f>
        <v>133.78845252056198</v>
      </c>
    </row>
    <row r="450" spans="1:6" x14ac:dyDescent="0.2">
      <c r="A450" s="3" t="s">
        <v>38</v>
      </c>
      <c r="B450" s="3" t="s">
        <v>257</v>
      </c>
      <c r="C450" s="3" t="s">
        <v>256</v>
      </c>
      <c r="D450" s="3" t="s">
        <v>114</v>
      </c>
      <c r="E450" s="28">
        <f>SUMIFS('Raw Data'!$I$2:$I$878,'Raw Data'!$A$2:$A$878,$A450,'Raw Data'!$B$2:$B$878,$B450,'Raw Data'!$D$2:$D$878,$D450)</f>
        <v>290</v>
      </c>
      <c r="F450" s="5">
        <f>IFERROR(3958.8*ACOS(MIN(1,MAX(-1,SIN(RADIANS('ZIP Coordinates'!$C$2))*SIN(RADIANS(INDEX('ZIP Coordinates'!$C:$C,MATCH($A450,'ZIP Coordinates'!$A:$A,0))))+COS(RADIANS('ZIP Coordinates'!$C$2))*COS(RADIANS(INDEX('ZIP Coordinates'!$C:$C,MATCH($A450,'ZIP Coordinates'!$A:$A,0))))*COS(RADIANS(INDEX('ZIP Coordinates'!$D:$D,MATCH($A450,'ZIP Coordinates'!$A:$A,0))-'ZIP Coordinates'!$D$2))))),"N/A")</f>
        <v>133.78845252056198</v>
      </c>
    </row>
    <row r="451" spans="1:6" x14ac:dyDescent="0.2">
      <c r="A451" s="3" t="s">
        <v>39</v>
      </c>
      <c r="B451" s="3" t="s">
        <v>270</v>
      </c>
      <c r="C451" s="3" t="s">
        <v>242</v>
      </c>
      <c r="D451" s="3" t="s">
        <v>202</v>
      </c>
      <c r="E451" s="28">
        <f>SUMIFS('Raw Data'!$I$2:$I$878,'Raw Data'!$A$2:$A$878,$A451,'Raw Data'!$B$2:$B$878,$B451,'Raw Data'!$D$2:$D$878,$D451)</f>
        <v>81</v>
      </c>
      <c r="F451" s="5">
        <f>IFERROR(3958.8*ACOS(MIN(1,MAX(-1,SIN(RADIANS('ZIP Coordinates'!$C$2))*SIN(RADIANS(INDEX('ZIP Coordinates'!$C:$C,MATCH($A451,'ZIP Coordinates'!$A:$A,0))))+COS(RADIANS('ZIP Coordinates'!$C$2))*COS(RADIANS(INDEX('ZIP Coordinates'!$C:$C,MATCH($A451,'ZIP Coordinates'!$A:$A,0))))*COS(RADIANS(INDEX('ZIP Coordinates'!$D:$D,MATCH($A451,'ZIP Coordinates'!$A:$A,0))-'ZIP Coordinates'!$D$2))))),"N/A")</f>
        <v>170.94938011735448</v>
      </c>
    </row>
    <row r="452" spans="1:6" x14ac:dyDescent="0.2">
      <c r="A452" s="3" t="s">
        <v>40</v>
      </c>
      <c r="B452" s="3" t="s">
        <v>258</v>
      </c>
      <c r="C452" s="3" t="s">
        <v>240</v>
      </c>
      <c r="D452" s="3" t="s">
        <v>139</v>
      </c>
      <c r="E452" s="28">
        <f>SUMIFS('Raw Data'!$I$2:$I$878,'Raw Data'!$A$2:$A$878,$A452,'Raw Data'!$B$2:$B$878,$B452,'Raw Data'!$D$2:$D$878,$D452)</f>
        <v>252</v>
      </c>
      <c r="F452" s="5">
        <f>IFERROR(3958.8*ACOS(MIN(1,MAX(-1,SIN(RADIANS('ZIP Coordinates'!$C$2))*SIN(RADIANS(INDEX('ZIP Coordinates'!$C:$C,MATCH($A452,'ZIP Coordinates'!$A:$A,0))))+COS(RADIANS('ZIP Coordinates'!$C$2))*COS(RADIANS(INDEX('ZIP Coordinates'!$C:$C,MATCH($A452,'ZIP Coordinates'!$A:$A,0))))*COS(RADIANS(INDEX('ZIP Coordinates'!$D:$D,MATCH($A452,'ZIP Coordinates'!$A:$A,0))-'ZIP Coordinates'!$D$2))))),"N/A")</f>
        <v>184.75352368035988</v>
      </c>
    </row>
    <row r="453" spans="1:6" x14ac:dyDescent="0.2">
      <c r="A453" s="3" t="s">
        <v>40</v>
      </c>
      <c r="B453" s="3" t="s">
        <v>259</v>
      </c>
      <c r="C453" s="3" t="s">
        <v>260</v>
      </c>
      <c r="D453" s="3" t="s">
        <v>186</v>
      </c>
      <c r="E453" s="28">
        <f>SUMIFS('Raw Data'!$I$2:$I$878,'Raw Data'!$A$2:$A$878,$A453,'Raw Data'!$B$2:$B$878,$B453,'Raw Data'!$D$2:$D$878,$D453)</f>
        <v>80</v>
      </c>
      <c r="F453" s="5">
        <f>IFERROR(3958.8*ACOS(MIN(1,MAX(-1,SIN(RADIANS('ZIP Coordinates'!$C$2))*SIN(RADIANS(INDEX('ZIP Coordinates'!$C:$C,MATCH($A453,'ZIP Coordinates'!$A:$A,0))))+COS(RADIANS('ZIP Coordinates'!$C$2))*COS(RADIANS(INDEX('ZIP Coordinates'!$C:$C,MATCH($A453,'ZIP Coordinates'!$A:$A,0))))*COS(RADIANS(INDEX('ZIP Coordinates'!$D:$D,MATCH($A453,'ZIP Coordinates'!$A:$A,0))-'ZIP Coordinates'!$D$2))))),"N/A")</f>
        <v>184.75352368035988</v>
      </c>
    </row>
    <row r="454" spans="1:6" x14ac:dyDescent="0.2">
      <c r="A454" s="3" t="s">
        <v>40</v>
      </c>
      <c r="B454" s="3" t="s">
        <v>297</v>
      </c>
      <c r="C454" s="3" t="s">
        <v>254</v>
      </c>
      <c r="D454" s="3" t="s">
        <v>139</v>
      </c>
      <c r="E454" s="28">
        <f>SUMIFS('Raw Data'!$I$2:$I$878,'Raw Data'!$A$2:$A$878,$A454,'Raw Data'!$B$2:$B$878,$B454,'Raw Data'!$D$2:$D$878,$D454)</f>
        <v>801</v>
      </c>
      <c r="F454" s="5">
        <f>IFERROR(3958.8*ACOS(MIN(1,MAX(-1,SIN(RADIANS('ZIP Coordinates'!$C$2))*SIN(RADIANS(INDEX('ZIP Coordinates'!$C:$C,MATCH($A454,'ZIP Coordinates'!$A:$A,0))))+COS(RADIANS('ZIP Coordinates'!$C$2))*COS(RADIANS(INDEX('ZIP Coordinates'!$C:$C,MATCH($A454,'ZIP Coordinates'!$A:$A,0))))*COS(RADIANS(INDEX('ZIP Coordinates'!$D:$D,MATCH($A454,'ZIP Coordinates'!$A:$A,0))-'ZIP Coordinates'!$D$2))))),"N/A")</f>
        <v>184.75352368035988</v>
      </c>
    </row>
    <row r="455" spans="1:6" x14ac:dyDescent="0.2">
      <c r="A455" s="3" t="s">
        <v>41</v>
      </c>
      <c r="B455" s="3" t="s">
        <v>247</v>
      </c>
      <c r="C455" s="3" t="s">
        <v>246</v>
      </c>
      <c r="D455" s="3" t="s">
        <v>155</v>
      </c>
      <c r="E455" s="28">
        <f>SUMIFS('Raw Data'!$I$2:$I$878,'Raw Data'!$A$2:$A$878,$A455,'Raw Data'!$B$2:$B$878,$B455,'Raw Data'!$D$2:$D$878,$D455)</f>
        <v>25</v>
      </c>
      <c r="F455" s="5">
        <f>IFERROR(3958.8*ACOS(MIN(1,MAX(-1,SIN(RADIANS('ZIP Coordinates'!$C$2))*SIN(RADIANS(INDEX('ZIP Coordinates'!$C:$C,MATCH($A455,'ZIP Coordinates'!$A:$A,0))))+COS(RADIANS('ZIP Coordinates'!$C$2))*COS(RADIANS(INDEX('ZIP Coordinates'!$C:$C,MATCH($A455,'ZIP Coordinates'!$A:$A,0))))*COS(RADIANS(INDEX('ZIP Coordinates'!$D:$D,MATCH($A455,'ZIP Coordinates'!$A:$A,0))-'ZIP Coordinates'!$D$2))))),"N/A")</f>
        <v>140.01135394009708</v>
      </c>
    </row>
    <row r="456" spans="1:6" x14ac:dyDescent="0.2">
      <c r="A456" s="3" t="s">
        <v>41</v>
      </c>
      <c r="B456" s="3" t="s">
        <v>251</v>
      </c>
      <c r="C456" s="3" t="s">
        <v>252</v>
      </c>
      <c r="D456" s="3" t="s">
        <v>155</v>
      </c>
      <c r="E456" s="28">
        <f>SUMIFS('Raw Data'!$I$2:$I$878,'Raw Data'!$A$2:$A$878,$A456,'Raw Data'!$B$2:$B$878,$B456,'Raw Data'!$D$2:$D$878,$D456)</f>
        <v>8</v>
      </c>
      <c r="F456" s="5">
        <f>IFERROR(3958.8*ACOS(MIN(1,MAX(-1,SIN(RADIANS('ZIP Coordinates'!$C$2))*SIN(RADIANS(INDEX('ZIP Coordinates'!$C:$C,MATCH($A456,'ZIP Coordinates'!$A:$A,0))))+COS(RADIANS('ZIP Coordinates'!$C$2))*COS(RADIANS(INDEX('ZIP Coordinates'!$C:$C,MATCH($A456,'ZIP Coordinates'!$A:$A,0))))*COS(RADIANS(INDEX('ZIP Coordinates'!$D:$D,MATCH($A456,'ZIP Coordinates'!$A:$A,0))-'ZIP Coordinates'!$D$2))))),"N/A")</f>
        <v>140.01135394009708</v>
      </c>
    </row>
    <row r="457" spans="1:6" x14ac:dyDescent="0.2">
      <c r="A457" s="3" t="s">
        <v>41</v>
      </c>
      <c r="B457" s="3" t="s">
        <v>257</v>
      </c>
      <c r="C457" s="3" t="s">
        <v>256</v>
      </c>
      <c r="D457" s="3" t="s">
        <v>155</v>
      </c>
      <c r="E457" s="28">
        <f>SUMIFS('Raw Data'!$I$2:$I$878,'Raw Data'!$A$2:$A$878,$A457,'Raw Data'!$B$2:$B$878,$B457,'Raw Data'!$D$2:$D$878,$D457)</f>
        <v>60</v>
      </c>
      <c r="F457" s="5">
        <f>IFERROR(3958.8*ACOS(MIN(1,MAX(-1,SIN(RADIANS('ZIP Coordinates'!$C$2))*SIN(RADIANS(INDEX('ZIP Coordinates'!$C:$C,MATCH($A457,'ZIP Coordinates'!$A:$A,0))))+COS(RADIANS('ZIP Coordinates'!$C$2))*COS(RADIANS(INDEX('ZIP Coordinates'!$C:$C,MATCH($A457,'ZIP Coordinates'!$A:$A,0))))*COS(RADIANS(INDEX('ZIP Coordinates'!$D:$D,MATCH($A457,'ZIP Coordinates'!$A:$A,0))-'ZIP Coordinates'!$D$2))))),"N/A")</f>
        <v>140.01135394009708</v>
      </c>
    </row>
    <row r="458" spans="1:6" x14ac:dyDescent="0.2">
      <c r="A458" s="3" t="s">
        <v>42</v>
      </c>
      <c r="B458" s="3" t="s">
        <v>239</v>
      </c>
      <c r="C458" s="3" t="s">
        <v>240</v>
      </c>
      <c r="D458" s="3" t="s">
        <v>125</v>
      </c>
      <c r="E458" s="28">
        <f>SUMIFS('Raw Data'!$I$2:$I$878,'Raw Data'!$A$2:$A$878,$A458,'Raw Data'!$B$2:$B$878,$B458,'Raw Data'!$D$2:$D$878,$D458)</f>
        <v>18</v>
      </c>
      <c r="F458" s="5">
        <f>IFERROR(3958.8*ACOS(MIN(1,MAX(-1,SIN(RADIANS('ZIP Coordinates'!$C$2))*SIN(RADIANS(INDEX('ZIP Coordinates'!$C:$C,MATCH($A458,'ZIP Coordinates'!$A:$A,0))))+COS(RADIANS('ZIP Coordinates'!$C$2))*COS(RADIANS(INDEX('ZIP Coordinates'!$C:$C,MATCH($A458,'ZIP Coordinates'!$A:$A,0))))*COS(RADIANS(INDEX('ZIP Coordinates'!$D:$D,MATCH($A458,'ZIP Coordinates'!$A:$A,0))-'ZIP Coordinates'!$D$2))))),"N/A")</f>
        <v>175.57136889679089</v>
      </c>
    </row>
    <row r="459" spans="1:6" x14ac:dyDescent="0.2">
      <c r="A459" s="3" t="s">
        <v>42</v>
      </c>
      <c r="B459" s="3" t="s">
        <v>261</v>
      </c>
      <c r="C459" s="3" t="s">
        <v>260</v>
      </c>
      <c r="D459" s="3" t="s">
        <v>125</v>
      </c>
      <c r="E459" s="28">
        <f>SUMIFS('Raw Data'!$I$2:$I$878,'Raw Data'!$A$2:$A$878,$A459,'Raw Data'!$B$2:$B$878,$B459,'Raw Data'!$D$2:$D$878,$D459)</f>
        <v>19</v>
      </c>
      <c r="F459" s="5">
        <f>IFERROR(3958.8*ACOS(MIN(1,MAX(-1,SIN(RADIANS('ZIP Coordinates'!$C$2))*SIN(RADIANS(INDEX('ZIP Coordinates'!$C:$C,MATCH($A459,'ZIP Coordinates'!$A:$A,0))))+COS(RADIANS('ZIP Coordinates'!$C$2))*COS(RADIANS(INDEX('ZIP Coordinates'!$C:$C,MATCH($A459,'ZIP Coordinates'!$A:$A,0))))*COS(RADIANS(INDEX('ZIP Coordinates'!$D:$D,MATCH($A459,'ZIP Coordinates'!$A:$A,0))-'ZIP Coordinates'!$D$2))))),"N/A")</f>
        <v>175.57136889679089</v>
      </c>
    </row>
    <row r="460" spans="1:6" x14ac:dyDescent="0.2">
      <c r="A460" s="3" t="s">
        <v>42</v>
      </c>
      <c r="B460" s="3" t="s">
        <v>241</v>
      </c>
      <c r="C460" s="3" t="s">
        <v>242</v>
      </c>
      <c r="D460" s="3" t="s">
        <v>125</v>
      </c>
      <c r="E460" s="28">
        <f>SUMIFS('Raw Data'!$I$2:$I$878,'Raw Data'!$A$2:$A$878,$A460,'Raw Data'!$B$2:$B$878,$B460,'Raw Data'!$D$2:$D$878,$D460)</f>
        <v>67</v>
      </c>
      <c r="F460" s="5">
        <f>IFERROR(3958.8*ACOS(MIN(1,MAX(-1,SIN(RADIANS('ZIP Coordinates'!$C$2))*SIN(RADIANS(INDEX('ZIP Coordinates'!$C:$C,MATCH($A460,'ZIP Coordinates'!$A:$A,0))))+COS(RADIANS('ZIP Coordinates'!$C$2))*COS(RADIANS(INDEX('ZIP Coordinates'!$C:$C,MATCH($A460,'ZIP Coordinates'!$A:$A,0))))*COS(RADIANS(INDEX('ZIP Coordinates'!$D:$D,MATCH($A460,'ZIP Coordinates'!$A:$A,0))-'ZIP Coordinates'!$D$2))))),"N/A")</f>
        <v>175.57136889679089</v>
      </c>
    </row>
    <row r="461" spans="1:6" x14ac:dyDescent="0.2">
      <c r="A461" s="3" t="s">
        <v>42</v>
      </c>
      <c r="B461" s="3" t="s">
        <v>243</v>
      </c>
      <c r="C461" s="3" t="s">
        <v>244</v>
      </c>
      <c r="D461" s="3" t="s">
        <v>125</v>
      </c>
      <c r="E461" s="28">
        <f>SUMIFS('Raw Data'!$I$2:$I$878,'Raw Data'!$A$2:$A$878,$A461,'Raw Data'!$B$2:$B$878,$B461,'Raw Data'!$D$2:$D$878,$D461)</f>
        <v>30</v>
      </c>
      <c r="F461" s="5">
        <f>IFERROR(3958.8*ACOS(MIN(1,MAX(-1,SIN(RADIANS('ZIP Coordinates'!$C$2))*SIN(RADIANS(INDEX('ZIP Coordinates'!$C:$C,MATCH($A461,'ZIP Coordinates'!$A:$A,0))))+COS(RADIANS('ZIP Coordinates'!$C$2))*COS(RADIANS(INDEX('ZIP Coordinates'!$C:$C,MATCH($A461,'ZIP Coordinates'!$A:$A,0))))*COS(RADIANS(INDEX('ZIP Coordinates'!$D:$D,MATCH($A461,'ZIP Coordinates'!$A:$A,0))-'ZIP Coordinates'!$D$2))))),"N/A")</f>
        <v>175.57136889679089</v>
      </c>
    </row>
    <row r="462" spans="1:6" x14ac:dyDescent="0.2">
      <c r="A462" s="3" t="s">
        <v>42</v>
      </c>
      <c r="B462" s="3" t="s">
        <v>247</v>
      </c>
      <c r="C462" s="3" t="s">
        <v>246</v>
      </c>
      <c r="D462" s="3" t="s">
        <v>125</v>
      </c>
      <c r="E462" s="28">
        <f>SUMIFS('Raw Data'!$I$2:$I$878,'Raw Data'!$A$2:$A$878,$A462,'Raw Data'!$B$2:$B$878,$B462,'Raw Data'!$D$2:$D$878,$D462)</f>
        <v>36</v>
      </c>
      <c r="F462" s="5">
        <f>IFERROR(3958.8*ACOS(MIN(1,MAX(-1,SIN(RADIANS('ZIP Coordinates'!$C$2))*SIN(RADIANS(INDEX('ZIP Coordinates'!$C:$C,MATCH($A462,'ZIP Coordinates'!$A:$A,0))))+COS(RADIANS('ZIP Coordinates'!$C$2))*COS(RADIANS(INDEX('ZIP Coordinates'!$C:$C,MATCH($A462,'ZIP Coordinates'!$A:$A,0))))*COS(RADIANS(INDEX('ZIP Coordinates'!$D:$D,MATCH($A462,'ZIP Coordinates'!$A:$A,0))-'ZIP Coordinates'!$D$2))))),"N/A")</f>
        <v>175.57136889679089</v>
      </c>
    </row>
    <row r="463" spans="1:6" x14ac:dyDescent="0.2">
      <c r="A463" s="3" t="s">
        <v>42</v>
      </c>
      <c r="B463" s="3" t="s">
        <v>250</v>
      </c>
      <c r="C463" s="3" t="s">
        <v>249</v>
      </c>
      <c r="D463" s="3" t="s">
        <v>125</v>
      </c>
      <c r="E463" s="28">
        <f>SUMIFS('Raw Data'!$I$2:$I$878,'Raw Data'!$A$2:$A$878,$A463,'Raw Data'!$B$2:$B$878,$B463,'Raw Data'!$D$2:$D$878,$D463)</f>
        <v>32</v>
      </c>
      <c r="F463" s="5">
        <f>IFERROR(3958.8*ACOS(MIN(1,MAX(-1,SIN(RADIANS('ZIP Coordinates'!$C$2))*SIN(RADIANS(INDEX('ZIP Coordinates'!$C:$C,MATCH($A463,'ZIP Coordinates'!$A:$A,0))))+COS(RADIANS('ZIP Coordinates'!$C$2))*COS(RADIANS(INDEX('ZIP Coordinates'!$C:$C,MATCH($A463,'ZIP Coordinates'!$A:$A,0))))*COS(RADIANS(INDEX('ZIP Coordinates'!$D:$D,MATCH($A463,'ZIP Coordinates'!$A:$A,0))-'ZIP Coordinates'!$D$2))))),"N/A")</f>
        <v>175.57136889679089</v>
      </c>
    </row>
    <row r="464" spans="1:6" x14ac:dyDescent="0.2">
      <c r="A464" s="3" t="s">
        <v>42</v>
      </c>
      <c r="B464" s="3" t="s">
        <v>251</v>
      </c>
      <c r="C464" s="3" t="s">
        <v>252</v>
      </c>
      <c r="D464" s="3" t="s">
        <v>125</v>
      </c>
      <c r="E464" s="28">
        <f>SUMIFS('Raw Data'!$I$2:$I$878,'Raw Data'!$A$2:$A$878,$A464,'Raw Data'!$B$2:$B$878,$B464,'Raw Data'!$D$2:$D$878,$D464)</f>
        <v>34</v>
      </c>
      <c r="F464" s="5">
        <f>IFERROR(3958.8*ACOS(MIN(1,MAX(-1,SIN(RADIANS('ZIP Coordinates'!$C$2))*SIN(RADIANS(INDEX('ZIP Coordinates'!$C:$C,MATCH($A464,'ZIP Coordinates'!$A:$A,0))))+COS(RADIANS('ZIP Coordinates'!$C$2))*COS(RADIANS(INDEX('ZIP Coordinates'!$C:$C,MATCH($A464,'ZIP Coordinates'!$A:$A,0))))*COS(RADIANS(INDEX('ZIP Coordinates'!$D:$D,MATCH($A464,'ZIP Coordinates'!$A:$A,0))-'ZIP Coordinates'!$D$2))))),"N/A")</f>
        <v>175.57136889679089</v>
      </c>
    </row>
    <row r="465" spans="1:6" x14ac:dyDescent="0.2">
      <c r="A465" s="3" t="s">
        <v>42</v>
      </c>
      <c r="B465" s="3" t="s">
        <v>257</v>
      </c>
      <c r="C465" s="3" t="s">
        <v>256</v>
      </c>
      <c r="D465" s="3" t="s">
        <v>125</v>
      </c>
      <c r="E465" s="28">
        <f>SUMIFS('Raw Data'!$I$2:$I$878,'Raw Data'!$A$2:$A$878,$A465,'Raw Data'!$B$2:$B$878,$B465,'Raw Data'!$D$2:$D$878,$D465)</f>
        <v>50</v>
      </c>
      <c r="F465" s="5">
        <f>IFERROR(3958.8*ACOS(MIN(1,MAX(-1,SIN(RADIANS('ZIP Coordinates'!$C$2))*SIN(RADIANS(INDEX('ZIP Coordinates'!$C:$C,MATCH($A465,'ZIP Coordinates'!$A:$A,0))))+COS(RADIANS('ZIP Coordinates'!$C$2))*COS(RADIANS(INDEX('ZIP Coordinates'!$C:$C,MATCH($A465,'ZIP Coordinates'!$A:$A,0))))*COS(RADIANS(INDEX('ZIP Coordinates'!$D:$D,MATCH($A465,'ZIP Coordinates'!$A:$A,0))-'ZIP Coordinates'!$D$2))))),"N/A")</f>
        <v>175.57136889679089</v>
      </c>
    </row>
    <row r="466" spans="1:6" x14ac:dyDescent="0.2">
      <c r="A466" s="3" t="s">
        <v>43</v>
      </c>
      <c r="B466" s="3" t="s">
        <v>259</v>
      </c>
      <c r="C466" s="3" t="s">
        <v>260</v>
      </c>
      <c r="D466" s="3" t="s">
        <v>194</v>
      </c>
      <c r="E466" s="28">
        <f>SUMIFS('Raw Data'!$I$2:$I$878,'Raw Data'!$A$2:$A$878,$A466,'Raw Data'!$B$2:$B$878,$B466,'Raw Data'!$D$2:$D$878,$D466)</f>
        <v>52</v>
      </c>
      <c r="F466" s="5">
        <f>IFERROR(3958.8*ACOS(MIN(1,MAX(-1,SIN(RADIANS('ZIP Coordinates'!$C$2))*SIN(RADIANS(INDEX('ZIP Coordinates'!$C:$C,MATCH($A466,'ZIP Coordinates'!$A:$A,0))))+COS(RADIANS('ZIP Coordinates'!$C$2))*COS(RADIANS(INDEX('ZIP Coordinates'!$C:$C,MATCH($A466,'ZIP Coordinates'!$A:$A,0))))*COS(RADIANS(INDEX('ZIP Coordinates'!$D:$D,MATCH($A466,'ZIP Coordinates'!$A:$A,0))-'ZIP Coordinates'!$D$2))))),"N/A")</f>
        <v>147.69997820459258</v>
      </c>
    </row>
    <row r="467" spans="1:6" x14ac:dyDescent="0.2">
      <c r="A467" s="3" t="s">
        <v>43</v>
      </c>
      <c r="B467" s="3" t="s">
        <v>261</v>
      </c>
      <c r="C467" s="3" t="s">
        <v>260</v>
      </c>
      <c r="D467" s="3" t="s">
        <v>164</v>
      </c>
      <c r="E467" s="28">
        <f>SUMIFS('Raw Data'!$I$2:$I$878,'Raw Data'!$A$2:$A$878,$A467,'Raw Data'!$B$2:$B$878,$B467,'Raw Data'!$D$2:$D$878,$D467)</f>
        <v>21</v>
      </c>
      <c r="F467" s="5">
        <f>IFERROR(3958.8*ACOS(MIN(1,MAX(-1,SIN(RADIANS('ZIP Coordinates'!$C$2))*SIN(RADIANS(INDEX('ZIP Coordinates'!$C:$C,MATCH($A467,'ZIP Coordinates'!$A:$A,0))))+COS(RADIANS('ZIP Coordinates'!$C$2))*COS(RADIANS(INDEX('ZIP Coordinates'!$C:$C,MATCH($A467,'ZIP Coordinates'!$A:$A,0))))*COS(RADIANS(INDEX('ZIP Coordinates'!$D:$D,MATCH($A467,'ZIP Coordinates'!$A:$A,0))-'ZIP Coordinates'!$D$2))))),"N/A")</f>
        <v>147.69997820459258</v>
      </c>
    </row>
    <row r="468" spans="1:6" x14ac:dyDescent="0.2">
      <c r="A468" s="3" t="s">
        <v>43</v>
      </c>
      <c r="B468" s="3" t="s">
        <v>243</v>
      </c>
      <c r="C468" s="3" t="s">
        <v>244</v>
      </c>
      <c r="D468" s="3" t="s">
        <v>164</v>
      </c>
      <c r="E468" s="28">
        <f>SUMIFS('Raw Data'!$I$2:$I$878,'Raw Data'!$A$2:$A$878,$A468,'Raw Data'!$B$2:$B$878,$B468,'Raw Data'!$D$2:$D$878,$D468)</f>
        <v>40</v>
      </c>
      <c r="F468" s="5">
        <f>IFERROR(3958.8*ACOS(MIN(1,MAX(-1,SIN(RADIANS('ZIP Coordinates'!$C$2))*SIN(RADIANS(INDEX('ZIP Coordinates'!$C:$C,MATCH($A468,'ZIP Coordinates'!$A:$A,0))))+COS(RADIANS('ZIP Coordinates'!$C$2))*COS(RADIANS(INDEX('ZIP Coordinates'!$C:$C,MATCH($A468,'ZIP Coordinates'!$A:$A,0))))*COS(RADIANS(INDEX('ZIP Coordinates'!$D:$D,MATCH($A468,'ZIP Coordinates'!$A:$A,0))-'ZIP Coordinates'!$D$2))))),"N/A")</f>
        <v>147.69997820459258</v>
      </c>
    </row>
    <row r="469" spans="1:6" x14ac:dyDescent="0.2">
      <c r="A469" s="3" t="s">
        <v>44</v>
      </c>
      <c r="B469" s="3" t="s">
        <v>270</v>
      </c>
      <c r="C469" s="3" t="s">
        <v>242</v>
      </c>
      <c r="D469" s="3" t="s">
        <v>170</v>
      </c>
      <c r="E469" s="28">
        <f>SUMIFS('Raw Data'!$I$2:$I$878,'Raw Data'!$A$2:$A$878,$A469,'Raw Data'!$B$2:$B$878,$B469,'Raw Data'!$D$2:$D$878,$D469)</f>
        <v>198</v>
      </c>
      <c r="F469" s="5">
        <f>IFERROR(3958.8*ACOS(MIN(1,MAX(-1,SIN(RADIANS('ZIP Coordinates'!$C$2))*SIN(RADIANS(INDEX('ZIP Coordinates'!$C:$C,MATCH($A469,'ZIP Coordinates'!$A:$A,0))))+COS(RADIANS('ZIP Coordinates'!$C$2))*COS(RADIANS(INDEX('ZIP Coordinates'!$C:$C,MATCH($A469,'ZIP Coordinates'!$A:$A,0))))*COS(RADIANS(INDEX('ZIP Coordinates'!$D:$D,MATCH($A469,'ZIP Coordinates'!$A:$A,0))-'ZIP Coordinates'!$D$2))))),"N/A")</f>
        <v>182.14260247917136</v>
      </c>
    </row>
    <row r="470" spans="1:6" x14ac:dyDescent="0.2">
      <c r="A470" s="3" t="s">
        <v>44</v>
      </c>
      <c r="B470" s="3" t="s">
        <v>276</v>
      </c>
      <c r="C470" s="3" t="s">
        <v>275</v>
      </c>
      <c r="D470" s="3" t="s">
        <v>170</v>
      </c>
      <c r="E470" s="28">
        <f>SUMIFS('Raw Data'!$I$2:$I$878,'Raw Data'!$A$2:$A$878,$A470,'Raw Data'!$B$2:$B$878,$B470,'Raw Data'!$D$2:$D$878,$D470)</f>
        <v>28</v>
      </c>
      <c r="F470" s="5">
        <f>IFERROR(3958.8*ACOS(MIN(1,MAX(-1,SIN(RADIANS('ZIP Coordinates'!$C$2))*SIN(RADIANS(INDEX('ZIP Coordinates'!$C:$C,MATCH($A470,'ZIP Coordinates'!$A:$A,0))))+COS(RADIANS('ZIP Coordinates'!$C$2))*COS(RADIANS(INDEX('ZIP Coordinates'!$C:$C,MATCH($A470,'ZIP Coordinates'!$A:$A,0))))*COS(RADIANS(INDEX('ZIP Coordinates'!$D:$D,MATCH($A470,'ZIP Coordinates'!$A:$A,0))-'ZIP Coordinates'!$D$2))))),"N/A")</f>
        <v>182.14260247917136</v>
      </c>
    </row>
    <row r="471" spans="1:6" x14ac:dyDescent="0.2">
      <c r="A471" s="3" t="s">
        <v>45</v>
      </c>
      <c r="B471" s="3" t="s">
        <v>239</v>
      </c>
      <c r="C471" s="3" t="s">
        <v>240</v>
      </c>
      <c r="D471" s="3" t="s">
        <v>92</v>
      </c>
      <c r="E471" s="28">
        <f>SUMIFS('Raw Data'!$I$2:$I$878,'Raw Data'!$A$2:$A$878,$A471,'Raw Data'!$B$2:$B$878,$B471,'Raw Data'!$D$2:$D$878,$D471)</f>
        <v>463</v>
      </c>
      <c r="F471" s="5">
        <f>IFERROR(3958.8*ACOS(MIN(1,MAX(-1,SIN(RADIANS('ZIP Coordinates'!$C$2))*SIN(RADIANS(INDEX('ZIP Coordinates'!$C:$C,MATCH($A471,'ZIP Coordinates'!$A:$A,0))))+COS(RADIANS('ZIP Coordinates'!$C$2))*COS(RADIANS(INDEX('ZIP Coordinates'!$C:$C,MATCH($A471,'ZIP Coordinates'!$A:$A,0))))*COS(RADIANS(INDEX('ZIP Coordinates'!$D:$D,MATCH($A471,'ZIP Coordinates'!$A:$A,0))-'ZIP Coordinates'!$D$2))))),"N/A")</f>
        <v>183.03432908103485</v>
      </c>
    </row>
    <row r="472" spans="1:6" x14ac:dyDescent="0.2">
      <c r="A472" s="3" t="s">
        <v>45</v>
      </c>
      <c r="B472" s="3" t="s">
        <v>261</v>
      </c>
      <c r="C472" s="3" t="s">
        <v>260</v>
      </c>
      <c r="D472" s="3" t="s">
        <v>92</v>
      </c>
      <c r="E472" s="28">
        <f>SUMIFS('Raw Data'!$I$2:$I$878,'Raw Data'!$A$2:$A$878,$A472,'Raw Data'!$B$2:$B$878,$B472,'Raw Data'!$D$2:$D$878,$D472)</f>
        <v>278</v>
      </c>
      <c r="F472" s="5">
        <f>IFERROR(3958.8*ACOS(MIN(1,MAX(-1,SIN(RADIANS('ZIP Coordinates'!$C$2))*SIN(RADIANS(INDEX('ZIP Coordinates'!$C:$C,MATCH($A472,'ZIP Coordinates'!$A:$A,0))))+COS(RADIANS('ZIP Coordinates'!$C$2))*COS(RADIANS(INDEX('ZIP Coordinates'!$C:$C,MATCH($A472,'ZIP Coordinates'!$A:$A,0))))*COS(RADIANS(INDEX('ZIP Coordinates'!$D:$D,MATCH($A472,'ZIP Coordinates'!$A:$A,0))-'ZIP Coordinates'!$D$2))))),"N/A")</f>
        <v>183.03432908103485</v>
      </c>
    </row>
    <row r="473" spans="1:6" x14ac:dyDescent="0.2">
      <c r="A473" s="3" t="s">
        <v>45</v>
      </c>
      <c r="B473" s="3" t="s">
        <v>241</v>
      </c>
      <c r="C473" s="3" t="s">
        <v>242</v>
      </c>
      <c r="D473" s="3" t="s">
        <v>92</v>
      </c>
      <c r="E473" s="28">
        <f>SUMIFS('Raw Data'!$I$2:$I$878,'Raw Data'!$A$2:$A$878,$A473,'Raw Data'!$B$2:$B$878,$B473,'Raw Data'!$D$2:$D$878,$D473)</f>
        <v>377</v>
      </c>
      <c r="F473" s="5">
        <f>IFERROR(3958.8*ACOS(MIN(1,MAX(-1,SIN(RADIANS('ZIP Coordinates'!$C$2))*SIN(RADIANS(INDEX('ZIP Coordinates'!$C:$C,MATCH($A473,'ZIP Coordinates'!$A:$A,0))))+COS(RADIANS('ZIP Coordinates'!$C$2))*COS(RADIANS(INDEX('ZIP Coordinates'!$C:$C,MATCH($A473,'ZIP Coordinates'!$A:$A,0))))*COS(RADIANS(INDEX('ZIP Coordinates'!$D:$D,MATCH($A473,'ZIP Coordinates'!$A:$A,0))-'ZIP Coordinates'!$D$2))))),"N/A")</f>
        <v>183.03432908103485</v>
      </c>
    </row>
    <row r="474" spans="1:6" x14ac:dyDescent="0.2">
      <c r="A474" s="3" t="s">
        <v>45</v>
      </c>
      <c r="B474" s="3" t="s">
        <v>243</v>
      </c>
      <c r="C474" s="3" t="s">
        <v>244</v>
      </c>
      <c r="D474" s="3" t="s">
        <v>92</v>
      </c>
      <c r="E474" s="28">
        <f>SUMIFS('Raw Data'!$I$2:$I$878,'Raw Data'!$A$2:$A$878,$A474,'Raw Data'!$B$2:$B$878,$B474,'Raw Data'!$D$2:$D$878,$D474)</f>
        <v>252</v>
      </c>
      <c r="F474" s="5">
        <f>IFERROR(3958.8*ACOS(MIN(1,MAX(-1,SIN(RADIANS('ZIP Coordinates'!$C$2))*SIN(RADIANS(INDEX('ZIP Coordinates'!$C:$C,MATCH($A474,'ZIP Coordinates'!$A:$A,0))))+COS(RADIANS('ZIP Coordinates'!$C$2))*COS(RADIANS(INDEX('ZIP Coordinates'!$C:$C,MATCH($A474,'ZIP Coordinates'!$A:$A,0))))*COS(RADIANS(INDEX('ZIP Coordinates'!$D:$D,MATCH($A474,'ZIP Coordinates'!$A:$A,0))-'ZIP Coordinates'!$D$2))))),"N/A")</f>
        <v>183.03432908103485</v>
      </c>
    </row>
    <row r="475" spans="1:6" x14ac:dyDescent="0.2">
      <c r="A475" s="3" t="s">
        <v>46</v>
      </c>
      <c r="B475" s="3" t="s">
        <v>258</v>
      </c>
      <c r="C475" s="3" t="s">
        <v>240</v>
      </c>
      <c r="D475" s="3" t="s">
        <v>166</v>
      </c>
      <c r="E475" s="28">
        <f>SUMIFS('Raw Data'!$I$2:$I$878,'Raw Data'!$A$2:$A$878,$A475,'Raw Data'!$B$2:$B$878,$B475,'Raw Data'!$D$2:$D$878,$D475)</f>
        <v>68</v>
      </c>
      <c r="F475" s="5">
        <f>IFERROR(3958.8*ACOS(MIN(1,MAX(-1,SIN(RADIANS('ZIP Coordinates'!$C$2))*SIN(RADIANS(INDEX('ZIP Coordinates'!$C:$C,MATCH($A475,'ZIP Coordinates'!$A:$A,0))))+COS(RADIANS('ZIP Coordinates'!$C$2))*COS(RADIANS(INDEX('ZIP Coordinates'!$C:$C,MATCH($A475,'ZIP Coordinates'!$A:$A,0))))*COS(RADIANS(INDEX('ZIP Coordinates'!$D:$D,MATCH($A475,'ZIP Coordinates'!$A:$A,0))-'ZIP Coordinates'!$D$2))))),"N/A")</f>
        <v>181.78593363749806</v>
      </c>
    </row>
    <row r="476" spans="1:6" x14ac:dyDescent="0.2">
      <c r="A476" s="3" t="s">
        <v>46</v>
      </c>
      <c r="B476" s="3" t="s">
        <v>276</v>
      </c>
      <c r="C476" s="3" t="s">
        <v>275</v>
      </c>
      <c r="D476" s="3" t="s">
        <v>166</v>
      </c>
      <c r="E476" s="28">
        <f>SUMIFS('Raw Data'!$I$2:$I$878,'Raw Data'!$A$2:$A$878,$A476,'Raw Data'!$B$2:$B$878,$B476,'Raw Data'!$D$2:$D$878,$D476)</f>
        <v>42</v>
      </c>
      <c r="F476" s="5">
        <f>IFERROR(3958.8*ACOS(MIN(1,MAX(-1,SIN(RADIANS('ZIP Coordinates'!$C$2))*SIN(RADIANS(INDEX('ZIP Coordinates'!$C:$C,MATCH($A476,'ZIP Coordinates'!$A:$A,0))))+COS(RADIANS('ZIP Coordinates'!$C$2))*COS(RADIANS(INDEX('ZIP Coordinates'!$C:$C,MATCH($A476,'ZIP Coordinates'!$A:$A,0))))*COS(RADIANS(INDEX('ZIP Coordinates'!$D:$D,MATCH($A476,'ZIP Coordinates'!$A:$A,0))-'ZIP Coordinates'!$D$2))))),"N/A")</f>
        <v>181.78593363749806</v>
      </c>
    </row>
    <row r="477" spans="1:6" x14ac:dyDescent="0.2">
      <c r="A477" s="3" t="s">
        <v>46</v>
      </c>
      <c r="B477" s="3" t="s">
        <v>248</v>
      </c>
      <c r="C477" s="3" t="s">
        <v>249</v>
      </c>
      <c r="D477" s="3" t="s">
        <v>132</v>
      </c>
      <c r="E477" s="28">
        <f>SUMIFS('Raw Data'!$I$2:$I$878,'Raw Data'!$A$2:$A$878,$A477,'Raw Data'!$B$2:$B$878,$B477,'Raw Data'!$D$2:$D$878,$D477)</f>
        <v>240</v>
      </c>
      <c r="F477" s="5">
        <f>IFERROR(3958.8*ACOS(MIN(1,MAX(-1,SIN(RADIANS('ZIP Coordinates'!$C$2))*SIN(RADIANS(INDEX('ZIP Coordinates'!$C:$C,MATCH($A477,'ZIP Coordinates'!$A:$A,0))))+COS(RADIANS('ZIP Coordinates'!$C$2))*COS(RADIANS(INDEX('ZIP Coordinates'!$C:$C,MATCH($A477,'ZIP Coordinates'!$A:$A,0))))*COS(RADIANS(INDEX('ZIP Coordinates'!$D:$D,MATCH($A477,'ZIP Coordinates'!$A:$A,0))-'ZIP Coordinates'!$D$2))))),"N/A")</f>
        <v>181.78593363749806</v>
      </c>
    </row>
    <row r="478" spans="1:6" x14ac:dyDescent="0.2">
      <c r="A478" s="3" t="s">
        <v>46</v>
      </c>
      <c r="B478" s="3" t="s">
        <v>250</v>
      </c>
      <c r="C478" s="3" t="s">
        <v>249</v>
      </c>
      <c r="D478" s="3" t="s">
        <v>132</v>
      </c>
      <c r="E478" s="28">
        <f>SUMIFS('Raw Data'!$I$2:$I$878,'Raw Data'!$A$2:$A$878,$A478,'Raw Data'!$B$2:$B$878,$B478,'Raw Data'!$D$2:$D$878,$D478)</f>
        <v>30</v>
      </c>
      <c r="F478" s="5">
        <f>IFERROR(3958.8*ACOS(MIN(1,MAX(-1,SIN(RADIANS('ZIP Coordinates'!$C$2))*SIN(RADIANS(INDEX('ZIP Coordinates'!$C:$C,MATCH($A478,'ZIP Coordinates'!$A:$A,0))))+COS(RADIANS('ZIP Coordinates'!$C$2))*COS(RADIANS(INDEX('ZIP Coordinates'!$C:$C,MATCH($A478,'ZIP Coordinates'!$A:$A,0))))*COS(RADIANS(INDEX('ZIP Coordinates'!$D:$D,MATCH($A478,'ZIP Coordinates'!$A:$A,0))-'ZIP Coordinates'!$D$2))))),"N/A")</f>
        <v>181.78593363749806</v>
      </c>
    </row>
    <row r="479" spans="1:6" x14ac:dyDescent="0.2">
      <c r="A479" s="3" t="s">
        <v>46</v>
      </c>
      <c r="B479" s="3" t="s">
        <v>281</v>
      </c>
      <c r="C479" s="3" t="s">
        <v>252</v>
      </c>
      <c r="D479" s="3" t="s">
        <v>132</v>
      </c>
      <c r="E479" s="28">
        <f>SUMIFS('Raw Data'!$I$2:$I$878,'Raw Data'!$A$2:$A$878,$A479,'Raw Data'!$B$2:$B$878,$B479,'Raw Data'!$D$2:$D$878,$D479)</f>
        <v>60</v>
      </c>
      <c r="F479" s="5">
        <f>IFERROR(3958.8*ACOS(MIN(1,MAX(-1,SIN(RADIANS('ZIP Coordinates'!$C$2))*SIN(RADIANS(INDEX('ZIP Coordinates'!$C:$C,MATCH($A479,'ZIP Coordinates'!$A:$A,0))))+COS(RADIANS('ZIP Coordinates'!$C$2))*COS(RADIANS(INDEX('ZIP Coordinates'!$C:$C,MATCH($A479,'ZIP Coordinates'!$A:$A,0))))*COS(RADIANS(INDEX('ZIP Coordinates'!$D:$D,MATCH($A479,'ZIP Coordinates'!$A:$A,0))-'ZIP Coordinates'!$D$2))))),"N/A")</f>
        <v>181.78593363749806</v>
      </c>
    </row>
    <row r="480" spans="1:6" x14ac:dyDescent="0.2">
      <c r="A480" s="3" t="s">
        <v>46</v>
      </c>
      <c r="B480" s="3" t="s">
        <v>251</v>
      </c>
      <c r="C480" s="3" t="s">
        <v>252</v>
      </c>
      <c r="D480" s="3" t="s">
        <v>132</v>
      </c>
      <c r="E480" s="28">
        <f>SUMIFS('Raw Data'!$I$2:$I$878,'Raw Data'!$A$2:$A$878,$A480,'Raw Data'!$B$2:$B$878,$B480,'Raw Data'!$D$2:$D$878,$D480)</f>
        <v>80</v>
      </c>
      <c r="F480" s="5">
        <f>IFERROR(3958.8*ACOS(MIN(1,MAX(-1,SIN(RADIANS('ZIP Coordinates'!$C$2))*SIN(RADIANS(INDEX('ZIP Coordinates'!$C:$C,MATCH($A480,'ZIP Coordinates'!$A:$A,0))))+COS(RADIANS('ZIP Coordinates'!$C$2))*COS(RADIANS(INDEX('ZIP Coordinates'!$C:$C,MATCH($A480,'ZIP Coordinates'!$A:$A,0))))*COS(RADIANS(INDEX('ZIP Coordinates'!$D:$D,MATCH($A480,'ZIP Coordinates'!$A:$A,0))-'ZIP Coordinates'!$D$2))))),"N/A")</f>
        <v>181.78593363749806</v>
      </c>
    </row>
    <row r="481" spans="1:6" x14ac:dyDescent="0.2">
      <c r="A481" s="3" t="s">
        <v>46</v>
      </c>
      <c r="B481" s="3" t="s">
        <v>255</v>
      </c>
      <c r="C481" s="3" t="s">
        <v>256</v>
      </c>
      <c r="D481" s="3" t="s">
        <v>132</v>
      </c>
      <c r="E481" s="28">
        <f>SUMIFS('Raw Data'!$I$2:$I$878,'Raw Data'!$A$2:$A$878,$A481,'Raw Data'!$B$2:$B$878,$B481,'Raw Data'!$D$2:$D$878,$D481)</f>
        <v>300</v>
      </c>
      <c r="F481" s="5">
        <f>IFERROR(3958.8*ACOS(MIN(1,MAX(-1,SIN(RADIANS('ZIP Coordinates'!$C$2))*SIN(RADIANS(INDEX('ZIP Coordinates'!$C:$C,MATCH($A481,'ZIP Coordinates'!$A:$A,0))))+COS(RADIANS('ZIP Coordinates'!$C$2))*COS(RADIANS(INDEX('ZIP Coordinates'!$C:$C,MATCH($A481,'ZIP Coordinates'!$A:$A,0))))*COS(RADIANS(INDEX('ZIP Coordinates'!$D:$D,MATCH($A481,'ZIP Coordinates'!$A:$A,0))-'ZIP Coordinates'!$D$2))))),"N/A")</f>
        <v>181.78593363749806</v>
      </c>
    </row>
    <row r="482" spans="1:6" x14ac:dyDescent="0.2">
      <c r="A482" s="3" t="s">
        <v>46</v>
      </c>
      <c r="B482" s="3" t="s">
        <v>257</v>
      </c>
      <c r="C482" s="3" t="s">
        <v>256</v>
      </c>
      <c r="D482" s="3" t="s">
        <v>132</v>
      </c>
      <c r="E482" s="28">
        <f>SUMIFS('Raw Data'!$I$2:$I$878,'Raw Data'!$A$2:$A$878,$A482,'Raw Data'!$B$2:$B$878,$B482,'Raw Data'!$D$2:$D$878,$D482)</f>
        <v>25</v>
      </c>
      <c r="F482" s="5">
        <f>IFERROR(3958.8*ACOS(MIN(1,MAX(-1,SIN(RADIANS('ZIP Coordinates'!$C$2))*SIN(RADIANS(INDEX('ZIP Coordinates'!$C:$C,MATCH($A482,'ZIP Coordinates'!$A:$A,0))))+COS(RADIANS('ZIP Coordinates'!$C$2))*COS(RADIANS(INDEX('ZIP Coordinates'!$C:$C,MATCH($A482,'ZIP Coordinates'!$A:$A,0))))*COS(RADIANS(INDEX('ZIP Coordinates'!$D:$D,MATCH($A482,'ZIP Coordinates'!$A:$A,0))-'ZIP Coordinates'!$D$2))))),"N/A")</f>
        <v>181.78593363749806</v>
      </c>
    </row>
    <row r="483" spans="1:6" x14ac:dyDescent="0.2">
      <c r="A483" s="3" t="s">
        <v>47</v>
      </c>
      <c r="B483" s="3" t="s">
        <v>239</v>
      </c>
      <c r="C483" s="3" t="s">
        <v>240</v>
      </c>
      <c r="D483" s="3" t="s">
        <v>204</v>
      </c>
      <c r="E483" s="28">
        <f>SUMIFS('Raw Data'!$I$2:$I$878,'Raw Data'!$A$2:$A$878,$A483,'Raw Data'!$B$2:$B$878,$B483,'Raw Data'!$D$2:$D$878,$D483)</f>
        <v>7</v>
      </c>
      <c r="F483" s="5">
        <f>IFERROR(3958.8*ACOS(MIN(1,MAX(-1,SIN(RADIANS('ZIP Coordinates'!$C$2))*SIN(RADIANS(INDEX('ZIP Coordinates'!$C:$C,MATCH($A483,'ZIP Coordinates'!$A:$A,0))))+COS(RADIANS('ZIP Coordinates'!$C$2))*COS(RADIANS(INDEX('ZIP Coordinates'!$C:$C,MATCH($A483,'ZIP Coordinates'!$A:$A,0))))*COS(RADIANS(INDEX('ZIP Coordinates'!$D:$D,MATCH($A483,'ZIP Coordinates'!$A:$A,0))-'ZIP Coordinates'!$D$2))))),"N/A")</f>
        <v>180.99820964938351</v>
      </c>
    </row>
    <row r="484" spans="1:6" x14ac:dyDescent="0.2">
      <c r="A484" s="3" t="s">
        <v>48</v>
      </c>
      <c r="B484" s="3" t="s">
        <v>271</v>
      </c>
      <c r="C484" s="3" t="s">
        <v>244</v>
      </c>
      <c r="D484" s="3" t="s">
        <v>158</v>
      </c>
      <c r="E484" s="28">
        <f>SUMIFS('Raw Data'!$I$2:$I$878,'Raw Data'!$A$2:$A$878,$A484,'Raw Data'!$B$2:$B$878,$B484,'Raw Data'!$D$2:$D$878,$D484)</f>
        <v>90</v>
      </c>
      <c r="F484" s="5">
        <f>IFERROR(3958.8*ACOS(MIN(1,MAX(-1,SIN(RADIANS('ZIP Coordinates'!$C$2))*SIN(RADIANS(INDEX('ZIP Coordinates'!$C:$C,MATCH($A484,'ZIP Coordinates'!$A:$A,0))))+COS(RADIANS('ZIP Coordinates'!$C$2))*COS(RADIANS(INDEX('ZIP Coordinates'!$C:$C,MATCH($A484,'ZIP Coordinates'!$A:$A,0))))*COS(RADIANS(INDEX('ZIP Coordinates'!$D:$D,MATCH($A484,'ZIP Coordinates'!$A:$A,0))-'ZIP Coordinates'!$D$2))))),"N/A")</f>
        <v>180.49502404811059</v>
      </c>
    </row>
    <row r="485" spans="1:6" x14ac:dyDescent="0.2">
      <c r="A485" s="3" t="s">
        <v>48</v>
      </c>
      <c r="B485" s="3" t="s">
        <v>243</v>
      </c>
      <c r="C485" s="3" t="s">
        <v>244</v>
      </c>
      <c r="D485" s="3" t="s">
        <v>158</v>
      </c>
      <c r="E485" s="28">
        <f>SUMIFS('Raw Data'!$I$2:$I$878,'Raw Data'!$A$2:$A$878,$A485,'Raw Data'!$B$2:$B$878,$B485,'Raw Data'!$D$2:$D$878,$D485)</f>
        <v>24</v>
      </c>
      <c r="F485" s="5">
        <f>IFERROR(3958.8*ACOS(MIN(1,MAX(-1,SIN(RADIANS('ZIP Coordinates'!$C$2))*SIN(RADIANS(INDEX('ZIP Coordinates'!$C:$C,MATCH($A485,'ZIP Coordinates'!$A:$A,0))))+COS(RADIANS('ZIP Coordinates'!$C$2))*COS(RADIANS(INDEX('ZIP Coordinates'!$C:$C,MATCH($A485,'ZIP Coordinates'!$A:$A,0))))*COS(RADIANS(INDEX('ZIP Coordinates'!$D:$D,MATCH($A485,'ZIP Coordinates'!$A:$A,0))-'ZIP Coordinates'!$D$2))))),"N/A")</f>
        <v>180.49502404811059</v>
      </c>
    </row>
    <row r="486" spans="1:6" x14ac:dyDescent="0.2">
      <c r="A486" s="3" t="s">
        <v>48</v>
      </c>
      <c r="B486" s="3" t="s">
        <v>276</v>
      </c>
      <c r="C486" s="3" t="s">
        <v>275</v>
      </c>
      <c r="D486" s="3" t="s">
        <v>158</v>
      </c>
      <c r="E486" s="28">
        <f>SUMIFS('Raw Data'!$I$2:$I$878,'Raw Data'!$A$2:$A$878,$A486,'Raw Data'!$B$2:$B$878,$B486,'Raw Data'!$D$2:$D$878,$D486)</f>
        <v>57</v>
      </c>
      <c r="F486" s="5">
        <f>IFERROR(3958.8*ACOS(MIN(1,MAX(-1,SIN(RADIANS('ZIP Coordinates'!$C$2))*SIN(RADIANS(INDEX('ZIP Coordinates'!$C:$C,MATCH($A486,'ZIP Coordinates'!$A:$A,0))))+COS(RADIANS('ZIP Coordinates'!$C$2))*COS(RADIANS(INDEX('ZIP Coordinates'!$C:$C,MATCH($A486,'ZIP Coordinates'!$A:$A,0))))*COS(RADIANS(INDEX('ZIP Coordinates'!$D:$D,MATCH($A486,'ZIP Coordinates'!$A:$A,0))-'ZIP Coordinates'!$D$2))))),"N/A")</f>
        <v>180.49502404811059</v>
      </c>
    </row>
    <row r="487" spans="1:6" x14ac:dyDescent="0.2">
      <c r="A487" s="3" t="s">
        <v>49</v>
      </c>
      <c r="B487" s="3" t="s">
        <v>271</v>
      </c>
      <c r="C487" s="3" t="s">
        <v>244</v>
      </c>
      <c r="D487" s="3" t="s">
        <v>169</v>
      </c>
      <c r="E487" s="28">
        <f>SUMIFS('Raw Data'!$I$2:$I$878,'Raw Data'!$A$2:$A$878,$A487,'Raw Data'!$B$2:$B$878,$B487,'Raw Data'!$D$2:$D$878,$D487)</f>
        <v>162</v>
      </c>
      <c r="F487" s="5">
        <f>IFERROR(3958.8*ACOS(MIN(1,MAX(-1,SIN(RADIANS('ZIP Coordinates'!$C$2))*SIN(RADIANS(INDEX('ZIP Coordinates'!$C:$C,MATCH($A487,'ZIP Coordinates'!$A:$A,0))))+COS(RADIANS('ZIP Coordinates'!$C$2))*COS(RADIANS(INDEX('ZIP Coordinates'!$C:$C,MATCH($A487,'ZIP Coordinates'!$A:$A,0))))*COS(RADIANS(INDEX('ZIP Coordinates'!$D:$D,MATCH($A487,'ZIP Coordinates'!$A:$A,0))-'ZIP Coordinates'!$D$2))))),"N/A")</f>
        <v>184.6196203096971</v>
      </c>
    </row>
    <row r="488" spans="1:6" x14ac:dyDescent="0.2">
      <c r="A488" s="3" t="s">
        <v>49</v>
      </c>
      <c r="B488" s="3" t="s">
        <v>276</v>
      </c>
      <c r="C488" s="3" t="s">
        <v>275</v>
      </c>
      <c r="D488" s="3" t="s">
        <v>169</v>
      </c>
      <c r="E488" s="28">
        <f>SUMIFS('Raw Data'!$I$2:$I$878,'Raw Data'!$A$2:$A$878,$A488,'Raw Data'!$B$2:$B$878,$B488,'Raw Data'!$D$2:$D$878,$D488)</f>
        <v>33</v>
      </c>
      <c r="F488" s="5">
        <f>IFERROR(3958.8*ACOS(MIN(1,MAX(-1,SIN(RADIANS('ZIP Coordinates'!$C$2))*SIN(RADIANS(INDEX('ZIP Coordinates'!$C:$C,MATCH($A488,'ZIP Coordinates'!$A:$A,0))))+COS(RADIANS('ZIP Coordinates'!$C$2))*COS(RADIANS(INDEX('ZIP Coordinates'!$C:$C,MATCH($A488,'ZIP Coordinates'!$A:$A,0))))*COS(RADIANS(INDEX('ZIP Coordinates'!$D:$D,MATCH($A488,'ZIP Coordinates'!$A:$A,0))-'ZIP Coordinates'!$D$2))))),"N/A")</f>
        <v>184.6196203096971</v>
      </c>
    </row>
    <row r="489" spans="1:6" x14ac:dyDescent="0.2">
      <c r="A489" s="3" t="s">
        <v>50</v>
      </c>
      <c r="B489" s="3" t="s">
        <v>258</v>
      </c>
      <c r="C489" s="3" t="s">
        <v>240</v>
      </c>
      <c r="D489" s="3" t="s">
        <v>179</v>
      </c>
      <c r="E489" s="28">
        <f>SUMIFS('Raw Data'!$I$2:$I$878,'Raw Data'!$A$2:$A$878,$A489,'Raw Data'!$B$2:$B$878,$B489,'Raw Data'!$D$2:$D$878,$D489)</f>
        <v>128</v>
      </c>
      <c r="F489" s="5">
        <f>IFERROR(3958.8*ACOS(MIN(1,MAX(-1,SIN(RADIANS('ZIP Coordinates'!$C$2))*SIN(RADIANS(INDEX('ZIP Coordinates'!$C:$C,MATCH($A489,'ZIP Coordinates'!$A:$A,0))))+COS(RADIANS('ZIP Coordinates'!$C$2))*COS(RADIANS(INDEX('ZIP Coordinates'!$C:$C,MATCH($A489,'ZIP Coordinates'!$A:$A,0))))*COS(RADIANS(INDEX('ZIP Coordinates'!$D:$D,MATCH($A489,'ZIP Coordinates'!$A:$A,0))-'ZIP Coordinates'!$D$2))))),"N/A")</f>
        <v>177.75290744808345</v>
      </c>
    </row>
    <row r="490" spans="1:6" x14ac:dyDescent="0.2">
      <c r="A490" s="3" t="s">
        <v>50</v>
      </c>
      <c r="B490" s="3" t="s">
        <v>248</v>
      </c>
      <c r="C490" s="3" t="s">
        <v>249</v>
      </c>
      <c r="D490" s="3" t="s">
        <v>167</v>
      </c>
      <c r="E490" s="28">
        <f>SUMIFS('Raw Data'!$I$2:$I$878,'Raw Data'!$A$2:$A$878,$A490,'Raw Data'!$B$2:$B$878,$B490,'Raw Data'!$D$2:$D$878,$D490)</f>
        <v>480</v>
      </c>
      <c r="F490" s="5">
        <f>IFERROR(3958.8*ACOS(MIN(1,MAX(-1,SIN(RADIANS('ZIP Coordinates'!$C$2))*SIN(RADIANS(INDEX('ZIP Coordinates'!$C:$C,MATCH($A490,'ZIP Coordinates'!$A:$A,0))))+COS(RADIANS('ZIP Coordinates'!$C$2))*COS(RADIANS(INDEX('ZIP Coordinates'!$C:$C,MATCH($A490,'ZIP Coordinates'!$A:$A,0))))*COS(RADIANS(INDEX('ZIP Coordinates'!$D:$D,MATCH($A490,'ZIP Coordinates'!$A:$A,0))-'ZIP Coordinates'!$D$2))))),"N/A")</f>
        <v>177.75290744808345</v>
      </c>
    </row>
    <row r="491" spans="1:6" x14ac:dyDescent="0.2">
      <c r="A491" s="3" t="s">
        <v>50</v>
      </c>
      <c r="B491" s="3" t="s">
        <v>250</v>
      </c>
      <c r="C491" s="3" t="s">
        <v>249</v>
      </c>
      <c r="D491" s="3" t="s">
        <v>134</v>
      </c>
      <c r="E491" s="28">
        <f>SUMIFS('Raw Data'!$I$2:$I$878,'Raw Data'!$A$2:$A$878,$A491,'Raw Data'!$B$2:$B$878,$B491,'Raw Data'!$D$2:$D$878,$D491)</f>
        <v>60</v>
      </c>
      <c r="F491" s="5">
        <f>IFERROR(3958.8*ACOS(MIN(1,MAX(-1,SIN(RADIANS('ZIP Coordinates'!$C$2))*SIN(RADIANS(INDEX('ZIP Coordinates'!$C:$C,MATCH($A491,'ZIP Coordinates'!$A:$A,0))))+COS(RADIANS('ZIP Coordinates'!$C$2))*COS(RADIANS(INDEX('ZIP Coordinates'!$C:$C,MATCH($A491,'ZIP Coordinates'!$A:$A,0))))*COS(RADIANS(INDEX('ZIP Coordinates'!$D:$D,MATCH($A491,'ZIP Coordinates'!$A:$A,0))-'ZIP Coordinates'!$D$2))))),"N/A")</f>
        <v>177.75290744808345</v>
      </c>
    </row>
    <row r="492" spans="1:6" x14ac:dyDescent="0.2">
      <c r="A492" s="3" t="s">
        <v>50</v>
      </c>
      <c r="B492" s="3" t="s">
        <v>281</v>
      </c>
      <c r="C492" s="3" t="s">
        <v>252</v>
      </c>
      <c r="D492" s="3" t="s">
        <v>134</v>
      </c>
      <c r="E492" s="28">
        <f>SUMIFS('Raw Data'!$I$2:$I$878,'Raw Data'!$A$2:$A$878,$A492,'Raw Data'!$B$2:$B$878,$B492,'Raw Data'!$D$2:$D$878,$D492)</f>
        <v>240</v>
      </c>
      <c r="F492" s="5">
        <f>IFERROR(3958.8*ACOS(MIN(1,MAX(-1,SIN(RADIANS('ZIP Coordinates'!$C$2))*SIN(RADIANS(INDEX('ZIP Coordinates'!$C:$C,MATCH($A492,'ZIP Coordinates'!$A:$A,0))))+COS(RADIANS('ZIP Coordinates'!$C$2))*COS(RADIANS(INDEX('ZIP Coordinates'!$C:$C,MATCH($A492,'ZIP Coordinates'!$A:$A,0))))*COS(RADIANS(INDEX('ZIP Coordinates'!$D:$D,MATCH($A492,'ZIP Coordinates'!$A:$A,0))-'ZIP Coordinates'!$D$2))))),"N/A")</f>
        <v>177.75290744808345</v>
      </c>
    </row>
    <row r="493" spans="1:6" x14ac:dyDescent="0.2">
      <c r="A493" s="3" t="s">
        <v>50</v>
      </c>
      <c r="B493" s="3" t="s">
        <v>251</v>
      </c>
      <c r="C493" s="3" t="s">
        <v>252</v>
      </c>
      <c r="D493" s="3" t="s">
        <v>134</v>
      </c>
      <c r="E493" s="28">
        <f>SUMIFS('Raw Data'!$I$2:$I$878,'Raw Data'!$A$2:$A$878,$A493,'Raw Data'!$B$2:$B$878,$B493,'Raw Data'!$D$2:$D$878,$D493)</f>
        <v>15</v>
      </c>
      <c r="F493" s="5">
        <f>IFERROR(3958.8*ACOS(MIN(1,MAX(-1,SIN(RADIANS('ZIP Coordinates'!$C$2))*SIN(RADIANS(INDEX('ZIP Coordinates'!$C:$C,MATCH($A493,'ZIP Coordinates'!$A:$A,0))))+COS(RADIANS('ZIP Coordinates'!$C$2))*COS(RADIANS(INDEX('ZIP Coordinates'!$C:$C,MATCH($A493,'ZIP Coordinates'!$A:$A,0))))*COS(RADIANS(INDEX('ZIP Coordinates'!$D:$D,MATCH($A493,'ZIP Coordinates'!$A:$A,0))-'ZIP Coordinates'!$D$2))))),"N/A")</f>
        <v>177.75290744808345</v>
      </c>
    </row>
    <row r="494" spans="1:6" x14ac:dyDescent="0.2">
      <c r="A494" s="3" t="s">
        <v>50</v>
      </c>
      <c r="B494" s="3" t="s">
        <v>255</v>
      </c>
      <c r="C494" s="3" t="s">
        <v>256</v>
      </c>
      <c r="D494" s="3" t="s">
        <v>167</v>
      </c>
      <c r="E494" s="28">
        <f>SUMIFS('Raw Data'!$I$2:$I$878,'Raw Data'!$A$2:$A$878,$A494,'Raw Data'!$B$2:$B$878,$B494,'Raw Data'!$D$2:$D$878,$D494)</f>
        <v>680</v>
      </c>
      <c r="F494" s="5">
        <f>IFERROR(3958.8*ACOS(MIN(1,MAX(-1,SIN(RADIANS('ZIP Coordinates'!$C$2))*SIN(RADIANS(INDEX('ZIP Coordinates'!$C:$C,MATCH($A494,'ZIP Coordinates'!$A:$A,0))))+COS(RADIANS('ZIP Coordinates'!$C$2))*COS(RADIANS(INDEX('ZIP Coordinates'!$C:$C,MATCH($A494,'ZIP Coordinates'!$A:$A,0))))*COS(RADIANS(INDEX('ZIP Coordinates'!$D:$D,MATCH($A494,'ZIP Coordinates'!$A:$A,0))-'ZIP Coordinates'!$D$2))))),"N/A")</f>
        <v>177.75290744808345</v>
      </c>
    </row>
    <row r="495" spans="1:6" x14ac:dyDescent="0.2">
      <c r="A495" s="3" t="s">
        <v>50</v>
      </c>
      <c r="B495" s="3" t="s">
        <v>257</v>
      </c>
      <c r="C495" s="3" t="s">
        <v>256</v>
      </c>
      <c r="D495" s="3" t="s">
        <v>134</v>
      </c>
      <c r="E495" s="28">
        <f>SUMIFS('Raw Data'!$I$2:$I$878,'Raw Data'!$A$2:$A$878,$A495,'Raw Data'!$B$2:$B$878,$B495,'Raw Data'!$D$2:$D$878,$D495)</f>
        <v>90</v>
      </c>
      <c r="F495" s="5">
        <f>IFERROR(3958.8*ACOS(MIN(1,MAX(-1,SIN(RADIANS('ZIP Coordinates'!$C$2))*SIN(RADIANS(INDEX('ZIP Coordinates'!$C:$C,MATCH($A495,'ZIP Coordinates'!$A:$A,0))))+COS(RADIANS('ZIP Coordinates'!$C$2))*COS(RADIANS(INDEX('ZIP Coordinates'!$C:$C,MATCH($A495,'ZIP Coordinates'!$A:$A,0))))*COS(RADIANS(INDEX('ZIP Coordinates'!$D:$D,MATCH($A495,'ZIP Coordinates'!$A:$A,0))-'ZIP Coordinates'!$D$2))))),"N/A")</f>
        <v>177.75290744808345</v>
      </c>
    </row>
    <row r="496" spans="1:6" x14ac:dyDescent="0.2">
      <c r="A496" s="3" t="s">
        <v>51</v>
      </c>
      <c r="B496" s="3" t="s">
        <v>271</v>
      </c>
      <c r="C496" s="3" t="s">
        <v>244</v>
      </c>
      <c r="D496" s="3" t="s">
        <v>190</v>
      </c>
      <c r="E496" s="28">
        <f>SUMIFS('Raw Data'!$I$2:$I$878,'Raw Data'!$A$2:$A$878,$A496,'Raw Data'!$B$2:$B$878,$B496,'Raw Data'!$D$2:$D$878,$D496)</f>
        <v>144</v>
      </c>
      <c r="F496" s="5">
        <f>IFERROR(3958.8*ACOS(MIN(1,MAX(-1,SIN(RADIANS('ZIP Coordinates'!$C$2))*SIN(RADIANS(INDEX('ZIP Coordinates'!$C:$C,MATCH($A496,'ZIP Coordinates'!$A:$A,0))))+COS(RADIANS('ZIP Coordinates'!$C$2))*COS(RADIANS(INDEX('ZIP Coordinates'!$C:$C,MATCH($A496,'ZIP Coordinates'!$A:$A,0))))*COS(RADIANS(INDEX('ZIP Coordinates'!$D:$D,MATCH($A496,'ZIP Coordinates'!$A:$A,0))-'ZIP Coordinates'!$D$2))))),"N/A")</f>
        <v>172.14937957926466</v>
      </c>
    </row>
    <row r="497" spans="1:6" x14ac:dyDescent="0.2">
      <c r="A497" s="3" t="s">
        <v>52</v>
      </c>
      <c r="B497" s="3" t="s">
        <v>250</v>
      </c>
      <c r="C497" s="3" t="s">
        <v>249</v>
      </c>
      <c r="D497" s="3" t="s">
        <v>159</v>
      </c>
      <c r="E497" s="28">
        <f>SUMIFS('Raw Data'!$I$2:$I$878,'Raw Data'!$A$2:$A$878,$A497,'Raw Data'!$B$2:$B$878,$B497,'Raw Data'!$D$2:$D$878,$D497)</f>
        <v>20</v>
      </c>
      <c r="F497" s="5">
        <f>IFERROR(3958.8*ACOS(MIN(1,MAX(-1,SIN(RADIANS('ZIP Coordinates'!$C$2))*SIN(RADIANS(INDEX('ZIP Coordinates'!$C:$C,MATCH($A497,'ZIP Coordinates'!$A:$A,0))))+COS(RADIANS('ZIP Coordinates'!$C$2))*COS(RADIANS(INDEX('ZIP Coordinates'!$C:$C,MATCH($A497,'ZIP Coordinates'!$A:$A,0))))*COS(RADIANS(INDEX('ZIP Coordinates'!$D:$D,MATCH($A497,'ZIP Coordinates'!$A:$A,0))-'ZIP Coordinates'!$D$2))))),"N/A")</f>
        <v>195.93313963779019</v>
      </c>
    </row>
    <row r="498" spans="1:6" x14ac:dyDescent="0.2">
      <c r="A498" s="3" t="s">
        <v>52</v>
      </c>
      <c r="B498" s="3" t="s">
        <v>251</v>
      </c>
      <c r="C498" s="3" t="s">
        <v>252</v>
      </c>
      <c r="D498" s="3" t="s">
        <v>159</v>
      </c>
      <c r="E498" s="28">
        <f>SUMIFS('Raw Data'!$I$2:$I$878,'Raw Data'!$A$2:$A$878,$A498,'Raw Data'!$B$2:$B$878,$B498,'Raw Data'!$D$2:$D$878,$D498)</f>
        <v>27</v>
      </c>
      <c r="F498" s="5">
        <f>IFERROR(3958.8*ACOS(MIN(1,MAX(-1,SIN(RADIANS('ZIP Coordinates'!$C$2))*SIN(RADIANS(INDEX('ZIP Coordinates'!$C:$C,MATCH($A498,'ZIP Coordinates'!$A:$A,0))))+COS(RADIANS('ZIP Coordinates'!$C$2))*COS(RADIANS(INDEX('ZIP Coordinates'!$C:$C,MATCH($A498,'ZIP Coordinates'!$A:$A,0))))*COS(RADIANS(INDEX('ZIP Coordinates'!$D:$D,MATCH($A498,'ZIP Coordinates'!$A:$A,0))-'ZIP Coordinates'!$D$2))))),"N/A")</f>
        <v>195.93313963779019</v>
      </c>
    </row>
    <row r="499" spans="1:6" x14ac:dyDescent="0.2">
      <c r="A499" s="3" t="s">
        <v>52</v>
      </c>
      <c r="B499" s="3" t="s">
        <v>257</v>
      </c>
      <c r="C499" s="3" t="s">
        <v>256</v>
      </c>
      <c r="D499" s="3" t="s">
        <v>159</v>
      </c>
      <c r="E499" s="28">
        <f>SUMIFS('Raw Data'!$I$2:$I$878,'Raw Data'!$A$2:$A$878,$A499,'Raw Data'!$B$2:$B$878,$B499,'Raw Data'!$D$2:$D$878,$D499)</f>
        <v>39</v>
      </c>
      <c r="F499" s="5">
        <f>IFERROR(3958.8*ACOS(MIN(1,MAX(-1,SIN(RADIANS('ZIP Coordinates'!$C$2))*SIN(RADIANS(INDEX('ZIP Coordinates'!$C:$C,MATCH($A499,'ZIP Coordinates'!$A:$A,0))))+COS(RADIANS('ZIP Coordinates'!$C$2))*COS(RADIANS(INDEX('ZIP Coordinates'!$C:$C,MATCH($A499,'ZIP Coordinates'!$A:$A,0))))*COS(RADIANS(INDEX('ZIP Coordinates'!$D:$D,MATCH($A499,'ZIP Coordinates'!$A:$A,0))-'ZIP Coordinates'!$D$2))))),"N/A")</f>
        <v>195.93313963779019</v>
      </c>
    </row>
    <row r="500" spans="1:6" x14ac:dyDescent="0.2">
      <c r="A500" s="3" t="s">
        <v>53</v>
      </c>
      <c r="B500" s="3" t="s">
        <v>298</v>
      </c>
      <c r="C500" s="3" t="s">
        <v>283</v>
      </c>
      <c r="D500" s="3" t="s">
        <v>143</v>
      </c>
      <c r="E500" s="28">
        <f>SUMIFS('Raw Data'!$I$2:$I$878,'Raw Data'!$A$2:$A$878,$A500,'Raw Data'!$B$2:$B$878,$B500,'Raw Data'!$D$2:$D$878,$D500)</f>
        <v>128</v>
      </c>
      <c r="F500" s="5">
        <f>IFERROR(3958.8*ACOS(MIN(1,MAX(-1,SIN(RADIANS('ZIP Coordinates'!$C$2))*SIN(RADIANS(INDEX('ZIP Coordinates'!$C:$C,MATCH($A500,'ZIP Coordinates'!$A:$A,0))))+COS(RADIANS('ZIP Coordinates'!$C$2))*COS(RADIANS(INDEX('ZIP Coordinates'!$C:$C,MATCH($A500,'ZIP Coordinates'!$A:$A,0))))*COS(RADIANS(INDEX('ZIP Coordinates'!$D:$D,MATCH($A500,'ZIP Coordinates'!$A:$A,0))-'ZIP Coordinates'!$D$2))))),"N/A")</f>
        <v>162.02492213116182</v>
      </c>
    </row>
    <row r="501" spans="1:6" x14ac:dyDescent="0.2">
      <c r="A501" s="3" t="s">
        <v>54</v>
      </c>
      <c r="B501" s="3" t="s">
        <v>258</v>
      </c>
      <c r="C501" s="3" t="s">
        <v>240</v>
      </c>
      <c r="D501" s="3" t="s">
        <v>130</v>
      </c>
      <c r="E501" s="28">
        <f>SUMIFS('Raw Data'!$I$2:$I$878,'Raw Data'!$A$2:$A$878,$A501,'Raw Data'!$B$2:$B$878,$B501,'Raw Data'!$D$2:$D$878,$D501)</f>
        <v>340</v>
      </c>
      <c r="F501" s="5">
        <f>IFERROR(3958.8*ACOS(MIN(1,MAX(-1,SIN(RADIANS('ZIP Coordinates'!$C$2))*SIN(RADIANS(INDEX('ZIP Coordinates'!$C:$C,MATCH($A501,'ZIP Coordinates'!$A:$A,0))))+COS(RADIANS('ZIP Coordinates'!$C$2))*COS(RADIANS(INDEX('ZIP Coordinates'!$C:$C,MATCH($A501,'ZIP Coordinates'!$A:$A,0))))*COS(RADIANS(INDEX('ZIP Coordinates'!$D:$D,MATCH($A501,'ZIP Coordinates'!$A:$A,0))-'ZIP Coordinates'!$D$2))))),"N/A")</f>
        <v>148.74266117765734</v>
      </c>
    </row>
    <row r="502" spans="1:6" x14ac:dyDescent="0.2">
      <c r="A502" s="3" t="s">
        <v>54</v>
      </c>
      <c r="B502" s="3" t="s">
        <v>239</v>
      </c>
      <c r="C502" s="3" t="s">
        <v>240</v>
      </c>
      <c r="D502" s="3" t="s">
        <v>130</v>
      </c>
      <c r="E502" s="28">
        <f>SUMIFS('Raw Data'!$I$2:$I$878,'Raw Data'!$A$2:$A$878,$A502,'Raw Data'!$B$2:$B$878,$B502,'Raw Data'!$D$2:$D$878,$D502)</f>
        <v>3</v>
      </c>
      <c r="F502" s="5">
        <f>IFERROR(3958.8*ACOS(MIN(1,MAX(-1,SIN(RADIANS('ZIP Coordinates'!$C$2))*SIN(RADIANS(INDEX('ZIP Coordinates'!$C:$C,MATCH($A502,'ZIP Coordinates'!$A:$A,0))))+COS(RADIANS('ZIP Coordinates'!$C$2))*COS(RADIANS(INDEX('ZIP Coordinates'!$C:$C,MATCH($A502,'ZIP Coordinates'!$A:$A,0))))*COS(RADIANS(INDEX('ZIP Coordinates'!$D:$D,MATCH($A502,'ZIP Coordinates'!$A:$A,0))-'ZIP Coordinates'!$D$2))))),"N/A")</f>
        <v>148.74266117765734</v>
      </c>
    </row>
    <row r="503" spans="1:6" x14ac:dyDescent="0.2">
      <c r="A503" s="3" t="s">
        <v>54</v>
      </c>
      <c r="B503" s="3" t="s">
        <v>264</v>
      </c>
      <c r="C503" s="3" t="s">
        <v>263</v>
      </c>
      <c r="D503" s="3" t="s">
        <v>130</v>
      </c>
      <c r="E503" s="28">
        <f>SUMIFS('Raw Data'!$I$2:$I$878,'Raw Data'!$A$2:$A$878,$A503,'Raw Data'!$B$2:$B$878,$B503,'Raw Data'!$D$2:$D$878,$D503)</f>
        <v>57</v>
      </c>
      <c r="F503" s="5">
        <f>IFERROR(3958.8*ACOS(MIN(1,MAX(-1,SIN(RADIANS('ZIP Coordinates'!$C$2))*SIN(RADIANS(INDEX('ZIP Coordinates'!$C:$C,MATCH($A503,'ZIP Coordinates'!$A:$A,0))))+COS(RADIANS('ZIP Coordinates'!$C$2))*COS(RADIANS(INDEX('ZIP Coordinates'!$C:$C,MATCH($A503,'ZIP Coordinates'!$A:$A,0))))*COS(RADIANS(INDEX('ZIP Coordinates'!$D:$D,MATCH($A503,'ZIP Coordinates'!$A:$A,0))-'ZIP Coordinates'!$D$2))))),"N/A")</f>
        <v>148.74266117765734</v>
      </c>
    </row>
    <row r="504" spans="1:6" x14ac:dyDescent="0.2">
      <c r="A504" s="3" t="s">
        <v>54</v>
      </c>
      <c r="B504" s="3" t="s">
        <v>253</v>
      </c>
      <c r="C504" s="3" t="s">
        <v>254</v>
      </c>
      <c r="D504" s="3" t="s">
        <v>130</v>
      </c>
      <c r="E504" s="28">
        <f>SUMIFS('Raw Data'!$I$2:$I$878,'Raw Data'!$A$2:$A$878,$A504,'Raw Data'!$B$2:$B$878,$B504,'Raw Data'!$D$2:$D$878,$D504)</f>
        <v>11</v>
      </c>
      <c r="F504" s="5">
        <f>IFERROR(3958.8*ACOS(MIN(1,MAX(-1,SIN(RADIANS('ZIP Coordinates'!$C$2))*SIN(RADIANS(INDEX('ZIP Coordinates'!$C:$C,MATCH($A504,'ZIP Coordinates'!$A:$A,0))))+COS(RADIANS('ZIP Coordinates'!$C$2))*COS(RADIANS(INDEX('ZIP Coordinates'!$C:$C,MATCH($A504,'ZIP Coordinates'!$A:$A,0))))*COS(RADIANS(INDEX('ZIP Coordinates'!$D:$D,MATCH($A504,'ZIP Coordinates'!$A:$A,0))-'ZIP Coordinates'!$D$2))))),"N/A")</f>
        <v>148.74266117765734</v>
      </c>
    </row>
    <row r="505" spans="1:6" x14ac:dyDescent="0.2">
      <c r="A505" s="3" t="s">
        <v>54</v>
      </c>
      <c r="B505" s="3" t="s">
        <v>257</v>
      </c>
      <c r="C505" s="3" t="s">
        <v>256</v>
      </c>
      <c r="D505" s="3" t="s">
        <v>130</v>
      </c>
      <c r="E505" s="28">
        <f>SUMIFS('Raw Data'!$I$2:$I$878,'Raw Data'!$A$2:$A$878,$A505,'Raw Data'!$B$2:$B$878,$B505,'Raw Data'!$D$2:$D$878,$D505)</f>
        <v>50</v>
      </c>
      <c r="F505" s="5">
        <f>IFERROR(3958.8*ACOS(MIN(1,MAX(-1,SIN(RADIANS('ZIP Coordinates'!$C$2))*SIN(RADIANS(INDEX('ZIP Coordinates'!$C:$C,MATCH($A505,'ZIP Coordinates'!$A:$A,0))))+COS(RADIANS('ZIP Coordinates'!$C$2))*COS(RADIANS(INDEX('ZIP Coordinates'!$C:$C,MATCH($A505,'ZIP Coordinates'!$A:$A,0))))*COS(RADIANS(INDEX('ZIP Coordinates'!$D:$D,MATCH($A505,'ZIP Coordinates'!$A:$A,0))-'ZIP Coordinates'!$D$2))))),"N/A")</f>
        <v>148.74266117765734</v>
      </c>
    </row>
    <row r="506" spans="1:6" x14ac:dyDescent="0.2">
      <c r="A506" s="3" t="s">
        <v>55</v>
      </c>
      <c r="B506" s="3" t="s">
        <v>258</v>
      </c>
      <c r="C506" s="3" t="s">
        <v>240</v>
      </c>
      <c r="D506" s="3" t="s">
        <v>195</v>
      </c>
      <c r="E506" s="28">
        <f>SUMIFS('Raw Data'!$I$2:$I$878,'Raw Data'!$A$2:$A$878,$A506,'Raw Data'!$B$2:$B$878,$B506,'Raw Data'!$D$2:$D$878,$D506)</f>
        <v>36</v>
      </c>
      <c r="F506" s="5">
        <f>IFERROR(3958.8*ACOS(MIN(1,MAX(-1,SIN(RADIANS('ZIP Coordinates'!$C$2))*SIN(RADIANS(INDEX('ZIP Coordinates'!$C:$C,MATCH($A506,'ZIP Coordinates'!$A:$A,0))))+COS(RADIANS('ZIP Coordinates'!$C$2))*COS(RADIANS(INDEX('ZIP Coordinates'!$C:$C,MATCH($A506,'ZIP Coordinates'!$A:$A,0))))*COS(RADIANS(INDEX('ZIP Coordinates'!$D:$D,MATCH($A506,'ZIP Coordinates'!$A:$A,0))-'ZIP Coordinates'!$D$2))))),"N/A")</f>
        <v>151.86786425731927</v>
      </c>
    </row>
    <row r="507" spans="1:6" x14ac:dyDescent="0.2">
      <c r="A507" s="3" t="s">
        <v>55</v>
      </c>
      <c r="B507" s="3" t="s">
        <v>239</v>
      </c>
      <c r="C507" s="3" t="s">
        <v>240</v>
      </c>
      <c r="D507" s="3" t="s">
        <v>195</v>
      </c>
      <c r="E507" s="28">
        <f>SUMIFS('Raw Data'!$I$2:$I$878,'Raw Data'!$A$2:$A$878,$A507,'Raw Data'!$B$2:$B$878,$B507,'Raw Data'!$D$2:$D$878,$D507)</f>
        <v>4</v>
      </c>
      <c r="F507" s="5">
        <f>IFERROR(3958.8*ACOS(MIN(1,MAX(-1,SIN(RADIANS('ZIP Coordinates'!$C$2))*SIN(RADIANS(INDEX('ZIP Coordinates'!$C:$C,MATCH($A507,'ZIP Coordinates'!$A:$A,0))))+COS(RADIANS('ZIP Coordinates'!$C$2))*COS(RADIANS(INDEX('ZIP Coordinates'!$C:$C,MATCH($A507,'ZIP Coordinates'!$A:$A,0))))*COS(RADIANS(INDEX('ZIP Coordinates'!$D:$D,MATCH($A507,'ZIP Coordinates'!$A:$A,0))-'ZIP Coordinates'!$D$2))))),"N/A")</f>
        <v>151.86786425731927</v>
      </c>
    </row>
    <row r="508" spans="1:6" x14ac:dyDescent="0.2">
      <c r="A508" s="3" t="s">
        <v>56</v>
      </c>
      <c r="B508" s="3" t="s">
        <v>253</v>
      </c>
      <c r="C508" s="3" t="s">
        <v>254</v>
      </c>
      <c r="D508" s="3" t="s">
        <v>175</v>
      </c>
      <c r="E508" s="28">
        <f>SUMIFS('Raw Data'!$I$2:$I$878,'Raw Data'!$A$2:$A$878,$A508,'Raw Data'!$B$2:$B$878,$B508,'Raw Data'!$D$2:$D$878,$D508)</f>
        <v>34</v>
      </c>
      <c r="F508" s="5">
        <f>IFERROR(3958.8*ACOS(MIN(1,MAX(-1,SIN(RADIANS('ZIP Coordinates'!$C$2))*SIN(RADIANS(INDEX('ZIP Coordinates'!$C:$C,MATCH($A508,'ZIP Coordinates'!$A:$A,0))))+COS(RADIANS('ZIP Coordinates'!$C$2))*COS(RADIANS(INDEX('ZIP Coordinates'!$C:$C,MATCH($A508,'ZIP Coordinates'!$A:$A,0))))*COS(RADIANS(INDEX('ZIP Coordinates'!$D:$D,MATCH($A508,'ZIP Coordinates'!$A:$A,0))-'ZIP Coordinates'!$D$2))))),"N/A")</f>
        <v>175.37326227537039</v>
      </c>
    </row>
    <row r="509" spans="1:6" x14ac:dyDescent="0.2">
      <c r="A509" s="3" t="s">
        <v>57</v>
      </c>
      <c r="B509" s="3" t="s">
        <v>294</v>
      </c>
      <c r="C509" s="3" t="s">
        <v>296</v>
      </c>
      <c r="D509" s="3" t="s">
        <v>183</v>
      </c>
      <c r="E509" s="28">
        <f>SUMIFS('Raw Data'!$I$2:$I$878,'Raw Data'!$A$2:$A$878,$A509,'Raw Data'!$B$2:$B$878,$B509,'Raw Data'!$D$2:$D$878,$D509)</f>
        <v>25</v>
      </c>
      <c r="F509" s="5">
        <f>IFERROR(3958.8*ACOS(MIN(1,MAX(-1,SIN(RADIANS('ZIP Coordinates'!$C$2))*SIN(RADIANS(INDEX('ZIP Coordinates'!$C:$C,MATCH($A509,'ZIP Coordinates'!$A:$A,0))))+COS(RADIANS('ZIP Coordinates'!$C$2))*COS(RADIANS(INDEX('ZIP Coordinates'!$C:$C,MATCH($A509,'ZIP Coordinates'!$A:$A,0))))*COS(RADIANS(INDEX('ZIP Coordinates'!$D:$D,MATCH($A509,'ZIP Coordinates'!$A:$A,0))-'ZIP Coordinates'!$D$2))))),"N/A")</f>
        <v>174.1512936930711</v>
      </c>
    </row>
    <row r="510" spans="1:6" x14ac:dyDescent="0.2">
      <c r="A510" s="3" t="s">
        <v>58</v>
      </c>
      <c r="B510" s="3" t="s">
        <v>239</v>
      </c>
      <c r="C510" s="3" t="s">
        <v>240</v>
      </c>
      <c r="D510" s="3" t="s">
        <v>205</v>
      </c>
      <c r="E510" s="28">
        <f>SUMIFS('Raw Data'!$I$2:$I$878,'Raw Data'!$A$2:$A$878,$A510,'Raw Data'!$B$2:$B$878,$B510,'Raw Data'!$D$2:$D$878,$D510)</f>
        <v>7</v>
      </c>
      <c r="F510" s="5">
        <f>IFERROR(3958.8*ACOS(MIN(1,MAX(-1,SIN(RADIANS('ZIP Coordinates'!$C$2))*SIN(RADIANS(INDEX('ZIP Coordinates'!$C:$C,MATCH($A510,'ZIP Coordinates'!$A:$A,0))))+COS(RADIANS('ZIP Coordinates'!$C$2))*COS(RADIANS(INDEX('ZIP Coordinates'!$C:$C,MATCH($A510,'ZIP Coordinates'!$A:$A,0))))*COS(RADIANS(INDEX('ZIP Coordinates'!$D:$D,MATCH($A510,'ZIP Coordinates'!$A:$A,0))-'ZIP Coordinates'!$D$2))))),"N/A")</f>
        <v>172.43982522423505</v>
      </c>
    </row>
    <row r="511" spans="1:6" x14ac:dyDescent="0.2">
      <c r="A511" s="3" t="s">
        <v>59</v>
      </c>
      <c r="B511" s="3" t="s">
        <v>258</v>
      </c>
      <c r="C511" s="3" t="s">
        <v>240</v>
      </c>
      <c r="D511" s="3" t="s">
        <v>197</v>
      </c>
      <c r="E511" s="28">
        <f>SUMIFS('Raw Data'!$I$2:$I$878,'Raw Data'!$A$2:$A$878,$A511,'Raw Data'!$B$2:$B$878,$B511,'Raw Data'!$D$2:$D$878,$D511)</f>
        <v>32</v>
      </c>
      <c r="F511" s="5">
        <f>IFERROR(3958.8*ACOS(MIN(1,MAX(-1,SIN(RADIANS('ZIP Coordinates'!$C$2))*SIN(RADIANS(INDEX('ZIP Coordinates'!$C:$C,MATCH($A511,'ZIP Coordinates'!$A:$A,0))))+COS(RADIANS('ZIP Coordinates'!$C$2))*COS(RADIANS(INDEX('ZIP Coordinates'!$C:$C,MATCH($A511,'ZIP Coordinates'!$A:$A,0))))*COS(RADIANS(INDEX('ZIP Coordinates'!$D:$D,MATCH($A511,'ZIP Coordinates'!$A:$A,0))-'ZIP Coordinates'!$D$2))))),"N/A")</f>
        <v>154.5408375886781</v>
      </c>
    </row>
    <row r="512" spans="1:6" x14ac:dyDescent="0.2">
      <c r="A512" s="3" t="s">
        <v>59</v>
      </c>
      <c r="B512" s="3" t="s">
        <v>239</v>
      </c>
      <c r="C512" s="3" t="s">
        <v>240</v>
      </c>
      <c r="D512" s="3" t="s">
        <v>197</v>
      </c>
      <c r="E512" s="28">
        <f>SUMIFS('Raw Data'!$I$2:$I$878,'Raw Data'!$A$2:$A$878,$A512,'Raw Data'!$B$2:$B$878,$B512,'Raw Data'!$D$2:$D$878,$D512)</f>
        <v>4</v>
      </c>
      <c r="F512" s="5">
        <f>IFERROR(3958.8*ACOS(MIN(1,MAX(-1,SIN(RADIANS('ZIP Coordinates'!$C$2))*SIN(RADIANS(INDEX('ZIP Coordinates'!$C:$C,MATCH($A512,'ZIP Coordinates'!$A:$A,0))))+COS(RADIANS('ZIP Coordinates'!$C$2))*COS(RADIANS(INDEX('ZIP Coordinates'!$C:$C,MATCH($A512,'ZIP Coordinates'!$A:$A,0))))*COS(RADIANS(INDEX('ZIP Coordinates'!$D:$D,MATCH($A512,'ZIP Coordinates'!$A:$A,0))-'ZIP Coordinates'!$D$2))))),"N/A")</f>
        <v>154.5408375886781</v>
      </c>
    </row>
    <row r="513" spans="1:6" x14ac:dyDescent="0.2">
      <c r="A513" s="3" t="s">
        <v>60</v>
      </c>
      <c r="B513" s="3" t="s">
        <v>270</v>
      </c>
      <c r="C513" s="3" t="s">
        <v>242</v>
      </c>
      <c r="D513" s="3" t="s">
        <v>223</v>
      </c>
      <c r="E513" s="28">
        <f>SUMIFS('Raw Data'!$I$2:$I$878,'Raw Data'!$A$2:$A$878,$A513,'Raw Data'!$B$2:$B$878,$B513,'Raw Data'!$D$2:$D$878,$D513)</f>
        <v>9</v>
      </c>
      <c r="F513" s="5">
        <f>IFERROR(3958.8*ACOS(MIN(1,MAX(-1,SIN(RADIANS('ZIP Coordinates'!$C$2))*SIN(RADIANS(INDEX('ZIP Coordinates'!$C:$C,MATCH($A513,'ZIP Coordinates'!$A:$A,0))))+COS(RADIANS('ZIP Coordinates'!$C$2))*COS(RADIANS(INDEX('ZIP Coordinates'!$C:$C,MATCH($A513,'ZIP Coordinates'!$A:$A,0))))*COS(RADIANS(INDEX('ZIP Coordinates'!$D:$D,MATCH($A513,'ZIP Coordinates'!$A:$A,0))-'ZIP Coordinates'!$D$2))))),"N/A")</f>
        <v>192.69987686056965</v>
      </c>
    </row>
    <row r="514" spans="1:6" x14ac:dyDescent="0.2">
      <c r="A514" s="3" t="s">
        <v>61</v>
      </c>
      <c r="B514" s="3" t="s">
        <v>259</v>
      </c>
      <c r="C514" s="3" t="s">
        <v>260</v>
      </c>
      <c r="D514" s="3" t="s">
        <v>215</v>
      </c>
      <c r="E514" s="28">
        <f>SUMIFS('Raw Data'!$I$2:$I$878,'Raw Data'!$A$2:$A$878,$A514,'Raw Data'!$B$2:$B$878,$B514,'Raw Data'!$D$2:$D$878,$D514)</f>
        <v>4</v>
      </c>
      <c r="F514" s="5">
        <f>IFERROR(3958.8*ACOS(MIN(1,MAX(-1,SIN(RADIANS('ZIP Coordinates'!$C$2))*SIN(RADIANS(INDEX('ZIP Coordinates'!$C:$C,MATCH($A514,'ZIP Coordinates'!$A:$A,0))))+COS(RADIANS('ZIP Coordinates'!$C$2))*COS(RADIANS(INDEX('ZIP Coordinates'!$C:$C,MATCH($A514,'ZIP Coordinates'!$A:$A,0))))*COS(RADIANS(INDEX('ZIP Coordinates'!$D:$D,MATCH($A514,'ZIP Coordinates'!$A:$A,0))-'ZIP Coordinates'!$D$2))))),"N/A")</f>
        <v>131.53687522349895</v>
      </c>
    </row>
    <row r="515" spans="1:6" x14ac:dyDescent="0.2">
      <c r="A515" s="3" t="s">
        <v>61</v>
      </c>
      <c r="B515" s="3" t="s">
        <v>243</v>
      </c>
      <c r="C515" s="3" t="s">
        <v>244</v>
      </c>
      <c r="D515" s="3" t="s">
        <v>215</v>
      </c>
      <c r="E515" s="28">
        <f>SUMIFS('Raw Data'!$I$2:$I$878,'Raw Data'!$A$2:$A$878,$A515,'Raw Data'!$B$2:$B$878,$B515,'Raw Data'!$D$2:$D$878,$D515)</f>
        <v>2</v>
      </c>
      <c r="F515" s="5">
        <f>IFERROR(3958.8*ACOS(MIN(1,MAX(-1,SIN(RADIANS('ZIP Coordinates'!$C$2))*SIN(RADIANS(INDEX('ZIP Coordinates'!$C:$C,MATCH($A515,'ZIP Coordinates'!$A:$A,0))))+COS(RADIANS('ZIP Coordinates'!$C$2))*COS(RADIANS(INDEX('ZIP Coordinates'!$C:$C,MATCH($A515,'ZIP Coordinates'!$A:$A,0))))*COS(RADIANS(INDEX('ZIP Coordinates'!$D:$D,MATCH($A515,'ZIP Coordinates'!$A:$A,0))-'ZIP Coordinates'!$D$2))))),"N/A")</f>
        <v>131.53687522349895</v>
      </c>
    </row>
    <row r="516" spans="1:6" x14ac:dyDescent="0.2">
      <c r="A516" s="3" t="s">
        <v>61</v>
      </c>
      <c r="B516" s="3" t="s">
        <v>277</v>
      </c>
      <c r="C516" s="3" t="s">
        <v>278</v>
      </c>
      <c r="D516" s="3" t="s">
        <v>142</v>
      </c>
      <c r="E516" s="28">
        <f>SUMIFS('Raw Data'!$I$2:$I$878,'Raw Data'!$A$2:$A$878,$A516,'Raw Data'!$B$2:$B$878,$B516,'Raw Data'!$D$2:$D$878,$D516)</f>
        <v>12</v>
      </c>
      <c r="F516" s="5">
        <f>IFERROR(3958.8*ACOS(MIN(1,MAX(-1,SIN(RADIANS('ZIP Coordinates'!$C$2))*SIN(RADIANS(INDEX('ZIP Coordinates'!$C:$C,MATCH($A516,'ZIP Coordinates'!$A:$A,0))))+COS(RADIANS('ZIP Coordinates'!$C$2))*COS(RADIANS(INDEX('ZIP Coordinates'!$C:$C,MATCH($A516,'ZIP Coordinates'!$A:$A,0))))*COS(RADIANS(INDEX('ZIP Coordinates'!$D:$D,MATCH($A516,'ZIP Coordinates'!$A:$A,0))-'ZIP Coordinates'!$D$2))))),"N/A")</f>
        <v>131.53687522349895</v>
      </c>
    </row>
    <row r="517" spans="1:6" x14ac:dyDescent="0.2">
      <c r="A517" s="3" t="s">
        <v>61</v>
      </c>
      <c r="B517" s="3" t="s">
        <v>279</v>
      </c>
      <c r="C517" s="3" t="s">
        <v>280</v>
      </c>
      <c r="D517" s="3" t="s">
        <v>142</v>
      </c>
      <c r="E517" s="28">
        <f>SUMIFS('Raw Data'!$I$2:$I$878,'Raw Data'!$A$2:$A$878,$A517,'Raw Data'!$B$2:$B$878,$B517,'Raw Data'!$D$2:$D$878,$D517)</f>
        <v>9</v>
      </c>
      <c r="F517" s="5">
        <f>IFERROR(3958.8*ACOS(MIN(1,MAX(-1,SIN(RADIANS('ZIP Coordinates'!$C$2))*SIN(RADIANS(INDEX('ZIP Coordinates'!$C:$C,MATCH($A517,'ZIP Coordinates'!$A:$A,0))))+COS(RADIANS('ZIP Coordinates'!$C$2))*COS(RADIANS(INDEX('ZIP Coordinates'!$C:$C,MATCH($A517,'ZIP Coordinates'!$A:$A,0))))*COS(RADIANS(INDEX('ZIP Coordinates'!$D:$D,MATCH($A517,'ZIP Coordinates'!$A:$A,0))-'ZIP Coordinates'!$D$2))))),"N/A")</f>
        <v>131.53687522349895</v>
      </c>
    </row>
    <row r="518" spans="1:6" x14ac:dyDescent="0.2">
      <c r="A518" s="3" t="s">
        <v>61</v>
      </c>
      <c r="B518" s="3" t="s">
        <v>247</v>
      </c>
      <c r="C518" s="3" t="s">
        <v>246</v>
      </c>
      <c r="D518" s="3" t="s">
        <v>142</v>
      </c>
      <c r="E518" s="28">
        <f>SUMIFS('Raw Data'!$I$2:$I$878,'Raw Data'!$A$2:$A$878,$A518,'Raw Data'!$B$2:$B$878,$B518,'Raw Data'!$D$2:$D$878,$D518)</f>
        <v>9</v>
      </c>
      <c r="F518" s="5">
        <f>IFERROR(3958.8*ACOS(MIN(1,MAX(-1,SIN(RADIANS('ZIP Coordinates'!$C$2))*SIN(RADIANS(INDEX('ZIP Coordinates'!$C:$C,MATCH($A518,'ZIP Coordinates'!$A:$A,0))))+COS(RADIANS('ZIP Coordinates'!$C$2))*COS(RADIANS(INDEX('ZIP Coordinates'!$C:$C,MATCH($A518,'ZIP Coordinates'!$A:$A,0))))*COS(RADIANS(INDEX('ZIP Coordinates'!$D:$D,MATCH($A518,'ZIP Coordinates'!$A:$A,0))-'ZIP Coordinates'!$D$2))))),"N/A")</f>
        <v>131.53687522349895</v>
      </c>
    </row>
    <row r="519" spans="1:6" x14ac:dyDescent="0.2">
      <c r="A519" s="3" t="s">
        <v>61</v>
      </c>
      <c r="B519" s="3" t="s">
        <v>250</v>
      </c>
      <c r="C519" s="3" t="s">
        <v>249</v>
      </c>
      <c r="D519" s="3" t="s">
        <v>142</v>
      </c>
      <c r="E519" s="28">
        <f>SUMIFS('Raw Data'!$I$2:$I$878,'Raw Data'!$A$2:$A$878,$A519,'Raw Data'!$B$2:$B$878,$B519,'Raw Data'!$D$2:$D$878,$D519)</f>
        <v>7</v>
      </c>
      <c r="F519" s="5">
        <f>IFERROR(3958.8*ACOS(MIN(1,MAX(-1,SIN(RADIANS('ZIP Coordinates'!$C$2))*SIN(RADIANS(INDEX('ZIP Coordinates'!$C:$C,MATCH($A519,'ZIP Coordinates'!$A:$A,0))))+COS(RADIANS('ZIP Coordinates'!$C$2))*COS(RADIANS(INDEX('ZIP Coordinates'!$C:$C,MATCH($A519,'ZIP Coordinates'!$A:$A,0))))*COS(RADIANS(INDEX('ZIP Coordinates'!$D:$D,MATCH($A519,'ZIP Coordinates'!$A:$A,0))-'ZIP Coordinates'!$D$2))))),"N/A")</f>
        <v>131.53687522349895</v>
      </c>
    </row>
    <row r="520" spans="1:6" x14ac:dyDescent="0.2">
      <c r="A520" s="3" t="s">
        <v>61</v>
      </c>
      <c r="B520" s="3" t="s">
        <v>251</v>
      </c>
      <c r="C520" s="3" t="s">
        <v>252</v>
      </c>
      <c r="D520" s="3" t="s">
        <v>142</v>
      </c>
      <c r="E520" s="28">
        <f>SUMIFS('Raw Data'!$I$2:$I$878,'Raw Data'!$A$2:$A$878,$A520,'Raw Data'!$B$2:$B$878,$B520,'Raw Data'!$D$2:$D$878,$D520)</f>
        <v>13</v>
      </c>
      <c r="F520" s="5">
        <f>IFERROR(3958.8*ACOS(MIN(1,MAX(-1,SIN(RADIANS('ZIP Coordinates'!$C$2))*SIN(RADIANS(INDEX('ZIP Coordinates'!$C:$C,MATCH($A520,'ZIP Coordinates'!$A:$A,0))))+COS(RADIANS('ZIP Coordinates'!$C$2))*COS(RADIANS(INDEX('ZIP Coordinates'!$C:$C,MATCH($A520,'ZIP Coordinates'!$A:$A,0))))*COS(RADIANS(INDEX('ZIP Coordinates'!$D:$D,MATCH($A520,'ZIP Coordinates'!$A:$A,0))-'ZIP Coordinates'!$D$2))))),"N/A")</f>
        <v>131.53687522349895</v>
      </c>
    </row>
    <row r="521" spans="1:6" x14ac:dyDescent="0.2">
      <c r="A521" s="3" t="s">
        <v>61</v>
      </c>
      <c r="B521" s="3" t="s">
        <v>282</v>
      </c>
      <c r="C521" s="3" t="s">
        <v>283</v>
      </c>
      <c r="D521" s="3" t="s">
        <v>142</v>
      </c>
      <c r="E521" s="28">
        <f>SUMIFS('Raw Data'!$I$2:$I$878,'Raw Data'!$A$2:$A$878,$A521,'Raw Data'!$B$2:$B$878,$B521,'Raw Data'!$D$2:$D$878,$D521)</f>
        <v>6</v>
      </c>
      <c r="F521" s="5">
        <f>IFERROR(3958.8*ACOS(MIN(1,MAX(-1,SIN(RADIANS('ZIP Coordinates'!$C$2))*SIN(RADIANS(INDEX('ZIP Coordinates'!$C:$C,MATCH($A521,'ZIP Coordinates'!$A:$A,0))))+COS(RADIANS('ZIP Coordinates'!$C$2))*COS(RADIANS(INDEX('ZIP Coordinates'!$C:$C,MATCH($A521,'ZIP Coordinates'!$A:$A,0))))*COS(RADIANS(INDEX('ZIP Coordinates'!$D:$D,MATCH($A521,'ZIP Coordinates'!$A:$A,0))-'ZIP Coordinates'!$D$2))))),"N/A")</f>
        <v>131.53687522349895</v>
      </c>
    </row>
    <row r="522" spans="1:6" x14ac:dyDescent="0.2">
      <c r="A522" s="3" t="s">
        <v>61</v>
      </c>
      <c r="B522" s="3" t="s">
        <v>284</v>
      </c>
      <c r="C522" s="3" t="s">
        <v>285</v>
      </c>
      <c r="D522" s="3" t="s">
        <v>142</v>
      </c>
      <c r="E522" s="28">
        <f>SUMIFS('Raw Data'!$I$2:$I$878,'Raw Data'!$A$2:$A$878,$A522,'Raw Data'!$B$2:$B$878,$B522,'Raw Data'!$D$2:$D$878,$D522)</f>
        <v>4</v>
      </c>
      <c r="F522" s="5">
        <f>IFERROR(3958.8*ACOS(MIN(1,MAX(-1,SIN(RADIANS('ZIP Coordinates'!$C$2))*SIN(RADIANS(INDEX('ZIP Coordinates'!$C:$C,MATCH($A522,'ZIP Coordinates'!$A:$A,0))))+COS(RADIANS('ZIP Coordinates'!$C$2))*COS(RADIANS(INDEX('ZIP Coordinates'!$C:$C,MATCH($A522,'ZIP Coordinates'!$A:$A,0))))*COS(RADIANS(INDEX('ZIP Coordinates'!$D:$D,MATCH($A522,'ZIP Coordinates'!$A:$A,0))-'ZIP Coordinates'!$D$2))))),"N/A")</f>
        <v>131.53687522349895</v>
      </c>
    </row>
    <row r="523" spans="1:6" x14ac:dyDescent="0.2">
      <c r="A523" s="3" t="s">
        <v>61</v>
      </c>
      <c r="B523" s="3" t="s">
        <v>288</v>
      </c>
      <c r="C523" s="3" t="s">
        <v>287</v>
      </c>
      <c r="D523" s="3" t="s">
        <v>142</v>
      </c>
      <c r="E523" s="28">
        <f>SUMIFS('Raw Data'!$I$2:$I$878,'Raw Data'!$A$2:$A$878,$A523,'Raw Data'!$B$2:$B$878,$B523,'Raw Data'!$D$2:$D$878,$D523)</f>
        <v>25</v>
      </c>
      <c r="F523" s="5">
        <f>IFERROR(3958.8*ACOS(MIN(1,MAX(-1,SIN(RADIANS('ZIP Coordinates'!$C$2))*SIN(RADIANS(INDEX('ZIP Coordinates'!$C:$C,MATCH($A523,'ZIP Coordinates'!$A:$A,0))))+COS(RADIANS('ZIP Coordinates'!$C$2))*COS(RADIANS(INDEX('ZIP Coordinates'!$C:$C,MATCH($A523,'ZIP Coordinates'!$A:$A,0))))*COS(RADIANS(INDEX('ZIP Coordinates'!$D:$D,MATCH($A523,'ZIP Coordinates'!$A:$A,0))-'ZIP Coordinates'!$D$2))))),"N/A")</f>
        <v>131.53687522349895</v>
      </c>
    </row>
    <row r="524" spans="1:6" x14ac:dyDescent="0.2">
      <c r="A524" s="3" t="s">
        <v>61</v>
      </c>
      <c r="B524" s="3" t="s">
        <v>257</v>
      </c>
      <c r="C524" s="3" t="s">
        <v>256</v>
      </c>
      <c r="D524" s="3" t="s">
        <v>142</v>
      </c>
      <c r="E524" s="28">
        <f>SUMIFS('Raw Data'!$I$2:$I$878,'Raw Data'!$A$2:$A$878,$A524,'Raw Data'!$B$2:$B$878,$B524,'Raw Data'!$D$2:$D$878,$D524)</f>
        <v>45</v>
      </c>
      <c r="F524" s="5">
        <f>IFERROR(3958.8*ACOS(MIN(1,MAX(-1,SIN(RADIANS('ZIP Coordinates'!$C$2))*SIN(RADIANS(INDEX('ZIP Coordinates'!$C:$C,MATCH($A524,'ZIP Coordinates'!$A:$A,0))))+COS(RADIANS('ZIP Coordinates'!$C$2))*COS(RADIANS(INDEX('ZIP Coordinates'!$C:$C,MATCH($A524,'ZIP Coordinates'!$A:$A,0))))*COS(RADIANS(INDEX('ZIP Coordinates'!$D:$D,MATCH($A524,'ZIP Coordinates'!$A:$A,0))-'ZIP Coordinates'!$D$2))))),"N/A")</f>
        <v>131.53687522349895</v>
      </c>
    </row>
    <row r="525" spans="1:6" x14ac:dyDescent="0.2">
      <c r="A525" s="3" t="s">
        <v>62</v>
      </c>
      <c r="B525" s="3" t="s">
        <v>253</v>
      </c>
      <c r="C525" s="3" t="s">
        <v>254</v>
      </c>
      <c r="D525" s="3" t="s">
        <v>206</v>
      </c>
      <c r="E525" s="28">
        <f>SUMIFS('Raw Data'!$I$2:$I$878,'Raw Data'!$A$2:$A$878,$A525,'Raw Data'!$B$2:$B$878,$B525,'Raw Data'!$D$2:$D$878,$D525)</f>
        <v>7</v>
      </c>
      <c r="F525" s="5">
        <f>IFERROR(3958.8*ACOS(MIN(1,MAX(-1,SIN(RADIANS('ZIP Coordinates'!$C$2))*SIN(RADIANS(INDEX('ZIP Coordinates'!$C:$C,MATCH($A525,'ZIP Coordinates'!$A:$A,0))))+COS(RADIANS('ZIP Coordinates'!$C$2))*COS(RADIANS(INDEX('ZIP Coordinates'!$C:$C,MATCH($A525,'ZIP Coordinates'!$A:$A,0))))*COS(RADIANS(INDEX('ZIP Coordinates'!$D:$D,MATCH($A525,'ZIP Coordinates'!$A:$A,0))-'ZIP Coordinates'!$D$2))))),"N/A")</f>
        <v>101.19831716833082</v>
      </c>
    </row>
    <row r="526" spans="1:6" x14ac:dyDescent="0.2">
      <c r="A526" s="3" t="s">
        <v>63</v>
      </c>
      <c r="B526" s="3" t="s">
        <v>258</v>
      </c>
      <c r="C526" s="3" t="s">
        <v>240</v>
      </c>
      <c r="D526" s="3" t="s">
        <v>192</v>
      </c>
      <c r="E526" s="28">
        <f>SUMIFS('Raw Data'!$I$2:$I$878,'Raw Data'!$A$2:$A$878,$A526,'Raw Data'!$B$2:$B$878,$B526,'Raw Data'!$D$2:$D$878,$D526)</f>
        <v>56</v>
      </c>
      <c r="F526" s="5">
        <f>IFERROR(3958.8*ACOS(MIN(1,MAX(-1,SIN(RADIANS('ZIP Coordinates'!$C$2))*SIN(RADIANS(INDEX('ZIP Coordinates'!$C:$C,MATCH($A526,'ZIP Coordinates'!$A:$A,0))))+COS(RADIANS('ZIP Coordinates'!$C$2))*COS(RADIANS(INDEX('ZIP Coordinates'!$C:$C,MATCH($A526,'ZIP Coordinates'!$A:$A,0))))*COS(RADIANS(INDEX('ZIP Coordinates'!$D:$D,MATCH($A526,'ZIP Coordinates'!$A:$A,0))-'ZIP Coordinates'!$D$2))))),"N/A")</f>
        <v>100.27052265518994</v>
      </c>
    </row>
    <row r="527" spans="1:6" x14ac:dyDescent="0.2">
      <c r="A527" s="3" t="s">
        <v>64</v>
      </c>
      <c r="B527" s="3" t="s">
        <v>258</v>
      </c>
      <c r="C527" s="3" t="s">
        <v>240</v>
      </c>
      <c r="D527" s="3" t="s">
        <v>156</v>
      </c>
      <c r="E527" s="28">
        <f>SUMIFS('Raw Data'!$I$2:$I$878,'Raw Data'!$A$2:$A$878,$A527,'Raw Data'!$B$2:$B$878,$B527,'Raw Data'!$D$2:$D$878,$D527)</f>
        <v>88</v>
      </c>
      <c r="F527" s="5">
        <f>IFERROR(3958.8*ACOS(MIN(1,MAX(-1,SIN(RADIANS('ZIP Coordinates'!$C$2))*SIN(RADIANS(INDEX('ZIP Coordinates'!$C:$C,MATCH($A527,'ZIP Coordinates'!$A:$A,0))))+COS(RADIANS('ZIP Coordinates'!$C$2))*COS(RADIANS(INDEX('ZIP Coordinates'!$C:$C,MATCH($A527,'ZIP Coordinates'!$A:$A,0))))*COS(RADIANS(INDEX('ZIP Coordinates'!$D:$D,MATCH($A527,'ZIP Coordinates'!$A:$A,0))-'ZIP Coordinates'!$D$2))))),"N/A")</f>
        <v>113.08185114459924</v>
      </c>
    </row>
    <row r="528" spans="1:6" x14ac:dyDescent="0.2">
      <c r="A528" s="3" t="s">
        <v>64</v>
      </c>
      <c r="B528" s="3" t="s">
        <v>239</v>
      </c>
      <c r="C528" s="3" t="s">
        <v>240</v>
      </c>
      <c r="D528" s="3" t="s">
        <v>156</v>
      </c>
      <c r="E528" s="28">
        <f>SUMIFS('Raw Data'!$I$2:$I$878,'Raw Data'!$A$2:$A$878,$A528,'Raw Data'!$B$2:$B$878,$B528,'Raw Data'!$D$2:$D$878,$D528)</f>
        <v>48</v>
      </c>
      <c r="F528" s="5">
        <f>IFERROR(3958.8*ACOS(MIN(1,MAX(-1,SIN(RADIANS('ZIP Coordinates'!$C$2))*SIN(RADIANS(INDEX('ZIP Coordinates'!$C:$C,MATCH($A528,'ZIP Coordinates'!$A:$A,0))))+COS(RADIANS('ZIP Coordinates'!$C$2))*COS(RADIANS(INDEX('ZIP Coordinates'!$C:$C,MATCH($A528,'ZIP Coordinates'!$A:$A,0))))*COS(RADIANS(INDEX('ZIP Coordinates'!$D:$D,MATCH($A528,'ZIP Coordinates'!$A:$A,0))-'ZIP Coordinates'!$D$2))))),"N/A")</f>
        <v>113.08185114459924</v>
      </c>
    </row>
    <row r="529" spans="1:6" x14ac:dyDescent="0.2">
      <c r="A529" s="3" t="s">
        <v>64</v>
      </c>
      <c r="B529" s="3" t="s">
        <v>248</v>
      </c>
      <c r="C529" s="3" t="s">
        <v>249</v>
      </c>
      <c r="D529" s="3" t="s">
        <v>156</v>
      </c>
      <c r="E529" s="28">
        <f>SUMIFS('Raw Data'!$I$2:$I$878,'Raw Data'!$A$2:$A$878,$A529,'Raw Data'!$B$2:$B$878,$B529,'Raw Data'!$D$2:$D$878,$D529)</f>
        <v>140</v>
      </c>
      <c r="F529" s="5">
        <f>IFERROR(3958.8*ACOS(MIN(1,MAX(-1,SIN(RADIANS('ZIP Coordinates'!$C$2))*SIN(RADIANS(INDEX('ZIP Coordinates'!$C:$C,MATCH($A529,'ZIP Coordinates'!$A:$A,0))))+COS(RADIANS('ZIP Coordinates'!$C$2))*COS(RADIANS(INDEX('ZIP Coordinates'!$C:$C,MATCH($A529,'ZIP Coordinates'!$A:$A,0))))*COS(RADIANS(INDEX('ZIP Coordinates'!$D:$D,MATCH($A529,'ZIP Coordinates'!$A:$A,0))-'ZIP Coordinates'!$D$2))))),"N/A")</f>
        <v>113.08185114459924</v>
      </c>
    </row>
    <row r="530" spans="1:6" x14ac:dyDescent="0.2">
      <c r="A530" s="3" t="s">
        <v>64</v>
      </c>
      <c r="B530" s="3" t="s">
        <v>250</v>
      </c>
      <c r="C530" s="3" t="s">
        <v>249</v>
      </c>
      <c r="D530" s="3" t="s">
        <v>156</v>
      </c>
      <c r="E530" s="28">
        <f>SUMIFS('Raw Data'!$I$2:$I$878,'Raw Data'!$A$2:$A$878,$A530,'Raw Data'!$B$2:$B$878,$B530,'Raw Data'!$D$2:$D$878,$D530)</f>
        <v>1</v>
      </c>
      <c r="F530" s="5">
        <f>IFERROR(3958.8*ACOS(MIN(1,MAX(-1,SIN(RADIANS('ZIP Coordinates'!$C$2))*SIN(RADIANS(INDEX('ZIP Coordinates'!$C:$C,MATCH($A530,'ZIP Coordinates'!$A:$A,0))))+COS(RADIANS('ZIP Coordinates'!$C$2))*COS(RADIANS(INDEX('ZIP Coordinates'!$C:$C,MATCH($A530,'ZIP Coordinates'!$A:$A,0))))*COS(RADIANS(INDEX('ZIP Coordinates'!$D:$D,MATCH($A530,'ZIP Coordinates'!$A:$A,0))-'ZIP Coordinates'!$D$2))))),"N/A")</f>
        <v>113.08185114459924</v>
      </c>
    </row>
    <row r="531" spans="1:6" x14ac:dyDescent="0.2">
      <c r="A531" s="3" t="s">
        <v>64</v>
      </c>
      <c r="B531" s="3" t="s">
        <v>255</v>
      </c>
      <c r="C531" s="3" t="s">
        <v>256</v>
      </c>
      <c r="D531" s="3" t="s">
        <v>156</v>
      </c>
      <c r="E531" s="28">
        <f>SUMIFS('Raw Data'!$I$2:$I$878,'Raw Data'!$A$2:$A$878,$A531,'Raw Data'!$B$2:$B$878,$B531,'Raw Data'!$D$2:$D$878,$D531)</f>
        <v>260</v>
      </c>
      <c r="F531" s="5">
        <f>IFERROR(3958.8*ACOS(MIN(1,MAX(-1,SIN(RADIANS('ZIP Coordinates'!$C$2))*SIN(RADIANS(INDEX('ZIP Coordinates'!$C:$C,MATCH($A531,'ZIP Coordinates'!$A:$A,0))))+COS(RADIANS('ZIP Coordinates'!$C$2))*COS(RADIANS(INDEX('ZIP Coordinates'!$C:$C,MATCH($A531,'ZIP Coordinates'!$A:$A,0))))*COS(RADIANS(INDEX('ZIP Coordinates'!$D:$D,MATCH($A531,'ZIP Coordinates'!$A:$A,0))-'ZIP Coordinates'!$D$2))))),"N/A")</f>
        <v>113.08185114459924</v>
      </c>
    </row>
    <row r="532" spans="1:6" x14ac:dyDescent="0.2">
      <c r="A532" s="3" t="s">
        <v>64</v>
      </c>
      <c r="B532" s="3" t="s">
        <v>257</v>
      </c>
      <c r="C532" s="3" t="s">
        <v>256</v>
      </c>
      <c r="D532" s="3" t="s">
        <v>156</v>
      </c>
      <c r="E532" s="28">
        <f>SUMIFS('Raw Data'!$I$2:$I$878,'Raw Data'!$A$2:$A$878,$A532,'Raw Data'!$B$2:$B$878,$B532,'Raw Data'!$D$2:$D$878,$D532)</f>
        <v>2</v>
      </c>
      <c r="F532" s="5">
        <f>IFERROR(3958.8*ACOS(MIN(1,MAX(-1,SIN(RADIANS('ZIP Coordinates'!$C$2))*SIN(RADIANS(INDEX('ZIP Coordinates'!$C:$C,MATCH($A532,'ZIP Coordinates'!$A:$A,0))))+COS(RADIANS('ZIP Coordinates'!$C$2))*COS(RADIANS(INDEX('ZIP Coordinates'!$C:$C,MATCH($A532,'ZIP Coordinates'!$A:$A,0))))*COS(RADIANS(INDEX('ZIP Coordinates'!$D:$D,MATCH($A532,'ZIP Coordinates'!$A:$A,0))-'ZIP Coordinates'!$D$2))))),"N/A")</f>
        <v>113.08185114459924</v>
      </c>
    </row>
    <row r="533" spans="1:6" x14ac:dyDescent="0.2">
      <c r="A533" s="3" t="s">
        <v>65</v>
      </c>
      <c r="B533" s="3" t="s">
        <v>243</v>
      </c>
      <c r="C533" s="3" t="s">
        <v>244</v>
      </c>
      <c r="D533" s="3" t="s">
        <v>140</v>
      </c>
      <c r="E533" s="28">
        <f>SUMIFS('Raw Data'!$I$2:$I$878,'Raw Data'!$A$2:$A$878,$A533,'Raw Data'!$B$2:$B$878,$B533,'Raw Data'!$D$2:$D$878,$D533)</f>
        <v>26</v>
      </c>
      <c r="F533" s="5">
        <f>IFERROR(3958.8*ACOS(MIN(1,MAX(-1,SIN(RADIANS('ZIP Coordinates'!$C$2))*SIN(RADIANS(INDEX('ZIP Coordinates'!$C:$C,MATCH($A533,'ZIP Coordinates'!$A:$A,0))))+COS(RADIANS('ZIP Coordinates'!$C$2))*COS(RADIANS(INDEX('ZIP Coordinates'!$C:$C,MATCH($A533,'ZIP Coordinates'!$A:$A,0))))*COS(RADIANS(INDEX('ZIP Coordinates'!$D:$D,MATCH($A533,'ZIP Coordinates'!$A:$A,0))-'ZIP Coordinates'!$D$2))))),"N/A")</f>
        <v>133.74935355530641</v>
      </c>
    </row>
    <row r="534" spans="1:6" x14ac:dyDescent="0.2">
      <c r="A534" s="3" t="s">
        <v>65</v>
      </c>
      <c r="B534" s="3" t="s">
        <v>279</v>
      </c>
      <c r="C534" s="3" t="s">
        <v>280</v>
      </c>
      <c r="D534" s="3" t="s">
        <v>140</v>
      </c>
      <c r="E534" s="28">
        <f>SUMIFS('Raw Data'!$I$2:$I$878,'Raw Data'!$A$2:$A$878,$A534,'Raw Data'!$B$2:$B$878,$B534,'Raw Data'!$D$2:$D$878,$D534)</f>
        <v>4</v>
      </c>
      <c r="F534" s="5">
        <f>IFERROR(3958.8*ACOS(MIN(1,MAX(-1,SIN(RADIANS('ZIP Coordinates'!$C$2))*SIN(RADIANS(INDEX('ZIP Coordinates'!$C:$C,MATCH($A534,'ZIP Coordinates'!$A:$A,0))))+COS(RADIANS('ZIP Coordinates'!$C$2))*COS(RADIANS(INDEX('ZIP Coordinates'!$C:$C,MATCH($A534,'ZIP Coordinates'!$A:$A,0))))*COS(RADIANS(INDEX('ZIP Coordinates'!$D:$D,MATCH($A534,'ZIP Coordinates'!$A:$A,0))-'ZIP Coordinates'!$D$2))))),"N/A")</f>
        <v>133.74935355530641</v>
      </c>
    </row>
    <row r="535" spans="1:6" x14ac:dyDescent="0.2">
      <c r="A535" s="3" t="s">
        <v>65</v>
      </c>
      <c r="B535" s="3" t="s">
        <v>247</v>
      </c>
      <c r="C535" s="3" t="s">
        <v>246</v>
      </c>
      <c r="D535" s="3" t="s">
        <v>140</v>
      </c>
      <c r="E535" s="28">
        <f>SUMIFS('Raw Data'!$I$2:$I$878,'Raw Data'!$A$2:$A$878,$A535,'Raw Data'!$B$2:$B$878,$B535,'Raw Data'!$D$2:$D$878,$D535)</f>
        <v>1</v>
      </c>
      <c r="F535" s="5">
        <f>IFERROR(3958.8*ACOS(MIN(1,MAX(-1,SIN(RADIANS('ZIP Coordinates'!$C$2))*SIN(RADIANS(INDEX('ZIP Coordinates'!$C:$C,MATCH($A535,'ZIP Coordinates'!$A:$A,0))))+COS(RADIANS('ZIP Coordinates'!$C$2))*COS(RADIANS(INDEX('ZIP Coordinates'!$C:$C,MATCH($A535,'ZIP Coordinates'!$A:$A,0))))*COS(RADIANS(INDEX('ZIP Coordinates'!$D:$D,MATCH($A535,'ZIP Coordinates'!$A:$A,0))-'ZIP Coordinates'!$D$2))))),"N/A")</f>
        <v>133.74935355530641</v>
      </c>
    </row>
    <row r="536" spans="1:6" x14ac:dyDescent="0.2">
      <c r="A536" s="3" t="s">
        <v>65</v>
      </c>
      <c r="B536" s="3" t="s">
        <v>250</v>
      </c>
      <c r="C536" s="3" t="s">
        <v>249</v>
      </c>
      <c r="D536" s="3" t="s">
        <v>140</v>
      </c>
      <c r="E536" s="28">
        <f>SUMIFS('Raw Data'!$I$2:$I$878,'Raw Data'!$A$2:$A$878,$A536,'Raw Data'!$B$2:$B$878,$B536,'Raw Data'!$D$2:$D$878,$D536)</f>
        <v>21</v>
      </c>
      <c r="F536" s="5">
        <f>IFERROR(3958.8*ACOS(MIN(1,MAX(-1,SIN(RADIANS('ZIP Coordinates'!$C$2))*SIN(RADIANS(INDEX('ZIP Coordinates'!$C:$C,MATCH($A536,'ZIP Coordinates'!$A:$A,0))))+COS(RADIANS('ZIP Coordinates'!$C$2))*COS(RADIANS(INDEX('ZIP Coordinates'!$C:$C,MATCH($A536,'ZIP Coordinates'!$A:$A,0))))*COS(RADIANS(INDEX('ZIP Coordinates'!$D:$D,MATCH($A536,'ZIP Coordinates'!$A:$A,0))-'ZIP Coordinates'!$D$2))))),"N/A")</f>
        <v>133.74935355530641</v>
      </c>
    </row>
    <row r="537" spans="1:6" x14ac:dyDescent="0.2">
      <c r="A537" s="3" t="s">
        <v>65</v>
      </c>
      <c r="B537" s="3" t="s">
        <v>251</v>
      </c>
      <c r="C537" s="3" t="s">
        <v>252</v>
      </c>
      <c r="D537" s="3" t="s">
        <v>140</v>
      </c>
      <c r="E537" s="28">
        <f>SUMIFS('Raw Data'!$I$2:$I$878,'Raw Data'!$A$2:$A$878,$A537,'Raw Data'!$B$2:$B$878,$B537,'Raw Data'!$D$2:$D$878,$D537)</f>
        <v>10</v>
      </c>
      <c r="F537" s="5">
        <f>IFERROR(3958.8*ACOS(MIN(1,MAX(-1,SIN(RADIANS('ZIP Coordinates'!$C$2))*SIN(RADIANS(INDEX('ZIP Coordinates'!$C:$C,MATCH($A537,'ZIP Coordinates'!$A:$A,0))))+COS(RADIANS('ZIP Coordinates'!$C$2))*COS(RADIANS(INDEX('ZIP Coordinates'!$C:$C,MATCH($A537,'ZIP Coordinates'!$A:$A,0))))*COS(RADIANS(INDEX('ZIP Coordinates'!$D:$D,MATCH($A537,'ZIP Coordinates'!$A:$A,0))-'ZIP Coordinates'!$D$2))))),"N/A")</f>
        <v>133.74935355530641</v>
      </c>
    </row>
    <row r="538" spans="1:6" x14ac:dyDescent="0.2">
      <c r="A538" s="3" t="s">
        <v>65</v>
      </c>
      <c r="B538" s="3" t="s">
        <v>288</v>
      </c>
      <c r="C538" s="3" t="s">
        <v>287</v>
      </c>
      <c r="D538" s="3" t="s">
        <v>140</v>
      </c>
      <c r="E538" s="28">
        <f>SUMIFS('Raw Data'!$I$2:$I$878,'Raw Data'!$A$2:$A$878,$A538,'Raw Data'!$B$2:$B$878,$B538,'Raw Data'!$D$2:$D$878,$D538)</f>
        <v>28</v>
      </c>
      <c r="F538" s="5">
        <f>IFERROR(3958.8*ACOS(MIN(1,MAX(-1,SIN(RADIANS('ZIP Coordinates'!$C$2))*SIN(RADIANS(INDEX('ZIP Coordinates'!$C:$C,MATCH($A538,'ZIP Coordinates'!$A:$A,0))))+COS(RADIANS('ZIP Coordinates'!$C$2))*COS(RADIANS(INDEX('ZIP Coordinates'!$C:$C,MATCH($A538,'ZIP Coordinates'!$A:$A,0))))*COS(RADIANS(INDEX('ZIP Coordinates'!$D:$D,MATCH($A538,'ZIP Coordinates'!$A:$A,0))-'ZIP Coordinates'!$D$2))))),"N/A")</f>
        <v>133.74935355530641</v>
      </c>
    </row>
    <row r="539" spans="1:6" x14ac:dyDescent="0.2">
      <c r="A539" s="3" t="s">
        <v>65</v>
      </c>
      <c r="B539" s="3" t="s">
        <v>257</v>
      </c>
      <c r="C539" s="3" t="s">
        <v>256</v>
      </c>
      <c r="D539" s="3" t="s">
        <v>140</v>
      </c>
      <c r="E539" s="28">
        <f>SUMIFS('Raw Data'!$I$2:$I$878,'Raw Data'!$A$2:$A$878,$A539,'Raw Data'!$B$2:$B$878,$B539,'Raw Data'!$D$2:$D$878,$D539)</f>
        <v>59</v>
      </c>
      <c r="F539" s="5">
        <f>IFERROR(3958.8*ACOS(MIN(1,MAX(-1,SIN(RADIANS('ZIP Coordinates'!$C$2))*SIN(RADIANS(INDEX('ZIP Coordinates'!$C:$C,MATCH($A539,'ZIP Coordinates'!$A:$A,0))))+COS(RADIANS('ZIP Coordinates'!$C$2))*COS(RADIANS(INDEX('ZIP Coordinates'!$C:$C,MATCH($A539,'ZIP Coordinates'!$A:$A,0))))*COS(RADIANS(INDEX('ZIP Coordinates'!$D:$D,MATCH($A539,'ZIP Coordinates'!$A:$A,0))-'ZIP Coordinates'!$D$2))))),"N/A")</f>
        <v>133.74935355530641</v>
      </c>
    </row>
    <row r="540" spans="1:6" x14ac:dyDescent="0.2">
      <c r="A540" s="3" t="s">
        <v>66</v>
      </c>
      <c r="B540" s="3" t="s">
        <v>258</v>
      </c>
      <c r="C540" s="3" t="s">
        <v>240</v>
      </c>
      <c r="D540" s="3" t="s">
        <v>218</v>
      </c>
      <c r="E540" s="28">
        <f>SUMIFS('Raw Data'!$I$2:$I$878,'Raw Data'!$A$2:$A$878,$A540,'Raw Data'!$B$2:$B$878,$B540,'Raw Data'!$D$2:$D$878,$D540)</f>
        <v>8</v>
      </c>
      <c r="F540" s="5">
        <f>IFERROR(3958.8*ACOS(MIN(1,MAX(-1,SIN(RADIANS('ZIP Coordinates'!$C$2))*SIN(RADIANS(INDEX('ZIP Coordinates'!$C:$C,MATCH($A540,'ZIP Coordinates'!$A:$A,0))))+COS(RADIANS('ZIP Coordinates'!$C$2))*COS(RADIANS(INDEX('ZIP Coordinates'!$C:$C,MATCH($A540,'ZIP Coordinates'!$A:$A,0))))*COS(RADIANS(INDEX('ZIP Coordinates'!$D:$D,MATCH($A540,'ZIP Coordinates'!$A:$A,0))-'ZIP Coordinates'!$D$2))))),"N/A")</f>
        <v>79.693533145307541</v>
      </c>
    </row>
    <row r="541" spans="1:6" x14ac:dyDescent="0.2">
      <c r="A541" s="3" t="s">
        <v>66</v>
      </c>
      <c r="B541" s="3" t="s">
        <v>270</v>
      </c>
      <c r="C541" s="3" t="s">
        <v>242</v>
      </c>
      <c r="D541" s="3" t="s">
        <v>193</v>
      </c>
      <c r="E541" s="28">
        <f>SUMIFS('Raw Data'!$I$2:$I$878,'Raw Data'!$A$2:$A$878,$A541,'Raw Data'!$B$2:$B$878,$B541,'Raw Data'!$D$2:$D$878,$D541)</f>
        <v>36</v>
      </c>
      <c r="F541" s="5">
        <f>IFERROR(3958.8*ACOS(MIN(1,MAX(-1,SIN(RADIANS('ZIP Coordinates'!$C$2))*SIN(RADIANS(INDEX('ZIP Coordinates'!$C:$C,MATCH($A541,'ZIP Coordinates'!$A:$A,0))))+COS(RADIANS('ZIP Coordinates'!$C$2))*COS(RADIANS(INDEX('ZIP Coordinates'!$C:$C,MATCH($A541,'ZIP Coordinates'!$A:$A,0))))*COS(RADIANS(INDEX('ZIP Coordinates'!$D:$D,MATCH($A541,'ZIP Coordinates'!$A:$A,0))-'ZIP Coordinates'!$D$2))))),"N/A")</f>
        <v>79.693533145307541</v>
      </c>
    </row>
    <row r="542" spans="1:6" x14ac:dyDescent="0.2">
      <c r="A542" s="3" t="s">
        <v>66</v>
      </c>
      <c r="B542" s="3" t="s">
        <v>271</v>
      </c>
      <c r="C542" s="3" t="s">
        <v>244</v>
      </c>
      <c r="D542" s="3" t="s">
        <v>193</v>
      </c>
      <c r="E542" s="28">
        <f>SUMIFS('Raw Data'!$I$2:$I$878,'Raw Data'!$A$2:$A$878,$A542,'Raw Data'!$B$2:$B$878,$B542,'Raw Data'!$D$2:$D$878,$D542)</f>
        <v>90</v>
      </c>
      <c r="F542" s="5">
        <f>IFERROR(3958.8*ACOS(MIN(1,MAX(-1,SIN(RADIANS('ZIP Coordinates'!$C$2))*SIN(RADIANS(INDEX('ZIP Coordinates'!$C:$C,MATCH($A542,'ZIP Coordinates'!$A:$A,0))))+COS(RADIANS('ZIP Coordinates'!$C$2))*COS(RADIANS(INDEX('ZIP Coordinates'!$C:$C,MATCH($A542,'ZIP Coordinates'!$A:$A,0))))*COS(RADIANS(INDEX('ZIP Coordinates'!$D:$D,MATCH($A542,'ZIP Coordinates'!$A:$A,0))-'ZIP Coordinates'!$D$2))))),"N/A")</f>
        <v>79.693533145307541</v>
      </c>
    </row>
    <row r="543" spans="1:6" x14ac:dyDescent="0.2">
      <c r="A543" s="3" t="s">
        <v>67</v>
      </c>
      <c r="B543" s="3" t="s">
        <v>239</v>
      </c>
      <c r="C543" s="3" t="s">
        <v>240</v>
      </c>
      <c r="D543" s="3" t="s">
        <v>212</v>
      </c>
      <c r="E543" s="28">
        <f>SUMIFS('Raw Data'!$I$2:$I$878,'Raw Data'!$A$2:$A$878,$A543,'Raw Data'!$B$2:$B$878,$B543,'Raw Data'!$D$2:$D$878,$D543)</f>
        <v>2</v>
      </c>
      <c r="F543" s="5">
        <f>IFERROR(3958.8*ACOS(MIN(1,MAX(-1,SIN(RADIANS('ZIP Coordinates'!$C$2))*SIN(RADIANS(INDEX('ZIP Coordinates'!$C:$C,MATCH($A543,'ZIP Coordinates'!$A:$A,0))))+COS(RADIANS('ZIP Coordinates'!$C$2))*COS(RADIANS(INDEX('ZIP Coordinates'!$C:$C,MATCH($A543,'ZIP Coordinates'!$A:$A,0))))*COS(RADIANS(INDEX('ZIP Coordinates'!$D:$D,MATCH($A543,'ZIP Coordinates'!$A:$A,0))-'ZIP Coordinates'!$D$2))))),"N/A")</f>
        <v>111.07664671588832</v>
      </c>
    </row>
    <row r="544" spans="1:6" x14ac:dyDescent="0.2">
      <c r="A544" s="3" t="s">
        <v>67</v>
      </c>
      <c r="B544" s="3" t="s">
        <v>253</v>
      </c>
      <c r="C544" s="3" t="s">
        <v>254</v>
      </c>
      <c r="D544" s="3" t="s">
        <v>212</v>
      </c>
      <c r="E544" s="28">
        <f>SUMIFS('Raw Data'!$I$2:$I$878,'Raw Data'!$A$2:$A$878,$A544,'Raw Data'!$B$2:$B$878,$B544,'Raw Data'!$D$2:$D$878,$D544)</f>
        <v>2</v>
      </c>
      <c r="F544" s="5">
        <f>IFERROR(3958.8*ACOS(MIN(1,MAX(-1,SIN(RADIANS('ZIP Coordinates'!$C$2))*SIN(RADIANS(INDEX('ZIP Coordinates'!$C:$C,MATCH($A544,'ZIP Coordinates'!$A:$A,0))))+COS(RADIANS('ZIP Coordinates'!$C$2))*COS(RADIANS(INDEX('ZIP Coordinates'!$C:$C,MATCH($A544,'ZIP Coordinates'!$A:$A,0))))*COS(RADIANS(INDEX('ZIP Coordinates'!$D:$D,MATCH($A544,'ZIP Coordinates'!$A:$A,0))-'ZIP Coordinates'!$D$2))))),"N/A")</f>
        <v>111.07664671588832</v>
      </c>
    </row>
    <row r="545" spans="1:6" x14ac:dyDescent="0.2">
      <c r="A545" s="3" t="s">
        <v>68</v>
      </c>
      <c r="B545" s="3" t="s">
        <v>261</v>
      </c>
      <c r="C545" s="3" t="s">
        <v>260</v>
      </c>
      <c r="D545" s="3" t="s">
        <v>138</v>
      </c>
      <c r="E545" s="28">
        <f>SUMIFS('Raw Data'!$I$2:$I$878,'Raw Data'!$A$2:$A$878,$A545,'Raw Data'!$B$2:$B$878,$B545,'Raw Data'!$D$2:$D$878,$D545)</f>
        <v>2</v>
      </c>
      <c r="F545" s="5">
        <f>IFERROR(3958.8*ACOS(MIN(1,MAX(-1,SIN(RADIANS('ZIP Coordinates'!$C$2))*SIN(RADIANS(INDEX('ZIP Coordinates'!$C:$C,MATCH($A545,'ZIP Coordinates'!$A:$A,0))))+COS(RADIANS('ZIP Coordinates'!$C$2))*COS(RADIANS(INDEX('ZIP Coordinates'!$C:$C,MATCH($A545,'ZIP Coordinates'!$A:$A,0))))*COS(RADIANS(INDEX('ZIP Coordinates'!$D:$D,MATCH($A545,'ZIP Coordinates'!$A:$A,0))-'ZIP Coordinates'!$D$2))))),"N/A")</f>
        <v>132.56534466927377</v>
      </c>
    </row>
    <row r="546" spans="1:6" x14ac:dyDescent="0.2">
      <c r="A546" s="3" t="s">
        <v>68</v>
      </c>
      <c r="B546" s="3" t="s">
        <v>243</v>
      </c>
      <c r="C546" s="3" t="s">
        <v>244</v>
      </c>
      <c r="D546" s="3" t="s">
        <v>138</v>
      </c>
      <c r="E546" s="28">
        <f>SUMIFS('Raw Data'!$I$2:$I$878,'Raw Data'!$A$2:$A$878,$A546,'Raw Data'!$B$2:$B$878,$B546,'Raw Data'!$D$2:$D$878,$D546)</f>
        <v>44</v>
      </c>
      <c r="F546" s="5">
        <f>IFERROR(3958.8*ACOS(MIN(1,MAX(-1,SIN(RADIANS('ZIP Coordinates'!$C$2))*SIN(RADIANS(INDEX('ZIP Coordinates'!$C:$C,MATCH($A546,'ZIP Coordinates'!$A:$A,0))))+COS(RADIANS('ZIP Coordinates'!$C$2))*COS(RADIANS(INDEX('ZIP Coordinates'!$C:$C,MATCH($A546,'ZIP Coordinates'!$A:$A,0))))*COS(RADIANS(INDEX('ZIP Coordinates'!$D:$D,MATCH($A546,'ZIP Coordinates'!$A:$A,0))-'ZIP Coordinates'!$D$2))))),"N/A")</f>
        <v>132.56534466927377</v>
      </c>
    </row>
    <row r="547" spans="1:6" x14ac:dyDescent="0.2">
      <c r="A547" s="3" t="s">
        <v>68</v>
      </c>
      <c r="B547" s="3" t="s">
        <v>276</v>
      </c>
      <c r="C547" s="3" t="s">
        <v>275</v>
      </c>
      <c r="D547" s="3" t="s">
        <v>138</v>
      </c>
      <c r="E547" s="28">
        <f>SUMIFS('Raw Data'!$I$2:$I$878,'Raw Data'!$A$2:$A$878,$A547,'Raw Data'!$B$2:$B$878,$B547,'Raw Data'!$D$2:$D$878,$D547)</f>
        <v>117</v>
      </c>
      <c r="F547" s="5">
        <f>IFERROR(3958.8*ACOS(MIN(1,MAX(-1,SIN(RADIANS('ZIP Coordinates'!$C$2))*SIN(RADIANS(INDEX('ZIP Coordinates'!$C:$C,MATCH($A547,'ZIP Coordinates'!$A:$A,0))))+COS(RADIANS('ZIP Coordinates'!$C$2))*COS(RADIANS(INDEX('ZIP Coordinates'!$C:$C,MATCH($A547,'ZIP Coordinates'!$A:$A,0))))*COS(RADIANS(INDEX('ZIP Coordinates'!$D:$D,MATCH($A547,'ZIP Coordinates'!$A:$A,0))-'ZIP Coordinates'!$D$2))))),"N/A")</f>
        <v>132.56534466927377</v>
      </c>
    </row>
    <row r="548" spans="1:6" x14ac:dyDescent="0.2">
      <c r="A548" s="3" t="s">
        <v>69</v>
      </c>
      <c r="B548" s="3" t="s">
        <v>294</v>
      </c>
      <c r="C548" s="3" t="s">
        <v>295</v>
      </c>
      <c r="D548" s="3" t="s">
        <v>203</v>
      </c>
      <c r="E548" s="28">
        <f>SUMIFS('Raw Data'!$I$2:$I$878,'Raw Data'!$A$2:$A$878,$A548,'Raw Data'!$B$2:$B$878,$B548,'Raw Data'!$D$2:$D$878,$D548)</f>
        <v>8</v>
      </c>
      <c r="F548" s="5">
        <f>IFERROR(3958.8*ACOS(MIN(1,MAX(-1,SIN(RADIANS('ZIP Coordinates'!$C$2))*SIN(RADIANS(INDEX('ZIP Coordinates'!$C:$C,MATCH($A548,'ZIP Coordinates'!$A:$A,0))))+COS(RADIANS('ZIP Coordinates'!$C$2))*COS(RADIANS(INDEX('ZIP Coordinates'!$C:$C,MATCH($A548,'ZIP Coordinates'!$A:$A,0))))*COS(RADIANS(INDEX('ZIP Coordinates'!$D:$D,MATCH($A548,'ZIP Coordinates'!$A:$A,0))-'ZIP Coordinates'!$D$2))))),"N/A")</f>
        <v>163.41175188277882</v>
      </c>
    </row>
    <row r="549" spans="1:6" x14ac:dyDescent="0.2">
      <c r="A549" s="3" t="s">
        <v>69</v>
      </c>
      <c r="B549" s="3" t="s">
        <v>259</v>
      </c>
      <c r="C549" s="3" t="s">
        <v>260</v>
      </c>
      <c r="D549" s="3" t="s">
        <v>176</v>
      </c>
      <c r="E549" s="28">
        <f>SUMIFS('Raw Data'!$I$2:$I$878,'Raw Data'!$A$2:$A$878,$A549,'Raw Data'!$B$2:$B$878,$B549,'Raw Data'!$D$2:$D$878,$D549)</f>
        <v>52</v>
      </c>
      <c r="F549" s="5">
        <f>IFERROR(3958.8*ACOS(MIN(1,MAX(-1,SIN(RADIANS('ZIP Coordinates'!$C$2))*SIN(RADIANS(INDEX('ZIP Coordinates'!$C:$C,MATCH($A549,'ZIP Coordinates'!$A:$A,0))))+COS(RADIANS('ZIP Coordinates'!$C$2))*COS(RADIANS(INDEX('ZIP Coordinates'!$C:$C,MATCH($A549,'ZIP Coordinates'!$A:$A,0))))*COS(RADIANS(INDEX('ZIP Coordinates'!$D:$D,MATCH($A549,'ZIP Coordinates'!$A:$A,0))-'ZIP Coordinates'!$D$2))))),"N/A")</f>
        <v>163.41175188277882</v>
      </c>
    </row>
    <row r="550" spans="1:6" x14ac:dyDescent="0.2">
      <c r="A550" s="3" t="s">
        <v>69</v>
      </c>
      <c r="B550" s="3" t="s">
        <v>261</v>
      </c>
      <c r="C550" s="3" t="s">
        <v>260</v>
      </c>
      <c r="D550" s="3" t="s">
        <v>165</v>
      </c>
      <c r="E550" s="28">
        <f>SUMIFS('Raw Data'!$I$2:$I$878,'Raw Data'!$A$2:$A$878,$A550,'Raw Data'!$B$2:$B$878,$B550,'Raw Data'!$D$2:$D$878,$D550)</f>
        <v>61</v>
      </c>
      <c r="F550" s="5">
        <f>IFERROR(3958.8*ACOS(MIN(1,MAX(-1,SIN(RADIANS('ZIP Coordinates'!$C$2))*SIN(RADIANS(INDEX('ZIP Coordinates'!$C:$C,MATCH($A550,'ZIP Coordinates'!$A:$A,0))))+COS(RADIANS('ZIP Coordinates'!$C$2))*COS(RADIANS(INDEX('ZIP Coordinates'!$C:$C,MATCH($A550,'ZIP Coordinates'!$A:$A,0))))*COS(RADIANS(INDEX('ZIP Coordinates'!$D:$D,MATCH($A550,'ZIP Coordinates'!$A:$A,0))-'ZIP Coordinates'!$D$2))))),"N/A")</f>
        <v>163.41175188277882</v>
      </c>
    </row>
    <row r="551" spans="1:6" x14ac:dyDescent="0.2">
      <c r="A551" s="3" t="s">
        <v>69</v>
      </c>
      <c r="B551" s="3" t="s">
        <v>299</v>
      </c>
      <c r="C551" s="3" t="s">
        <v>266</v>
      </c>
      <c r="D551" s="3" t="s">
        <v>161</v>
      </c>
      <c r="E551" s="28">
        <f>SUMIFS('Raw Data'!$I$2:$I$878,'Raw Data'!$A$2:$A$878,$A551,'Raw Data'!$B$2:$B$878,$B551,'Raw Data'!$D$2:$D$878,$D551)</f>
        <v>300</v>
      </c>
      <c r="F551" s="5">
        <f>IFERROR(3958.8*ACOS(MIN(1,MAX(-1,SIN(RADIANS('ZIP Coordinates'!$C$2))*SIN(RADIANS(INDEX('ZIP Coordinates'!$C:$C,MATCH($A551,'ZIP Coordinates'!$A:$A,0))))+COS(RADIANS('ZIP Coordinates'!$C$2))*COS(RADIANS(INDEX('ZIP Coordinates'!$C:$C,MATCH($A551,'ZIP Coordinates'!$A:$A,0))))*COS(RADIANS(INDEX('ZIP Coordinates'!$D:$D,MATCH($A551,'ZIP Coordinates'!$A:$A,0))-'ZIP Coordinates'!$D$2))))),"N/A")</f>
        <v>163.41175188277882</v>
      </c>
    </row>
    <row r="552" spans="1:6" x14ac:dyDescent="0.2">
      <c r="A552" s="3" t="s">
        <v>69</v>
      </c>
      <c r="B552" s="3" t="s">
        <v>265</v>
      </c>
      <c r="C552" s="3" t="s">
        <v>266</v>
      </c>
      <c r="D552" s="3" t="s">
        <v>161</v>
      </c>
      <c r="E552" s="28">
        <f>SUMIFS('Raw Data'!$I$2:$I$878,'Raw Data'!$A$2:$A$878,$A552,'Raw Data'!$B$2:$B$878,$B552,'Raw Data'!$D$2:$D$878,$D552)</f>
        <v>-6</v>
      </c>
      <c r="F552" s="5">
        <f>IFERROR(3958.8*ACOS(MIN(1,MAX(-1,SIN(RADIANS('ZIP Coordinates'!$C$2))*SIN(RADIANS(INDEX('ZIP Coordinates'!$C:$C,MATCH($A552,'ZIP Coordinates'!$A:$A,0))))+COS(RADIANS('ZIP Coordinates'!$C$2))*COS(RADIANS(INDEX('ZIP Coordinates'!$C:$C,MATCH($A552,'ZIP Coordinates'!$A:$A,0))))*COS(RADIANS(INDEX('ZIP Coordinates'!$D:$D,MATCH($A552,'ZIP Coordinates'!$A:$A,0))-'ZIP Coordinates'!$D$2))))),"N/A")</f>
        <v>163.41175188277882</v>
      </c>
    </row>
    <row r="553" spans="1:6" x14ac:dyDescent="0.2">
      <c r="A553" s="3" t="s">
        <v>69</v>
      </c>
      <c r="B553" s="3" t="s">
        <v>267</v>
      </c>
      <c r="C553" s="3" t="s">
        <v>268</v>
      </c>
      <c r="D553" s="3" t="s">
        <v>161</v>
      </c>
      <c r="E553" s="28">
        <f>SUMIFS('Raw Data'!$I$2:$I$878,'Raw Data'!$A$2:$A$878,$A553,'Raw Data'!$B$2:$B$878,$B553,'Raw Data'!$D$2:$D$878,$D553)</f>
        <v>12</v>
      </c>
      <c r="F553" s="5">
        <f>IFERROR(3958.8*ACOS(MIN(1,MAX(-1,SIN(RADIANS('ZIP Coordinates'!$C$2))*SIN(RADIANS(INDEX('ZIP Coordinates'!$C:$C,MATCH($A553,'ZIP Coordinates'!$A:$A,0))))+COS(RADIANS('ZIP Coordinates'!$C$2))*COS(RADIANS(INDEX('ZIP Coordinates'!$C:$C,MATCH($A553,'ZIP Coordinates'!$A:$A,0))))*COS(RADIANS(INDEX('ZIP Coordinates'!$D:$D,MATCH($A553,'ZIP Coordinates'!$A:$A,0))-'ZIP Coordinates'!$D$2))))),"N/A")</f>
        <v>163.41175188277882</v>
      </c>
    </row>
    <row r="554" spans="1:6" x14ac:dyDescent="0.2">
      <c r="A554" s="3" t="s">
        <v>69</v>
      </c>
      <c r="B554" s="3" t="s">
        <v>269</v>
      </c>
      <c r="C554" s="3" t="s">
        <v>268</v>
      </c>
      <c r="D554" s="3" t="s">
        <v>176</v>
      </c>
      <c r="E554" s="28">
        <f>SUMIFS('Raw Data'!$I$2:$I$878,'Raw Data'!$A$2:$A$878,$A554,'Raw Data'!$B$2:$B$878,$B554,'Raw Data'!$D$2:$D$878,$D554)</f>
        <v>21</v>
      </c>
      <c r="F554" s="5">
        <f>IFERROR(3958.8*ACOS(MIN(1,MAX(-1,SIN(RADIANS('ZIP Coordinates'!$C$2))*SIN(RADIANS(INDEX('ZIP Coordinates'!$C:$C,MATCH($A554,'ZIP Coordinates'!$A:$A,0))))+COS(RADIANS('ZIP Coordinates'!$C$2))*COS(RADIANS(INDEX('ZIP Coordinates'!$C:$C,MATCH($A554,'ZIP Coordinates'!$A:$A,0))))*COS(RADIANS(INDEX('ZIP Coordinates'!$D:$D,MATCH($A554,'ZIP Coordinates'!$A:$A,0))-'ZIP Coordinates'!$D$2))))),"N/A")</f>
        <v>163.41175188277882</v>
      </c>
    </row>
    <row r="555" spans="1:6" x14ac:dyDescent="0.2">
      <c r="A555" s="3" t="s">
        <v>69</v>
      </c>
      <c r="B555" s="3" t="s">
        <v>241</v>
      </c>
      <c r="C555" s="3" t="s">
        <v>242</v>
      </c>
      <c r="D555" s="3" t="s">
        <v>161</v>
      </c>
      <c r="E555" s="28">
        <f>SUMIFS('Raw Data'!$I$2:$I$878,'Raw Data'!$A$2:$A$878,$A555,'Raw Data'!$B$2:$B$878,$B555,'Raw Data'!$D$2:$D$878,$D555)</f>
        <v>4</v>
      </c>
      <c r="F555" s="5">
        <f>IFERROR(3958.8*ACOS(MIN(1,MAX(-1,SIN(RADIANS('ZIP Coordinates'!$C$2))*SIN(RADIANS(INDEX('ZIP Coordinates'!$C:$C,MATCH($A555,'ZIP Coordinates'!$A:$A,0))))+COS(RADIANS('ZIP Coordinates'!$C$2))*COS(RADIANS(INDEX('ZIP Coordinates'!$C:$C,MATCH($A555,'ZIP Coordinates'!$A:$A,0))))*COS(RADIANS(INDEX('ZIP Coordinates'!$D:$D,MATCH($A555,'ZIP Coordinates'!$A:$A,0))-'ZIP Coordinates'!$D$2))))),"N/A")</f>
        <v>163.41175188277882</v>
      </c>
    </row>
    <row r="556" spans="1:6" x14ac:dyDescent="0.2">
      <c r="A556" s="3" t="s">
        <v>69</v>
      </c>
      <c r="B556" s="3" t="s">
        <v>274</v>
      </c>
      <c r="C556" s="3" t="s">
        <v>275</v>
      </c>
      <c r="D556" s="3" t="s">
        <v>137</v>
      </c>
      <c r="E556" s="28">
        <f>SUMIFS('Raw Data'!$I$2:$I$878,'Raw Data'!$A$2:$A$878,$A556,'Raw Data'!$B$2:$B$878,$B556,'Raw Data'!$D$2:$D$878,$D556)</f>
        <v>90</v>
      </c>
      <c r="F556" s="5">
        <f>IFERROR(3958.8*ACOS(MIN(1,MAX(-1,SIN(RADIANS('ZIP Coordinates'!$C$2))*SIN(RADIANS(INDEX('ZIP Coordinates'!$C:$C,MATCH($A556,'ZIP Coordinates'!$A:$A,0))))+COS(RADIANS('ZIP Coordinates'!$C$2))*COS(RADIANS(INDEX('ZIP Coordinates'!$C:$C,MATCH($A556,'ZIP Coordinates'!$A:$A,0))))*COS(RADIANS(INDEX('ZIP Coordinates'!$D:$D,MATCH($A556,'ZIP Coordinates'!$A:$A,0))-'ZIP Coordinates'!$D$2))))),"N/A")</f>
        <v>163.41175188277882</v>
      </c>
    </row>
    <row r="557" spans="1:6" x14ac:dyDescent="0.2">
      <c r="A557" s="3" t="s">
        <v>69</v>
      </c>
      <c r="B557" s="3" t="s">
        <v>276</v>
      </c>
      <c r="C557" s="3" t="s">
        <v>275</v>
      </c>
      <c r="D557" s="3" t="s">
        <v>162</v>
      </c>
      <c r="E557" s="28">
        <f>SUMIFS('Raw Data'!$I$2:$I$878,'Raw Data'!$A$2:$A$878,$A557,'Raw Data'!$B$2:$B$878,$B557,'Raw Data'!$D$2:$D$878,$D557)</f>
        <v>5</v>
      </c>
      <c r="F557" s="5">
        <f>IFERROR(3958.8*ACOS(MIN(1,MAX(-1,SIN(RADIANS('ZIP Coordinates'!$C$2))*SIN(RADIANS(INDEX('ZIP Coordinates'!$C:$C,MATCH($A557,'ZIP Coordinates'!$A:$A,0))))+COS(RADIANS('ZIP Coordinates'!$C$2))*COS(RADIANS(INDEX('ZIP Coordinates'!$C:$C,MATCH($A557,'ZIP Coordinates'!$A:$A,0))))*COS(RADIANS(INDEX('ZIP Coordinates'!$D:$D,MATCH($A557,'ZIP Coordinates'!$A:$A,0))-'ZIP Coordinates'!$D$2))))),"N/A")</f>
        <v>163.41175188277882</v>
      </c>
    </row>
    <row r="558" spans="1:6" x14ac:dyDescent="0.2">
      <c r="A558" s="3" t="s">
        <v>69</v>
      </c>
      <c r="B558" s="3" t="s">
        <v>248</v>
      </c>
      <c r="C558" s="3" t="s">
        <v>249</v>
      </c>
      <c r="D558" s="3" t="s">
        <v>162</v>
      </c>
      <c r="E558" s="28">
        <f>SUMIFS('Raw Data'!$I$2:$I$878,'Raw Data'!$A$2:$A$878,$A558,'Raw Data'!$B$2:$B$878,$B558,'Raw Data'!$D$2:$D$878,$D558)</f>
        <v>540</v>
      </c>
      <c r="F558" s="5">
        <f>IFERROR(3958.8*ACOS(MIN(1,MAX(-1,SIN(RADIANS('ZIP Coordinates'!$C$2))*SIN(RADIANS(INDEX('ZIP Coordinates'!$C:$C,MATCH($A558,'ZIP Coordinates'!$A:$A,0))))+COS(RADIANS('ZIP Coordinates'!$C$2))*COS(RADIANS(INDEX('ZIP Coordinates'!$C:$C,MATCH($A558,'ZIP Coordinates'!$A:$A,0))))*COS(RADIANS(INDEX('ZIP Coordinates'!$D:$D,MATCH($A558,'ZIP Coordinates'!$A:$A,0))-'ZIP Coordinates'!$D$2))))),"N/A")</f>
        <v>163.41175188277882</v>
      </c>
    </row>
    <row r="559" spans="1:6" x14ac:dyDescent="0.2">
      <c r="A559" s="3" t="s">
        <v>69</v>
      </c>
      <c r="B559" s="3" t="s">
        <v>250</v>
      </c>
      <c r="C559" s="3" t="s">
        <v>249</v>
      </c>
      <c r="D559" s="3" t="s">
        <v>137</v>
      </c>
      <c r="E559" s="28">
        <f>SUMIFS('Raw Data'!$I$2:$I$878,'Raw Data'!$A$2:$A$878,$A559,'Raw Data'!$B$2:$B$878,$B559,'Raw Data'!$D$2:$D$878,$D559)</f>
        <v>8</v>
      </c>
      <c r="F559" s="5">
        <f>IFERROR(3958.8*ACOS(MIN(1,MAX(-1,SIN(RADIANS('ZIP Coordinates'!$C$2))*SIN(RADIANS(INDEX('ZIP Coordinates'!$C:$C,MATCH($A559,'ZIP Coordinates'!$A:$A,0))))+COS(RADIANS('ZIP Coordinates'!$C$2))*COS(RADIANS(INDEX('ZIP Coordinates'!$C:$C,MATCH($A559,'ZIP Coordinates'!$A:$A,0))))*COS(RADIANS(INDEX('ZIP Coordinates'!$D:$D,MATCH($A559,'ZIP Coordinates'!$A:$A,0))-'ZIP Coordinates'!$D$2))))),"N/A")</f>
        <v>163.41175188277882</v>
      </c>
    </row>
    <row r="560" spans="1:6" x14ac:dyDescent="0.2">
      <c r="A560" s="3" t="s">
        <v>69</v>
      </c>
      <c r="B560" s="3" t="s">
        <v>281</v>
      </c>
      <c r="C560" s="3" t="s">
        <v>252</v>
      </c>
      <c r="D560" s="3" t="s">
        <v>137</v>
      </c>
      <c r="E560" s="28">
        <f>SUMIFS('Raw Data'!$I$2:$I$878,'Raw Data'!$A$2:$A$878,$A560,'Raw Data'!$B$2:$B$878,$B560,'Raw Data'!$D$2:$D$878,$D560)</f>
        <v>380</v>
      </c>
      <c r="F560" s="5">
        <f>IFERROR(3958.8*ACOS(MIN(1,MAX(-1,SIN(RADIANS('ZIP Coordinates'!$C$2))*SIN(RADIANS(INDEX('ZIP Coordinates'!$C:$C,MATCH($A560,'ZIP Coordinates'!$A:$A,0))))+COS(RADIANS('ZIP Coordinates'!$C$2))*COS(RADIANS(INDEX('ZIP Coordinates'!$C:$C,MATCH($A560,'ZIP Coordinates'!$A:$A,0))))*COS(RADIANS(INDEX('ZIP Coordinates'!$D:$D,MATCH($A560,'ZIP Coordinates'!$A:$A,0))-'ZIP Coordinates'!$D$2))))),"N/A")</f>
        <v>163.41175188277882</v>
      </c>
    </row>
    <row r="561" spans="1:6" x14ac:dyDescent="0.2">
      <c r="A561" s="3" t="s">
        <v>69</v>
      </c>
      <c r="B561" s="3" t="s">
        <v>251</v>
      </c>
      <c r="C561" s="3" t="s">
        <v>252</v>
      </c>
      <c r="D561" s="3" t="s">
        <v>162</v>
      </c>
      <c r="E561" s="28">
        <f>SUMIFS('Raw Data'!$I$2:$I$878,'Raw Data'!$A$2:$A$878,$A561,'Raw Data'!$B$2:$B$878,$B561,'Raw Data'!$D$2:$D$878,$D561)</f>
        <v>40</v>
      </c>
      <c r="F561" s="5">
        <f>IFERROR(3958.8*ACOS(MIN(1,MAX(-1,SIN(RADIANS('ZIP Coordinates'!$C$2))*SIN(RADIANS(INDEX('ZIP Coordinates'!$C:$C,MATCH($A561,'ZIP Coordinates'!$A:$A,0))))+COS(RADIANS('ZIP Coordinates'!$C$2))*COS(RADIANS(INDEX('ZIP Coordinates'!$C:$C,MATCH($A561,'ZIP Coordinates'!$A:$A,0))))*COS(RADIANS(INDEX('ZIP Coordinates'!$D:$D,MATCH($A561,'ZIP Coordinates'!$A:$A,0))-'ZIP Coordinates'!$D$2))))),"N/A")</f>
        <v>163.41175188277882</v>
      </c>
    </row>
    <row r="562" spans="1:6" x14ac:dyDescent="0.2">
      <c r="A562" s="3" t="s">
        <v>69</v>
      </c>
      <c r="B562" s="3" t="s">
        <v>284</v>
      </c>
      <c r="C562" s="3" t="s">
        <v>285</v>
      </c>
      <c r="D562" s="3" t="s">
        <v>162</v>
      </c>
      <c r="E562" s="28">
        <f>SUMIFS('Raw Data'!$I$2:$I$878,'Raw Data'!$A$2:$A$878,$A562,'Raw Data'!$B$2:$B$878,$B562,'Raw Data'!$D$2:$D$878,$D562)</f>
        <v>2</v>
      </c>
      <c r="F562" s="5">
        <f>IFERROR(3958.8*ACOS(MIN(1,MAX(-1,SIN(RADIANS('ZIP Coordinates'!$C$2))*SIN(RADIANS(INDEX('ZIP Coordinates'!$C:$C,MATCH($A562,'ZIP Coordinates'!$A:$A,0))))+COS(RADIANS('ZIP Coordinates'!$C$2))*COS(RADIANS(INDEX('ZIP Coordinates'!$C:$C,MATCH($A562,'ZIP Coordinates'!$A:$A,0))))*COS(RADIANS(INDEX('ZIP Coordinates'!$D:$D,MATCH($A562,'ZIP Coordinates'!$A:$A,0))-'ZIP Coordinates'!$D$2))))),"N/A")</f>
        <v>163.41175188277882</v>
      </c>
    </row>
    <row r="563" spans="1:6" x14ac:dyDescent="0.2">
      <c r="A563" s="3" t="s">
        <v>69</v>
      </c>
      <c r="B563" s="3" t="s">
        <v>255</v>
      </c>
      <c r="C563" s="3" t="s">
        <v>256</v>
      </c>
      <c r="D563" s="3" t="s">
        <v>137</v>
      </c>
      <c r="E563" s="28">
        <f>SUMIFS('Raw Data'!$I$2:$I$878,'Raw Data'!$A$2:$A$878,$A563,'Raw Data'!$B$2:$B$878,$B563,'Raw Data'!$D$2:$D$878,$D563)</f>
        <v>2600</v>
      </c>
      <c r="F563" s="5">
        <f>IFERROR(3958.8*ACOS(MIN(1,MAX(-1,SIN(RADIANS('ZIP Coordinates'!$C$2))*SIN(RADIANS(INDEX('ZIP Coordinates'!$C:$C,MATCH($A563,'ZIP Coordinates'!$A:$A,0))))+COS(RADIANS('ZIP Coordinates'!$C$2))*COS(RADIANS(INDEX('ZIP Coordinates'!$C:$C,MATCH($A563,'ZIP Coordinates'!$A:$A,0))))*COS(RADIANS(INDEX('ZIP Coordinates'!$D:$D,MATCH($A563,'ZIP Coordinates'!$A:$A,0))-'ZIP Coordinates'!$D$2))))),"N/A")</f>
        <v>163.41175188277882</v>
      </c>
    </row>
    <row r="564" spans="1:6" x14ac:dyDescent="0.2">
      <c r="A564" s="3" t="s">
        <v>70</v>
      </c>
      <c r="B564" s="3" t="s">
        <v>258</v>
      </c>
      <c r="C564" s="3" t="s">
        <v>240</v>
      </c>
      <c r="D564" s="3" t="s">
        <v>181</v>
      </c>
      <c r="E564" s="28">
        <f>SUMIFS('Raw Data'!$I$2:$I$878,'Raw Data'!$A$2:$A$878,$A564,'Raw Data'!$B$2:$B$878,$B564,'Raw Data'!$D$2:$D$878,$D564)</f>
        <v>56</v>
      </c>
      <c r="F564" s="5">
        <f>IFERROR(3958.8*ACOS(MIN(1,MAX(-1,SIN(RADIANS('ZIP Coordinates'!$C$2))*SIN(RADIANS(INDEX('ZIP Coordinates'!$C:$C,MATCH($A564,'ZIP Coordinates'!$A:$A,0))))+COS(RADIANS('ZIP Coordinates'!$C$2))*COS(RADIANS(INDEX('ZIP Coordinates'!$C:$C,MATCH($A564,'ZIP Coordinates'!$A:$A,0))))*COS(RADIANS(INDEX('ZIP Coordinates'!$D:$D,MATCH($A564,'ZIP Coordinates'!$A:$A,0))-'ZIP Coordinates'!$D$2))))),"N/A")</f>
        <v>146.32544314254309</v>
      </c>
    </row>
    <row r="565" spans="1:6" x14ac:dyDescent="0.2">
      <c r="A565" s="3" t="s">
        <v>70</v>
      </c>
      <c r="B565" s="3" t="s">
        <v>267</v>
      </c>
      <c r="C565" s="3" t="s">
        <v>268</v>
      </c>
      <c r="D565" s="3" t="s">
        <v>181</v>
      </c>
      <c r="E565" s="28">
        <f>SUMIFS('Raw Data'!$I$2:$I$878,'Raw Data'!$A$2:$A$878,$A565,'Raw Data'!$B$2:$B$878,$B565,'Raw Data'!$D$2:$D$878,$D565)</f>
        <v>60</v>
      </c>
      <c r="F565" s="5">
        <f>IFERROR(3958.8*ACOS(MIN(1,MAX(-1,SIN(RADIANS('ZIP Coordinates'!$C$2))*SIN(RADIANS(INDEX('ZIP Coordinates'!$C:$C,MATCH($A565,'ZIP Coordinates'!$A:$A,0))))+COS(RADIANS('ZIP Coordinates'!$C$2))*COS(RADIANS(INDEX('ZIP Coordinates'!$C:$C,MATCH($A565,'ZIP Coordinates'!$A:$A,0))))*COS(RADIANS(INDEX('ZIP Coordinates'!$D:$D,MATCH($A565,'ZIP Coordinates'!$A:$A,0))-'ZIP Coordinates'!$D$2))))),"N/A")</f>
        <v>146.32544314254309</v>
      </c>
    </row>
    <row r="566" spans="1:6" x14ac:dyDescent="0.2">
      <c r="A566" s="3" t="s">
        <v>71</v>
      </c>
      <c r="B566" s="3" t="s">
        <v>258</v>
      </c>
      <c r="C566" s="3" t="s">
        <v>240</v>
      </c>
      <c r="D566" s="3" t="s">
        <v>124</v>
      </c>
      <c r="E566" s="28">
        <f>SUMIFS('Raw Data'!$I$2:$I$878,'Raw Data'!$A$2:$A$878,$A566,'Raw Data'!$B$2:$B$878,$B566,'Raw Data'!$D$2:$D$878,$D566)</f>
        <v>76</v>
      </c>
      <c r="F566" s="5">
        <f>IFERROR(3958.8*ACOS(MIN(1,MAX(-1,SIN(RADIANS('ZIP Coordinates'!$C$2))*SIN(RADIANS(INDEX('ZIP Coordinates'!$C:$C,MATCH($A566,'ZIP Coordinates'!$A:$A,0))))+COS(RADIANS('ZIP Coordinates'!$C$2))*COS(RADIANS(INDEX('ZIP Coordinates'!$C:$C,MATCH($A566,'ZIP Coordinates'!$A:$A,0))))*COS(RADIANS(INDEX('ZIP Coordinates'!$D:$D,MATCH($A566,'ZIP Coordinates'!$A:$A,0))-'ZIP Coordinates'!$D$2))))),"N/A")</f>
        <v>150.27844379053917</v>
      </c>
    </row>
    <row r="567" spans="1:6" x14ac:dyDescent="0.2">
      <c r="A567" s="3" t="s">
        <v>71</v>
      </c>
      <c r="B567" s="3" t="s">
        <v>239</v>
      </c>
      <c r="C567" s="3" t="s">
        <v>240</v>
      </c>
      <c r="D567" s="3" t="s">
        <v>177</v>
      </c>
      <c r="E567" s="28">
        <f>SUMIFS('Raw Data'!$I$2:$I$878,'Raw Data'!$A$2:$A$878,$A567,'Raw Data'!$B$2:$B$878,$B567,'Raw Data'!$D$2:$D$878,$D567)</f>
        <v>14</v>
      </c>
      <c r="F567" s="5">
        <f>IFERROR(3958.8*ACOS(MIN(1,MAX(-1,SIN(RADIANS('ZIP Coordinates'!$C$2))*SIN(RADIANS(INDEX('ZIP Coordinates'!$C:$C,MATCH($A567,'ZIP Coordinates'!$A:$A,0))))+COS(RADIANS('ZIP Coordinates'!$C$2))*COS(RADIANS(INDEX('ZIP Coordinates'!$C:$C,MATCH($A567,'ZIP Coordinates'!$A:$A,0))))*COS(RADIANS(INDEX('ZIP Coordinates'!$D:$D,MATCH($A567,'ZIP Coordinates'!$A:$A,0))-'ZIP Coordinates'!$D$2))))),"N/A")</f>
        <v>150.27844379053917</v>
      </c>
    </row>
    <row r="568" spans="1:6" x14ac:dyDescent="0.2">
      <c r="A568" s="3" t="s">
        <v>71</v>
      </c>
      <c r="B568" s="3" t="s">
        <v>259</v>
      </c>
      <c r="C568" s="3" t="s">
        <v>260</v>
      </c>
      <c r="D568" s="3" t="s">
        <v>124</v>
      </c>
      <c r="E568" s="28">
        <f>SUMIFS('Raw Data'!$I$2:$I$878,'Raw Data'!$A$2:$A$878,$A568,'Raw Data'!$B$2:$B$878,$B568,'Raw Data'!$D$2:$D$878,$D568)</f>
        <v>68</v>
      </c>
      <c r="F568" s="5">
        <f>IFERROR(3958.8*ACOS(MIN(1,MAX(-1,SIN(RADIANS('ZIP Coordinates'!$C$2))*SIN(RADIANS(INDEX('ZIP Coordinates'!$C:$C,MATCH($A568,'ZIP Coordinates'!$A:$A,0))))+COS(RADIANS('ZIP Coordinates'!$C$2))*COS(RADIANS(INDEX('ZIP Coordinates'!$C:$C,MATCH($A568,'ZIP Coordinates'!$A:$A,0))))*COS(RADIANS(INDEX('ZIP Coordinates'!$D:$D,MATCH($A568,'ZIP Coordinates'!$A:$A,0))-'ZIP Coordinates'!$D$2))))),"N/A")</f>
        <v>150.27844379053917</v>
      </c>
    </row>
    <row r="569" spans="1:6" x14ac:dyDescent="0.2">
      <c r="A569" s="3" t="s">
        <v>71</v>
      </c>
      <c r="B569" s="3" t="s">
        <v>261</v>
      </c>
      <c r="C569" s="3" t="s">
        <v>260</v>
      </c>
      <c r="D569" s="3" t="s">
        <v>177</v>
      </c>
      <c r="E569" s="28">
        <f>SUMIFS('Raw Data'!$I$2:$I$878,'Raw Data'!$A$2:$A$878,$A569,'Raw Data'!$B$2:$B$878,$B569,'Raw Data'!$D$2:$D$878,$D569)</f>
        <v>20</v>
      </c>
      <c r="F569" s="5">
        <f>IFERROR(3958.8*ACOS(MIN(1,MAX(-1,SIN(RADIANS('ZIP Coordinates'!$C$2))*SIN(RADIANS(INDEX('ZIP Coordinates'!$C:$C,MATCH($A569,'ZIP Coordinates'!$A:$A,0))))+COS(RADIANS('ZIP Coordinates'!$C$2))*COS(RADIANS(INDEX('ZIP Coordinates'!$C:$C,MATCH($A569,'ZIP Coordinates'!$A:$A,0))))*COS(RADIANS(INDEX('ZIP Coordinates'!$D:$D,MATCH($A569,'ZIP Coordinates'!$A:$A,0))-'ZIP Coordinates'!$D$2))))),"N/A")</f>
        <v>150.27844379053917</v>
      </c>
    </row>
    <row r="570" spans="1:6" x14ac:dyDescent="0.2">
      <c r="A570" s="3" t="s">
        <v>71</v>
      </c>
      <c r="B570" s="3" t="s">
        <v>269</v>
      </c>
      <c r="C570" s="3" t="s">
        <v>268</v>
      </c>
      <c r="D570" s="3" t="s">
        <v>101</v>
      </c>
      <c r="E570" s="28">
        <f>SUMIFS('Raw Data'!$I$2:$I$878,'Raw Data'!$A$2:$A$878,$A570,'Raw Data'!$B$2:$B$878,$B570,'Raw Data'!$D$2:$D$878,$D570)</f>
        <v>12</v>
      </c>
      <c r="F570" s="5">
        <f>IFERROR(3958.8*ACOS(MIN(1,MAX(-1,SIN(RADIANS('ZIP Coordinates'!$C$2))*SIN(RADIANS(INDEX('ZIP Coordinates'!$C:$C,MATCH($A570,'ZIP Coordinates'!$A:$A,0))))+COS(RADIANS('ZIP Coordinates'!$C$2))*COS(RADIANS(INDEX('ZIP Coordinates'!$C:$C,MATCH($A570,'ZIP Coordinates'!$A:$A,0))))*COS(RADIANS(INDEX('ZIP Coordinates'!$D:$D,MATCH($A570,'ZIP Coordinates'!$A:$A,0))-'ZIP Coordinates'!$D$2))))),"N/A")</f>
        <v>150.27844379053917</v>
      </c>
    </row>
    <row r="571" spans="1:6" x14ac:dyDescent="0.2">
      <c r="A571" s="3" t="s">
        <v>71</v>
      </c>
      <c r="B571" s="3" t="s">
        <v>241</v>
      </c>
      <c r="C571" s="3" t="s">
        <v>242</v>
      </c>
      <c r="D571" s="3" t="s">
        <v>124</v>
      </c>
      <c r="E571" s="28">
        <f>SUMIFS('Raw Data'!$I$2:$I$878,'Raw Data'!$A$2:$A$878,$A571,'Raw Data'!$B$2:$B$878,$B571,'Raw Data'!$D$2:$D$878,$D571)</f>
        <v>22</v>
      </c>
      <c r="F571" s="5">
        <f>IFERROR(3958.8*ACOS(MIN(1,MAX(-1,SIN(RADIANS('ZIP Coordinates'!$C$2))*SIN(RADIANS(INDEX('ZIP Coordinates'!$C:$C,MATCH($A571,'ZIP Coordinates'!$A:$A,0))))+COS(RADIANS('ZIP Coordinates'!$C$2))*COS(RADIANS(INDEX('ZIP Coordinates'!$C:$C,MATCH($A571,'ZIP Coordinates'!$A:$A,0))))*COS(RADIANS(INDEX('ZIP Coordinates'!$D:$D,MATCH($A571,'ZIP Coordinates'!$A:$A,0))-'ZIP Coordinates'!$D$2))))),"N/A")</f>
        <v>150.27844379053917</v>
      </c>
    </row>
    <row r="572" spans="1:6" x14ac:dyDescent="0.2">
      <c r="A572" s="3" t="s">
        <v>71</v>
      </c>
      <c r="B572" s="3" t="s">
        <v>243</v>
      </c>
      <c r="C572" s="3" t="s">
        <v>244</v>
      </c>
      <c r="D572" s="3" t="s">
        <v>124</v>
      </c>
      <c r="E572" s="28">
        <f>SUMIFS('Raw Data'!$I$2:$I$878,'Raw Data'!$A$2:$A$878,$A572,'Raw Data'!$B$2:$B$878,$B572,'Raw Data'!$D$2:$D$878,$D572)</f>
        <v>24</v>
      </c>
      <c r="F572" s="5">
        <f>IFERROR(3958.8*ACOS(MIN(1,MAX(-1,SIN(RADIANS('ZIP Coordinates'!$C$2))*SIN(RADIANS(INDEX('ZIP Coordinates'!$C:$C,MATCH($A572,'ZIP Coordinates'!$A:$A,0))))+COS(RADIANS('ZIP Coordinates'!$C$2))*COS(RADIANS(INDEX('ZIP Coordinates'!$C:$C,MATCH($A572,'ZIP Coordinates'!$A:$A,0))))*COS(RADIANS(INDEX('ZIP Coordinates'!$D:$D,MATCH($A572,'ZIP Coordinates'!$A:$A,0))-'ZIP Coordinates'!$D$2))))),"N/A")</f>
        <v>150.27844379053917</v>
      </c>
    </row>
    <row r="573" spans="1:6" x14ac:dyDescent="0.2">
      <c r="A573" s="3" t="s">
        <v>71</v>
      </c>
      <c r="B573" s="3" t="s">
        <v>274</v>
      </c>
      <c r="C573" s="3" t="s">
        <v>275</v>
      </c>
      <c r="D573" s="3" t="s">
        <v>101</v>
      </c>
      <c r="E573" s="28">
        <f>SUMIFS('Raw Data'!$I$2:$I$878,'Raw Data'!$A$2:$A$878,$A573,'Raw Data'!$B$2:$B$878,$B573,'Raw Data'!$D$2:$D$878,$D573)</f>
        <v>126</v>
      </c>
      <c r="F573" s="5">
        <f>IFERROR(3958.8*ACOS(MIN(1,MAX(-1,SIN(RADIANS('ZIP Coordinates'!$C$2))*SIN(RADIANS(INDEX('ZIP Coordinates'!$C:$C,MATCH($A573,'ZIP Coordinates'!$A:$A,0))))+COS(RADIANS('ZIP Coordinates'!$C$2))*COS(RADIANS(INDEX('ZIP Coordinates'!$C:$C,MATCH($A573,'ZIP Coordinates'!$A:$A,0))))*COS(RADIANS(INDEX('ZIP Coordinates'!$D:$D,MATCH($A573,'ZIP Coordinates'!$A:$A,0))-'ZIP Coordinates'!$D$2))))),"N/A")</f>
        <v>150.27844379053917</v>
      </c>
    </row>
    <row r="574" spans="1:6" x14ac:dyDescent="0.2">
      <c r="A574" s="3" t="s">
        <v>71</v>
      </c>
      <c r="B574" s="3" t="s">
        <v>276</v>
      </c>
      <c r="C574" s="3" t="s">
        <v>275</v>
      </c>
      <c r="D574" s="3" t="s">
        <v>124</v>
      </c>
      <c r="E574" s="28">
        <f>SUMIFS('Raw Data'!$I$2:$I$878,'Raw Data'!$A$2:$A$878,$A574,'Raw Data'!$B$2:$B$878,$B574,'Raw Data'!$D$2:$D$878,$D574)</f>
        <v>26</v>
      </c>
      <c r="F574" s="5">
        <f>IFERROR(3958.8*ACOS(MIN(1,MAX(-1,SIN(RADIANS('ZIP Coordinates'!$C$2))*SIN(RADIANS(INDEX('ZIP Coordinates'!$C:$C,MATCH($A574,'ZIP Coordinates'!$A:$A,0))))+COS(RADIANS('ZIP Coordinates'!$C$2))*COS(RADIANS(INDEX('ZIP Coordinates'!$C:$C,MATCH($A574,'ZIP Coordinates'!$A:$A,0))))*COS(RADIANS(INDEX('ZIP Coordinates'!$D:$D,MATCH($A574,'ZIP Coordinates'!$A:$A,0))-'ZIP Coordinates'!$D$2))))),"N/A")</f>
        <v>150.27844379053917</v>
      </c>
    </row>
    <row r="575" spans="1:6" x14ac:dyDescent="0.2">
      <c r="A575" s="3" t="s">
        <v>71</v>
      </c>
      <c r="B575" s="3" t="s">
        <v>247</v>
      </c>
      <c r="C575" s="3" t="s">
        <v>246</v>
      </c>
      <c r="D575" s="3" t="s">
        <v>124</v>
      </c>
      <c r="E575" s="28">
        <f>SUMIFS('Raw Data'!$I$2:$I$878,'Raw Data'!$A$2:$A$878,$A575,'Raw Data'!$B$2:$B$878,$B575,'Raw Data'!$D$2:$D$878,$D575)</f>
        <v>63</v>
      </c>
      <c r="F575" s="5">
        <f>IFERROR(3958.8*ACOS(MIN(1,MAX(-1,SIN(RADIANS('ZIP Coordinates'!$C$2))*SIN(RADIANS(INDEX('ZIP Coordinates'!$C:$C,MATCH($A575,'ZIP Coordinates'!$A:$A,0))))+COS(RADIANS('ZIP Coordinates'!$C$2))*COS(RADIANS(INDEX('ZIP Coordinates'!$C:$C,MATCH($A575,'ZIP Coordinates'!$A:$A,0))))*COS(RADIANS(INDEX('ZIP Coordinates'!$D:$D,MATCH($A575,'ZIP Coordinates'!$A:$A,0))-'ZIP Coordinates'!$D$2))))),"N/A")</f>
        <v>150.27844379053917</v>
      </c>
    </row>
    <row r="576" spans="1:6" x14ac:dyDescent="0.2">
      <c r="A576" s="3" t="s">
        <v>71</v>
      </c>
      <c r="B576" s="3" t="s">
        <v>250</v>
      </c>
      <c r="C576" s="3" t="s">
        <v>249</v>
      </c>
      <c r="D576" s="3" t="s">
        <v>124</v>
      </c>
      <c r="E576" s="28">
        <f>SUMIFS('Raw Data'!$I$2:$I$878,'Raw Data'!$A$2:$A$878,$A576,'Raw Data'!$B$2:$B$878,$B576,'Raw Data'!$D$2:$D$878,$D576)</f>
        <v>11</v>
      </c>
      <c r="F576" s="5">
        <f>IFERROR(3958.8*ACOS(MIN(1,MAX(-1,SIN(RADIANS('ZIP Coordinates'!$C$2))*SIN(RADIANS(INDEX('ZIP Coordinates'!$C:$C,MATCH($A576,'ZIP Coordinates'!$A:$A,0))))+COS(RADIANS('ZIP Coordinates'!$C$2))*COS(RADIANS(INDEX('ZIP Coordinates'!$C:$C,MATCH($A576,'ZIP Coordinates'!$A:$A,0))))*COS(RADIANS(INDEX('ZIP Coordinates'!$D:$D,MATCH($A576,'ZIP Coordinates'!$A:$A,0))-'ZIP Coordinates'!$D$2))))),"N/A")</f>
        <v>150.27844379053917</v>
      </c>
    </row>
    <row r="577" spans="1:6" x14ac:dyDescent="0.2">
      <c r="A577" s="3" t="s">
        <v>71</v>
      </c>
      <c r="B577" s="3" t="s">
        <v>281</v>
      </c>
      <c r="C577" s="3" t="s">
        <v>252</v>
      </c>
      <c r="D577" s="3" t="s">
        <v>124</v>
      </c>
      <c r="E577" s="28">
        <f>SUMIFS('Raw Data'!$I$2:$I$878,'Raw Data'!$A$2:$A$878,$A577,'Raw Data'!$B$2:$B$878,$B577,'Raw Data'!$D$2:$D$878,$D577)</f>
        <v>80</v>
      </c>
      <c r="F577" s="5">
        <f>IFERROR(3958.8*ACOS(MIN(1,MAX(-1,SIN(RADIANS('ZIP Coordinates'!$C$2))*SIN(RADIANS(INDEX('ZIP Coordinates'!$C:$C,MATCH($A577,'ZIP Coordinates'!$A:$A,0))))+COS(RADIANS('ZIP Coordinates'!$C$2))*COS(RADIANS(INDEX('ZIP Coordinates'!$C:$C,MATCH($A577,'ZIP Coordinates'!$A:$A,0))))*COS(RADIANS(INDEX('ZIP Coordinates'!$D:$D,MATCH($A577,'ZIP Coordinates'!$A:$A,0))-'ZIP Coordinates'!$D$2))))),"N/A")</f>
        <v>150.27844379053917</v>
      </c>
    </row>
    <row r="578" spans="1:6" x14ac:dyDescent="0.2">
      <c r="A578" s="3" t="s">
        <v>71</v>
      </c>
      <c r="B578" s="3" t="s">
        <v>251</v>
      </c>
      <c r="C578" s="3" t="s">
        <v>252</v>
      </c>
      <c r="D578" s="3" t="s">
        <v>124</v>
      </c>
      <c r="E578" s="28">
        <f>SUMIFS('Raw Data'!$I$2:$I$878,'Raw Data'!$A$2:$A$878,$A578,'Raw Data'!$B$2:$B$878,$B578,'Raw Data'!$D$2:$D$878,$D578)</f>
        <v>55</v>
      </c>
      <c r="F578" s="5">
        <f>IFERROR(3958.8*ACOS(MIN(1,MAX(-1,SIN(RADIANS('ZIP Coordinates'!$C$2))*SIN(RADIANS(INDEX('ZIP Coordinates'!$C:$C,MATCH($A578,'ZIP Coordinates'!$A:$A,0))))+COS(RADIANS('ZIP Coordinates'!$C$2))*COS(RADIANS(INDEX('ZIP Coordinates'!$C:$C,MATCH($A578,'ZIP Coordinates'!$A:$A,0))))*COS(RADIANS(INDEX('ZIP Coordinates'!$D:$D,MATCH($A578,'ZIP Coordinates'!$A:$A,0))-'ZIP Coordinates'!$D$2))))),"N/A")</f>
        <v>150.27844379053917</v>
      </c>
    </row>
    <row r="579" spans="1:6" x14ac:dyDescent="0.2">
      <c r="A579" s="3" t="s">
        <v>71</v>
      </c>
      <c r="B579" s="3" t="s">
        <v>284</v>
      </c>
      <c r="C579" s="3" t="s">
        <v>285</v>
      </c>
      <c r="D579" s="3" t="s">
        <v>124</v>
      </c>
      <c r="E579" s="28">
        <f>SUMIFS('Raw Data'!$I$2:$I$878,'Raw Data'!$A$2:$A$878,$A579,'Raw Data'!$B$2:$B$878,$B579,'Raw Data'!$D$2:$D$878,$D579)</f>
        <v>9</v>
      </c>
      <c r="F579" s="5">
        <f>IFERROR(3958.8*ACOS(MIN(1,MAX(-1,SIN(RADIANS('ZIP Coordinates'!$C$2))*SIN(RADIANS(INDEX('ZIP Coordinates'!$C:$C,MATCH($A579,'ZIP Coordinates'!$A:$A,0))))+COS(RADIANS('ZIP Coordinates'!$C$2))*COS(RADIANS(INDEX('ZIP Coordinates'!$C:$C,MATCH($A579,'ZIP Coordinates'!$A:$A,0))))*COS(RADIANS(INDEX('ZIP Coordinates'!$D:$D,MATCH($A579,'ZIP Coordinates'!$A:$A,0))-'ZIP Coordinates'!$D$2))))),"N/A")</f>
        <v>150.27844379053917</v>
      </c>
    </row>
    <row r="580" spans="1:6" x14ac:dyDescent="0.2">
      <c r="A580" s="3" t="s">
        <v>71</v>
      </c>
      <c r="B580" s="3" t="s">
        <v>253</v>
      </c>
      <c r="C580" s="3" t="s">
        <v>254</v>
      </c>
      <c r="D580" s="3" t="s">
        <v>216</v>
      </c>
      <c r="E580" s="28">
        <f>SUMIFS('Raw Data'!$I$2:$I$878,'Raw Data'!$A$2:$A$878,$A580,'Raw Data'!$B$2:$B$878,$B580,'Raw Data'!$D$2:$D$878,$D580)</f>
        <v>3</v>
      </c>
      <c r="F580" s="5">
        <f>IFERROR(3958.8*ACOS(MIN(1,MAX(-1,SIN(RADIANS('ZIP Coordinates'!$C$2))*SIN(RADIANS(INDEX('ZIP Coordinates'!$C:$C,MATCH($A580,'ZIP Coordinates'!$A:$A,0))))+COS(RADIANS('ZIP Coordinates'!$C$2))*COS(RADIANS(INDEX('ZIP Coordinates'!$C:$C,MATCH($A580,'ZIP Coordinates'!$A:$A,0))))*COS(RADIANS(INDEX('ZIP Coordinates'!$D:$D,MATCH($A580,'ZIP Coordinates'!$A:$A,0))-'ZIP Coordinates'!$D$2))))),"N/A")</f>
        <v>150.27844379053917</v>
      </c>
    </row>
    <row r="581" spans="1:6" x14ac:dyDescent="0.2">
      <c r="A581" s="3" t="s">
        <v>71</v>
      </c>
      <c r="B581" s="3" t="s">
        <v>286</v>
      </c>
      <c r="C581" s="3" t="s">
        <v>287</v>
      </c>
      <c r="D581" s="3" t="s">
        <v>124</v>
      </c>
      <c r="E581" s="28">
        <f>SUMIFS('Raw Data'!$I$2:$I$878,'Raw Data'!$A$2:$A$878,$A581,'Raw Data'!$B$2:$B$878,$B581,'Raw Data'!$D$2:$D$878,$D581)</f>
        <v>207</v>
      </c>
      <c r="F581" s="5">
        <f>IFERROR(3958.8*ACOS(MIN(1,MAX(-1,SIN(RADIANS('ZIP Coordinates'!$C$2))*SIN(RADIANS(INDEX('ZIP Coordinates'!$C:$C,MATCH($A581,'ZIP Coordinates'!$A:$A,0))))+COS(RADIANS('ZIP Coordinates'!$C$2))*COS(RADIANS(INDEX('ZIP Coordinates'!$C:$C,MATCH($A581,'ZIP Coordinates'!$A:$A,0))))*COS(RADIANS(INDEX('ZIP Coordinates'!$D:$D,MATCH($A581,'ZIP Coordinates'!$A:$A,0))-'ZIP Coordinates'!$D$2))))),"N/A")</f>
        <v>150.27844379053917</v>
      </c>
    </row>
    <row r="582" spans="1:6" x14ac:dyDescent="0.2">
      <c r="A582" s="3" t="s">
        <v>71</v>
      </c>
      <c r="B582" s="3" t="s">
        <v>288</v>
      </c>
      <c r="C582" s="3" t="s">
        <v>287</v>
      </c>
      <c r="D582" s="3" t="s">
        <v>124</v>
      </c>
      <c r="E582" s="28">
        <f>SUMIFS('Raw Data'!$I$2:$I$878,'Raw Data'!$A$2:$A$878,$A582,'Raw Data'!$B$2:$B$878,$B582,'Raw Data'!$D$2:$D$878,$D582)</f>
        <v>16</v>
      </c>
      <c r="F582" s="5">
        <f>IFERROR(3958.8*ACOS(MIN(1,MAX(-1,SIN(RADIANS('ZIP Coordinates'!$C$2))*SIN(RADIANS(INDEX('ZIP Coordinates'!$C:$C,MATCH($A582,'ZIP Coordinates'!$A:$A,0))))+COS(RADIANS('ZIP Coordinates'!$C$2))*COS(RADIANS(INDEX('ZIP Coordinates'!$C:$C,MATCH($A582,'ZIP Coordinates'!$A:$A,0))))*COS(RADIANS(INDEX('ZIP Coordinates'!$D:$D,MATCH($A582,'ZIP Coordinates'!$A:$A,0))-'ZIP Coordinates'!$D$2))))),"N/A")</f>
        <v>150.27844379053917</v>
      </c>
    </row>
    <row r="583" spans="1:6" x14ac:dyDescent="0.2">
      <c r="A583" s="3" t="s">
        <v>71</v>
      </c>
      <c r="B583" s="3" t="s">
        <v>255</v>
      </c>
      <c r="C583" s="3" t="s">
        <v>256</v>
      </c>
      <c r="D583" s="3" t="s">
        <v>124</v>
      </c>
      <c r="E583" s="28">
        <f>SUMIFS('Raw Data'!$I$2:$I$878,'Raw Data'!$A$2:$A$878,$A583,'Raw Data'!$B$2:$B$878,$B583,'Raw Data'!$D$2:$D$878,$D583)</f>
        <v>340</v>
      </c>
      <c r="F583" s="5">
        <f>IFERROR(3958.8*ACOS(MIN(1,MAX(-1,SIN(RADIANS('ZIP Coordinates'!$C$2))*SIN(RADIANS(INDEX('ZIP Coordinates'!$C:$C,MATCH($A583,'ZIP Coordinates'!$A:$A,0))))+COS(RADIANS('ZIP Coordinates'!$C$2))*COS(RADIANS(INDEX('ZIP Coordinates'!$C:$C,MATCH($A583,'ZIP Coordinates'!$A:$A,0))))*COS(RADIANS(INDEX('ZIP Coordinates'!$D:$D,MATCH($A583,'ZIP Coordinates'!$A:$A,0))-'ZIP Coordinates'!$D$2))))),"N/A")</f>
        <v>150.27844379053917</v>
      </c>
    </row>
    <row r="584" spans="1:6" x14ac:dyDescent="0.2">
      <c r="A584" s="3" t="s">
        <v>71</v>
      </c>
      <c r="B584" s="3" t="s">
        <v>257</v>
      </c>
      <c r="C584" s="3" t="s">
        <v>256</v>
      </c>
      <c r="D584" s="3" t="s">
        <v>124</v>
      </c>
      <c r="E584" s="28">
        <f>SUMIFS('Raw Data'!$I$2:$I$878,'Raw Data'!$A$2:$A$878,$A584,'Raw Data'!$B$2:$B$878,$B584,'Raw Data'!$D$2:$D$878,$D584)</f>
        <v>10</v>
      </c>
      <c r="F584" s="5">
        <f>IFERROR(3958.8*ACOS(MIN(1,MAX(-1,SIN(RADIANS('ZIP Coordinates'!$C$2))*SIN(RADIANS(INDEX('ZIP Coordinates'!$C:$C,MATCH($A584,'ZIP Coordinates'!$A:$A,0))))+COS(RADIANS('ZIP Coordinates'!$C$2))*COS(RADIANS(INDEX('ZIP Coordinates'!$C:$C,MATCH($A584,'ZIP Coordinates'!$A:$A,0))))*COS(RADIANS(INDEX('ZIP Coordinates'!$D:$D,MATCH($A584,'ZIP Coordinates'!$A:$A,0))-'ZIP Coordinates'!$D$2))))),"N/A")</f>
        <v>150.27844379053917</v>
      </c>
    </row>
    <row r="585" spans="1:6" x14ac:dyDescent="0.2">
      <c r="A585" s="3" t="s">
        <v>72</v>
      </c>
      <c r="B585" s="3" t="s">
        <v>243</v>
      </c>
      <c r="C585" s="3" t="s">
        <v>244</v>
      </c>
      <c r="D585" s="3" t="s">
        <v>210</v>
      </c>
      <c r="E585" s="28">
        <f>SUMIFS('Raw Data'!$I$2:$I$878,'Raw Data'!$A$2:$A$878,$A585,'Raw Data'!$B$2:$B$878,$B585,'Raw Data'!$D$2:$D$878,$D585)</f>
        <v>1</v>
      </c>
      <c r="F585" s="5">
        <f>IFERROR(3958.8*ACOS(MIN(1,MAX(-1,SIN(RADIANS('ZIP Coordinates'!$C$2))*SIN(RADIANS(INDEX('ZIP Coordinates'!$C:$C,MATCH($A585,'ZIP Coordinates'!$A:$A,0))))+COS(RADIANS('ZIP Coordinates'!$C$2))*COS(RADIANS(INDEX('ZIP Coordinates'!$C:$C,MATCH($A585,'ZIP Coordinates'!$A:$A,0))))*COS(RADIANS(INDEX('ZIP Coordinates'!$D:$D,MATCH($A585,'ZIP Coordinates'!$A:$A,0))-'ZIP Coordinates'!$D$2))))),"N/A")</f>
        <v>145.42497486930591</v>
      </c>
    </row>
    <row r="586" spans="1:6" x14ac:dyDescent="0.2">
      <c r="A586" s="3" t="s">
        <v>72</v>
      </c>
      <c r="B586" s="3" t="s">
        <v>272</v>
      </c>
      <c r="C586" s="3" t="s">
        <v>273</v>
      </c>
      <c r="D586" s="3" t="s">
        <v>210</v>
      </c>
      <c r="E586" s="28">
        <f>SUMIFS('Raw Data'!$I$2:$I$878,'Raw Data'!$A$2:$A$878,$A586,'Raw Data'!$B$2:$B$878,$B586,'Raw Data'!$D$2:$D$878,$D586)</f>
        <v>4</v>
      </c>
      <c r="F586" s="5">
        <f>IFERROR(3958.8*ACOS(MIN(1,MAX(-1,SIN(RADIANS('ZIP Coordinates'!$C$2))*SIN(RADIANS(INDEX('ZIP Coordinates'!$C:$C,MATCH($A586,'ZIP Coordinates'!$A:$A,0))))+COS(RADIANS('ZIP Coordinates'!$C$2))*COS(RADIANS(INDEX('ZIP Coordinates'!$C:$C,MATCH($A586,'ZIP Coordinates'!$A:$A,0))))*COS(RADIANS(INDEX('ZIP Coordinates'!$D:$D,MATCH($A586,'ZIP Coordinates'!$A:$A,0))-'ZIP Coordinates'!$D$2))))),"N/A")</f>
        <v>145.42497486930591</v>
      </c>
    </row>
    <row r="587" spans="1:6" x14ac:dyDescent="0.2">
      <c r="A587" s="3" t="s">
        <v>73</v>
      </c>
      <c r="B587" s="3" t="s">
        <v>270</v>
      </c>
      <c r="C587" s="3" t="s">
        <v>242</v>
      </c>
      <c r="D587" s="3" t="s">
        <v>131</v>
      </c>
      <c r="E587" s="28">
        <f>SUMIFS('Raw Data'!$I$2:$I$878,'Raw Data'!$A$2:$A$878,$A587,'Raw Data'!$B$2:$B$878,$B587,'Raw Data'!$D$2:$D$878,$D587)</f>
        <v>954</v>
      </c>
      <c r="F587" s="5">
        <f>IFERROR(3958.8*ACOS(MIN(1,MAX(-1,SIN(RADIANS('ZIP Coordinates'!$C$2))*SIN(RADIANS(INDEX('ZIP Coordinates'!$C:$C,MATCH($A587,'ZIP Coordinates'!$A:$A,0))))+COS(RADIANS('ZIP Coordinates'!$C$2))*COS(RADIANS(INDEX('ZIP Coordinates'!$C:$C,MATCH($A587,'ZIP Coordinates'!$A:$A,0))))*COS(RADIANS(INDEX('ZIP Coordinates'!$D:$D,MATCH($A587,'ZIP Coordinates'!$A:$A,0))-'ZIP Coordinates'!$D$2))))),"N/A")</f>
        <v>142.69042239079656</v>
      </c>
    </row>
    <row r="588" spans="1:6" x14ac:dyDescent="0.2">
      <c r="A588" s="3" t="s">
        <v>73</v>
      </c>
      <c r="B588" s="3" t="s">
        <v>274</v>
      </c>
      <c r="C588" s="3" t="s">
        <v>275</v>
      </c>
      <c r="D588" s="3" t="s">
        <v>131</v>
      </c>
      <c r="E588" s="28">
        <f>SUMIFS('Raw Data'!$I$2:$I$878,'Raw Data'!$A$2:$A$878,$A588,'Raw Data'!$B$2:$B$878,$B588,'Raw Data'!$D$2:$D$878,$D588)</f>
        <v>675</v>
      </c>
      <c r="F588" s="5">
        <f>IFERROR(3958.8*ACOS(MIN(1,MAX(-1,SIN(RADIANS('ZIP Coordinates'!$C$2))*SIN(RADIANS(INDEX('ZIP Coordinates'!$C:$C,MATCH($A588,'ZIP Coordinates'!$A:$A,0))))+COS(RADIANS('ZIP Coordinates'!$C$2))*COS(RADIANS(INDEX('ZIP Coordinates'!$C:$C,MATCH($A588,'ZIP Coordinates'!$A:$A,0))))*COS(RADIANS(INDEX('ZIP Coordinates'!$D:$D,MATCH($A588,'ZIP Coordinates'!$A:$A,0))-'ZIP Coordinates'!$D$2))))),"N/A")</f>
        <v>142.69042239079656</v>
      </c>
    </row>
    <row r="589" spans="1:6" x14ac:dyDescent="0.2">
      <c r="A589" s="3" t="s">
        <v>73</v>
      </c>
      <c r="B589" s="3" t="s">
        <v>276</v>
      </c>
      <c r="C589" s="3" t="s">
        <v>275</v>
      </c>
      <c r="D589" s="3" t="s">
        <v>131</v>
      </c>
      <c r="E589" s="28">
        <f>SUMIFS('Raw Data'!$I$2:$I$878,'Raw Data'!$A$2:$A$878,$A589,'Raw Data'!$B$2:$B$878,$B589,'Raw Data'!$D$2:$D$878,$D589)</f>
        <v>8</v>
      </c>
      <c r="F589" s="5">
        <f>IFERROR(3958.8*ACOS(MIN(1,MAX(-1,SIN(RADIANS('ZIP Coordinates'!$C$2))*SIN(RADIANS(INDEX('ZIP Coordinates'!$C:$C,MATCH($A589,'ZIP Coordinates'!$A:$A,0))))+COS(RADIANS('ZIP Coordinates'!$C$2))*COS(RADIANS(INDEX('ZIP Coordinates'!$C:$C,MATCH($A589,'ZIP Coordinates'!$A:$A,0))))*COS(RADIANS(INDEX('ZIP Coordinates'!$D:$D,MATCH($A589,'ZIP Coordinates'!$A:$A,0))-'ZIP Coordinates'!$D$2))))),"N/A")</f>
        <v>142.69042239079656</v>
      </c>
    </row>
    <row r="590" spans="1:6" x14ac:dyDescent="0.2">
      <c r="A590" s="3" t="s">
        <v>73</v>
      </c>
      <c r="B590" s="3" t="s">
        <v>290</v>
      </c>
      <c r="C590" s="3" t="s">
        <v>278</v>
      </c>
      <c r="D590" s="3" t="s">
        <v>226</v>
      </c>
      <c r="E590" s="28">
        <f>SUMIFS('Raw Data'!$I$2:$I$878,'Raw Data'!$A$2:$A$878,$A590,'Raw Data'!$B$2:$B$878,$B590,'Raw Data'!$D$2:$D$878,$D590)</f>
        <v>0</v>
      </c>
      <c r="F590" s="5">
        <f>IFERROR(3958.8*ACOS(MIN(1,MAX(-1,SIN(RADIANS('ZIP Coordinates'!$C$2))*SIN(RADIANS(INDEX('ZIP Coordinates'!$C:$C,MATCH($A590,'ZIP Coordinates'!$A:$A,0))))+COS(RADIANS('ZIP Coordinates'!$C$2))*COS(RADIANS(INDEX('ZIP Coordinates'!$C:$C,MATCH($A590,'ZIP Coordinates'!$A:$A,0))))*COS(RADIANS(INDEX('ZIP Coordinates'!$D:$D,MATCH($A590,'ZIP Coordinates'!$A:$A,0))-'ZIP Coordinates'!$D$2))))),"N/A")</f>
        <v>142.69042239079656</v>
      </c>
    </row>
    <row r="591" spans="1:6" x14ac:dyDescent="0.2">
      <c r="A591" s="3" t="s">
        <v>73</v>
      </c>
      <c r="B591" s="3" t="s">
        <v>277</v>
      </c>
      <c r="C591" s="3" t="s">
        <v>278</v>
      </c>
      <c r="D591" s="3" t="s">
        <v>226</v>
      </c>
      <c r="E591" s="28">
        <f>SUMIFS('Raw Data'!$I$2:$I$878,'Raw Data'!$A$2:$A$878,$A591,'Raw Data'!$B$2:$B$878,$B591,'Raw Data'!$D$2:$D$878,$D591)</f>
        <v>0</v>
      </c>
      <c r="F591" s="5">
        <f>IFERROR(3958.8*ACOS(MIN(1,MAX(-1,SIN(RADIANS('ZIP Coordinates'!$C$2))*SIN(RADIANS(INDEX('ZIP Coordinates'!$C:$C,MATCH($A591,'ZIP Coordinates'!$A:$A,0))))+COS(RADIANS('ZIP Coordinates'!$C$2))*COS(RADIANS(INDEX('ZIP Coordinates'!$C:$C,MATCH($A591,'ZIP Coordinates'!$A:$A,0))))*COS(RADIANS(INDEX('ZIP Coordinates'!$D:$D,MATCH($A591,'ZIP Coordinates'!$A:$A,0))-'ZIP Coordinates'!$D$2))))),"N/A")</f>
        <v>142.69042239079656</v>
      </c>
    </row>
    <row r="592" spans="1:6" x14ac:dyDescent="0.2">
      <c r="A592" s="3" t="s">
        <v>73</v>
      </c>
      <c r="B592" s="3" t="s">
        <v>279</v>
      </c>
      <c r="C592" s="3" t="s">
        <v>280</v>
      </c>
      <c r="D592" s="3" t="s">
        <v>120</v>
      </c>
      <c r="E592" s="28">
        <f>SUMIFS('Raw Data'!$I$2:$I$878,'Raw Data'!$A$2:$A$878,$A592,'Raw Data'!$B$2:$B$878,$B592,'Raw Data'!$D$2:$D$878,$D592)</f>
        <v>378</v>
      </c>
      <c r="F592" s="5">
        <f>IFERROR(3958.8*ACOS(MIN(1,MAX(-1,SIN(RADIANS('ZIP Coordinates'!$C$2))*SIN(RADIANS(INDEX('ZIP Coordinates'!$C:$C,MATCH($A592,'ZIP Coordinates'!$A:$A,0))))+COS(RADIANS('ZIP Coordinates'!$C$2))*COS(RADIANS(INDEX('ZIP Coordinates'!$C:$C,MATCH($A592,'ZIP Coordinates'!$A:$A,0))))*COS(RADIANS(INDEX('ZIP Coordinates'!$D:$D,MATCH($A592,'ZIP Coordinates'!$A:$A,0))-'ZIP Coordinates'!$D$2))))),"N/A")</f>
        <v>142.69042239079656</v>
      </c>
    </row>
    <row r="593" spans="1:6" x14ac:dyDescent="0.2">
      <c r="A593" s="3" t="s">
        <v>73</v>
      </c>
      <c r="B593" s="3" t="s">
        <v>245</v>
      </c>
      <c r="C593" s="3" t="s">
        <v>246</v>
      </c>
      <c r="D593" s="3" t="s">
        <v>224</v>
      </c>
      <c r="E593" s="28">
        <f>SUMIFS('Raw Data'!$I$2:$I$878,'Raw Data'!$A$2:$A$878,$A593,'Raw Data'!$B$2:$B$878,$B593,'Raw Data'!$D$2:$D$878,$D593)</f>
        <v>20</v>
      </c>
      <c r="F593" s="5">
        <f>IFERROR(3958.8*ACOS(MIN(1,MAX(-1,SIN(RADIANS('ZIP Coordinates'!$C$2))*SIN(RADIANS(INDEX('ZIP Coordinates'!$C:$C,MATCH($A593,'ZIP Coordinates'!$A:$A,0))))+COS(RADIANS('ZIP Coordinates'!$C$2))*COS(RADIANS(INDEX('ZIP Coordinates'!$C:$C,MATCH($A593,'ZIP Coordinates'!$A:$A,0))))*COS(RADIANS(INDEX('ZIP Coordinates'!$D:$D,MATCH($A593,'ZIP Coordinates'!$A:$A,0))-'ZIP Coordinates'!$D$2))))),"N/A")</f>
        <v>142.69042239079656</v>
      </c>
    </row>
    <row r="594" spans="1:6" x14ac:dyDescent="0.2">
      <c r="A594" s="3" t="s">
        <v>73</v>
      </c>
      <c r="B594" s="3" t="s">
        <v>247</v>
      </c>
      <c r="C594" s="3" t="s">
        <v>246</v>
      </c>
      <c r="D594" s="3" t="s">
        <v>200</v>
      </c>
      <c r="E594" s="28">
        <f>SUMIFS('Raw Data'!$I$2:$I$878,'Raw Data'!$A$2:$A$878,$A594,'Raw Data'!$B$2:$B$878,$B594,'Raw Data'!$D$2:$D$878,$D594)</f>
        <v>10</v>
      </c>
      <c r="F594" s="5">
        <f>IFERROR(3958.8*ACOS(MIN(1,MAX(-1,SIN(RADIANS('ZIP Coordinates'!$C$2))*SIN(RADIANS(INDEX('ZIP Coordinates'!$C:$C,MATCH($A594,'ZIP Coordinates'!$A:$A,0))))+COS(RADIANS('ZIP Coordinates'!$C$2))*COS(RADIANS(INDEX('ZIP Coordinates'!$C:$C,MATCH($A594,'ZIP Coordinates'!$A:$A,0))))*COS(RADIANS(INDEX('ZIP Coordinates'!$D:$D,MATCH($A594,'ZIP Coordinates'!$A:$A,0))-'ZIP Coordinates'!$D$2))))),"N/A")</f>
        <v>142.69042239079656</v>
      </c>
    </row>
    <row r="595" spans="1:6" x14ac:dyDescent="0.2">
      <c r="A595" s="3" t="s">
        <v>73</v>
      </c>
      <c r="B595" s="3" t="s">
        <v>251</v>
      </c>
      <c r="C595" s="3" t="s">
        <v>252</v>
      </c>
      <c r="D595" s="3" t="s">
        <v>199</v>
      </c>
      <c r="E595" s="28">
        <f>SUMIFS('Raw Data'!$I$2:$I$878,'Raw Data'!$A$2:$A$878,$A595,'Raw Data'!$B$2:$B$878,$B595,'Raw Data'!$D$2:$D$878,$D595)</f>
        <v>10</v>
      </c>
      <c r="F595" s="5">
        <f>IFERROR(3958.8*ACOS(MIN(1,MAX(-1,SIN(RADIANS('ZIP Coordinates'!$C$2))*SIN(RADIANS(INDEX('ZIP Coordinates'!$C:$C,MATCH($A595,'ZIP Coordinates'!$A:$A,0))))+COS(RADIANS('ZIP Coordinates'!$C$2))*COS(RADIANS(INDEX('ZIP Coordinates'!$C:$C,MATCH($A595,'ZIP Coordinates'!$A:$A,0))))*COS(RADIANS(INDEX('ZIP Coordinates'!$D:$D,MATCH($A595,'ZIP Coordinates'!$A:$A,0))-'ZIP Coordinates'!$D$2))))),"N/A")</f>
        <v>142.69042239079656</v>
      </c>
    </row>
    <row r="596" spans="1:6" x14ac:dyDescent="0.2">
      <c r="A596" s="3" t="s">
        <v>73</v>
      </c>
      <c r="B596" s="3" t="s">
        <v>286</v>
      </c>
      <c r="C596" s="3" t="s">
        <v>287</v>
      </c>
      <c r="D596" s="3" t="s">
        <v>199</v>
      </c>
      <c r="E596" s="28">
        <f>SUMIFS('Raw Data'!$I$2:$I$878,'Raw Data'!$A$2:$A$878,$A596,'Raw Data'!$B$2:$B$878,$B596,'Raw Data'!$D$2:$D$878,$D596)</f>
        <v>9</v>
      </c>
      <c r="F596" s="5">
        <f>IFERROR(3958.8*ACOS(MIN(1,MAX(-1,SIN(RADIANS('ZIP Coordinates'!$C$2))*SIN(RADIANS(INDEX('ZIP Coordinates'!$C:$C,MATCH($A596,'ZIP Coordinates'!$A:$A,0))))+COS(RADIANS('ZIP Coordinates'!$C$2))*COS(RADIANS(INDEX('ZIP Coordinates'!$C:$C,MATCH($A596,'ZIP Coordinates'!$A:$A,0))))*COS(RADIANS(INDEX('ZIP Coordinates'!$D:$D,MATCH($A596,'ZIP Coordinates'!$A:$A,0))-'ZIP Coordinates'!$D$2))))),"N/A")</f>
        <v>142.69042239079656</v>
      </c>
    </row>
    <row r="597" spans="1:6" x14ac:dyDescent="0.2">
      <c r="A597" s="3" t="s">
        <v>73</v>
      </c>
      <c r="B597" s="3" t="s">
        <v>257</v>
      </c>
      <c r="C597" s="3" t="s">
        <v>256</v>
      </c>
      <c r="D597" s="3" t="s">
        <v>157</v>
      </c>
      <c r="E597" s="28">
        <f>SUMIFS('Raw Data'!$I$2:$I$878,'Raw Data'!$A$2:$A$878,$A597,'Raw Data'!$B$2:$B$878,$B597,'Raw Data'!$D$2:$D$878,$D597)</f>
        <v>93</v>
      </c>
      <c r="F597" s="5">
        <f>IFERROR(3958.8*ACOS(MIN(1,MAX(-1,SIN(RADIANS('ZIP Coordinates'!$C$2))*SIN(RADIANS(INDEX('ZIP Coordinates'!$C:$C,MATCH($A597,'ZIP Coordinates'!$A:$A,0))))+COS(RADIANS('ZIP Coordinates'!$C$2))*COS(RADIANS(INDEX('ZIP Coordinates'!$C:$C,MATCH($A597,'ZIP Coordinates'!$A:$A,0))))*COS(RADIANS(INDEX('ZIP Coordinates'!$D:$D,MATCH($A597,'ZIP Coordinates'!$A:$A,0))-'ZIP Coordinates'!$D$2))))),"N/A")</f>
        <v>142.69042239079656</v>
      </c>
    </row>
    <row r="598" spans="1:6" x14ac:dyDescent="0.2">
      <c r="A598" s="3" t="s">
        <v>74</v>
      </c>
      <c r="B598" s="3" t="s">
        <v>297</v>
      </c>
      <c r="C598" s="3" t="s">
        <v>254</v>
      </c>
      <c r="D598" s="3" t="s">
        <v>188</v>
      </c>
      <c r="E598" s="28">
        <f>SUMIFS('Raw Data'!$I$2:$I$878,'Raw Data'!$A$2:$A$878,$A598,'Raw Data'!$B$2:$B$878,$B598,'Raw Data'!$D$2:$D$878,$D598)</f>
        <v>162</v>
      </c>
      <c r="F598" s="5">
        <f>IFERROR(3958.8*ACOS(MIN(1,MAX(-1,SIN(RADIANS('ZIP Coordinates'!$C$2))*SIN(RADIANS(INDEX('ZIP Coordinates'!$C:$C,MATCH($A598,'ZIP Coordinates'!$A:$A,0))))+COS(RADIANS('ZIP Coordinates'!$C$2))*COS(RADIANS(INDEX('ZIP Coordinates'!$C:$C,MATCH($A598,'ZIP Coordinates'!$A:$A,0))))*COS(RADIANS(INDEX('ZIP Coordinates'!$D:$D,MATCH($A598,'ZIP Coordinates'!$A:$A,0))-'ZIP Coordinates'!$D$2))))),"N/A")</f>
        <v>155.35376445370031</v>
      </c>
    </row>
    <row r="599" spans="1:6" x14ac:dyDescent="0.2">
      <c r="A599" s="3" t="s">
        <v>74</v>
      </c>
      <c r="B599" s="3" t="s">
        <v>253</v>
      </c>
      <c r="C599" s="3" t="s">
        <v>254</v>
      </c>
      <c r="D599" s="3" t="s">
        <v>196</v>
      </c>
      <c r="E599" s="28">
        <f>SUMIFS('Raw Data'!$I$2:$I$878,'Raw Data'!$A$2:$A$878,$A599,'Raw Data'!$B$2:$B$878,$B599,'Raw Data'!$D$2:$D$878,$D599)</f>
        <v>13</v>
      </c>
      <c r="F599" s="5">
        <f>IFERROR(3958.8*ACOS(MIN(1,MAX(-1,SIN(RADIANS('ZIP Coordinates'!$C$2))*SIN(RADIANS(INDEX('ZIP Coordinates'!$C:$C,MATCH($A599,'ZIP Coordinates'!$A:$A,0))))+COS(RADIANS('ZIP Coordinates'!$C$2))*COS(RADIANS(INDEX('ZIP Coordinates'!$C:$C,MATCH($A599,'ZIP Coordinates'!$A:$A,0))))*COS(RADIANS(INDEX('ZIP Coordinates'!$D:$D,MATCH($A599,'ZIP Coordinates'!$A:$A,0))-'ZIP Coordinates'!$D$2))))),"N/A")</f>
        <v>155.35376445370031</v>
      </c>
    </row>
    <row r="600" spans="1:6" x14ac:dyDescent="0.2">
      <c r="A600" s="3" t="s">
        <v>75</v>
      </c>
      <c r="B600" s="3" t="s">
        <v>250</v>
      </c>
      <c r="C600" s="3" t="s">
        <v>249</v>
      </c>
      <c r="D600" s="3" t="s">
        <v>148</v>
      </c>
      <c r="E600" s="28">
        <f>SUMIFS('Raw Data'!$I$2:$I$878,'Raw Data'!$A$2:$A$878,$A600,'Raw Data'!$B$2:$B$878,$B600,'Raw Data'!$D$2:$D$878,$D600)</f>
        <v>86</v>
      </c>
      <c r="F600" s="5">
        <f>IFERROR(3958.8*ACOS(MIN(1,MAX(-1,SIN(RADIANS('ZIP Coordinates'!$C$2))*SIN(RADIANS(INDEX('ZIP Coordinates'!$C:$C,MATCH($A600,'ZIP Coordinates'!$A:$A,0))))+COS(RADIANS('ZIP Coordinates'!$C$2))*COS(RADIANS(INDEX('ZIP Coordinates'!$C:$C,MATCH($A600,'ZIP Coordinates'!$A:$A,0))))*COS(RADIANS(INDEX('ZIP Coordinates'!$D:$D,MATCH($A600,'ZIP Coordinates'!$A:$A,0))-'ZIP Coordinates'!$D$2))))),"N/A")</f>
        <v>138.87185285994119</v>
      </c>
    </row>
    <row r="601" spans="1:6" x14ac:dyDescent="0.2">
      <c r="A601" s="3" t="s">
        <v>75</v>
      </c>
      <c r="B601" s="3" t="s">
        <v>284</v>
      </c>
      <c r="C601" s="3" t="s">
        <v>285</v>
      </c>
      <c r="D601" s="3" t="s">
        <v>208</v>
      </c>
      <c r="E601" s="28">
        <f>SUMIFS('Raw Data'!$I$2:$I$878,'Raw Data'!$A$2:$A$878,$A601,'Raw Data'!$B$2:$B$878,$B601,'Raw Data'!$D$2:$D$878,$D601)</f>
        <v>6</v>
      </c>
      <c r="F601" s="5">
        <f>IFERROR(3958.8*ACOS(MIN(1,MAX(-1,SIN(RADIANS('ZIP Coordinates'!$C$2))*SIN(RADIANS(INDEX('ZIP Coordinates'!$C:$C,MATCH($A601,'ZIP Coordinates'!$A:$A,0))))+COS(RADIANS('ZIP Coordinates'!$C$2))*COS(RADIANS(INDEX('ZIP Coordinates'!$C:$C,MATCH($A601,'ZIP Coordinates'!$A:$A,0))))*COS(RADIANS(INDEX('ZIP Coordinates'!$D:$D,MATCH($A601,'ZIP Coordinates'!$A:$A,0))-'ZIP Coordinates'!$D$2))))),"N/A")</f>
        <v>138.87185285994119</v>
      </c>
    </row>
    <row r="602" spans="1:6" x14ac:dyDescent="0.2">
      <c r="A602" s="3" t="s">
        <v>75</v>
      </c>
      <c r="B602" s="3" t="s">
        <v>255</v>
      </c>
      <c r="C602" s="3" t="s">
        <v>256</v>
      </c>
      <c r="D602" s="3" t="s">
        <v>148</v>
      </c>
      <c r="E602" s="28">
        <f>SUMIFS('Raw Data'!$I$2:$I$878,'Raw Data'!$A$2:$A$878,$A602,'Raw Data'!$B$2:$B$878,$B602,'Raw Data'!$D$2:$D$878,$D602)</f>
        <v>480</v>
      </c>
      <c r="F602" s="5">
        <f>IFERROR(3958.8*ACOS(MIN(1,MAX(-1,SIN(RADIANS('ZIP Coordinates'!$C$2))*SIN(RADIANS(INDEX('ZIP Coordinates'!$C:$C,MATCH($A602,'ZIP Coordinates'!$A:$A,0))))+COS(RADIANS('ZIP Coordinates'!$C$2))*COS(RADIANS(INDEX('ZIP Coordinates'!$C:$C,MATCH($A602,'ZIP Coordinates'!$A:$A,0))))*COS(RADIANS(INDEX('ZIP Coordinates'!$D:$D,MATCH($A602,'ZIP Coordinates'!$A:$A,0))-'ZIP Coordinates'!$D$2))))),"N/A")</f>
        <v>138.87185285994119</v>
      </c>
    </row>
    <row r="603" spans="1:6" x14ac:dyDescent="0.2">
      <c r="A603" s="3" t="s">
        <v>76</v>
      </c>
      <c r="B603" s="3" t="s">
        <v>241</v>
      </c>
      <c r="C603" s="3" t="s">
        <v>242</v>
      </c>
      <c r="D603" s="3" t="s">
        <v>127</v>
      </c>
      <c r="E603" s="28">
        <f>SUMIFS('Raw Data'!$I$2:$I$878,'Raw Data'!$A$2:$A$878,$A603,'Raw Data'!$B$2:$B$878,$B603,'Raw Data'!$D$2:$D$878,$D603)</f>
        <v>25</v>
      </c>
      <c r="F603" s="5">
        <f>IFERROR(3958.8*ACOS(MIN(1,MAX(-1,SIN(RADIANS('ZIP Coordinates'!$C$2))*SIN(RADIANS(INDEX('ZIP Coordinates'!$C:$C,MATCH($A603,'ZIP Coordinates'!$A:$A,0))))+COS(RADIANS('ZIP Coordinates'!$C$2))*COS(RADIANS(INDEX('ZIP Coordinates'!$C:$C,MATCH($A603,'ZIP Coordinates'!$A:$A,0))))*COS(RADIANS(INDEX('ZIP Coordinates'!$D:$D,MATCH($A603,'ZIP Coordinates'!$A:$A,0))-'ZIP Coordinates'!$D$2))))),"N/A")</f>
        <v>143.5354957173447</v>
      </c>
    </row>
    <row r="604" spans="1:6" x14ac:dyDescent="0.2">
      <c r="A604" s="3" t="s">
        <v>76</v>
      </c>
      <c r="B604" s="3" t="s">
        <v>243</v>
      </c>
      <c r="C604" s="3" t="s">
        <v>244</v>
      </c>
      <c r="D604" s="3" t="s">
        <v>127</v>
      </c>
      <c r="E604" s="28">
        <f>SUMIFS('Raw Data'!$I$2:$I$878,'Raw Data'!$A$2:$A$878,$A604,'Raw Data'!$B$2:$B$878,$B604,'Raw Data'!$D$2:$D$878,$D604)</f>
        <v>3</v>
      </c>
      <c r="F604" s="5">
        <f>IFERROR(3958.8*ACOS(MIN(1,MAX(-1,SIN(RADIANS('ZIP Coordinates'!$C$2))*SIN(RADIANS(INDEX('ZIP Coordinates'!$C:$C,MATCH($A604,'ZIP Coordinates'!$A:$A,0))))+COS(RADIANS('ZIP Coordinates'!$C$2))*COS(RADIANS(INDEX('ZIP Coordinates'!$C:$C,MATCH($A604,'ZIP Coordinates'!$A:$A,0))))*COS(RADIANS(INDEX('ZIP Coordinates'!$D:$D,MATCH($A604,'ZIP Coordinates'!$A:$A,0))-'ZIP Coordinates'!$D$2))))),"N/A")</f>
        <v>143.5354957173447</v>
      </c>
    </row>
    <row r="605" spans="1:6" x14ac:dyDescent="0.2">
      <c r="A605" s="3" t="s">
        <v>76</v>
      </c>
      <c r="B605" s="3" t="s">
        <v>276</v>
      </c>
      <c r="C605" s="3" t="s">
        <v>275</v>
      </c>
      <c r="D605" s="3" t="s">
        <v>127</v>
      </c>
      <c r="E605" s="28">
        <f>SUMIFS('Raw Data'!$I$2:$I$878,'Raw Data'!$A$2:$A$878,$A605,'Raw Data'!$B$2:$B$878,$B605,'Raw Data'!$D$2:$D$878,$D605)</f>
        <v>35</v>
      </c>
      <c r="F605" s="5">
        <f>IFERROR(3958.8*ACOS(MIN(1,MAX(-1,SIN(RADIANS('ZIP Coordinates'!$C$2))*SIN(RADIANS(INDEX('ZIP Coordinates'!$C:$C,MATCH($A605,'ZIP Coordinates'!$A:$A,0))))+COS(RADIANS('ZIP Coordinates'!$C$2))*COS(RADIANS(INDEX('ZIP Coordinates'!$C:$C,MATCH($A605,'ZIP Coordinates'!$A:$A,0))))*COS(RADIANS(INDEX('ZIP Coordinates'!$D:$D,MATCH($A605,'ZIP Coordinates'!$A:$A,0))-'ZIP Coordinates'!$D$2))))),"N/A")</f>
        <v>143.5354957173447</v>
      </c>
    </row>
    <row r="606" spans="1:6" x14ac:dyDescent="0.2">
      <c r="A606" s="3" t="s">
        <v>76</v>
      </c>
      <c r="B606" s="3" t="s">
        <v>247</v>
      </c>
      <c r="C606" s="3" t="s">
        <v>246</v>
      </c>
      <c r="D606" s="3" t="s">
        <v>127</v>
      </c>
      <c r="E606" s="28">
        <f>SUMIFS('Raw Data'!$I$2:$I$878,'Raw Data'!$A$2:$A$878,$A606,'Raw Data'!$B$2:$B$878,$B606,'Raw Data'!$D$2:$D$878,$D606)</f>
        <v>49</v>
      </c>
      <c r="F606" s="5">
        <f>IFERROR(3958.8*ACOS(MIN(1,MAX(-1,SIN(RADIANS('ZIP Coordinates'!$C$2))*SIN(RADIANS(INDEX('ZIP Coordinates'!$C:$C,MATCH($A606,'ZIP Coordinates'!$A:$A,0))))+COS(RADIANS('ZIP Coordinates'!$C$2))*COS(RADIANS(INDEX('ZIP Coordinates'!$C:$C,MATCH($A606,'ZIP Coordinates'!$A:$A,0))))*COS(RADIANS(INDEX('ZIP Coordinates'!$D:$D,MATCH($A606,'ZIP Coordinates'!$A:$A,0))-'ZIP Coordinates'!$D$2))))),"N/A")</f>
        <v>143.5354957173447</v>
      </c>
    </row>
    <row r="607" spans="1:6" x14ac:dyDescent="0.2">
      <c r="A607" s="3" t="s">
        <v>76</v>
      </c>
      <c r="B607" s="3" t="s">
        <v>250</v>
      </c>
      <c r="C607" s="3" t="s">
        <v>249</v>
      </c>
      <c r="D607" s="3" t="s">
        <v>127</v>
      </c>
      <c r="E607" s="28">
        <f>SUMIFS('Raw Data'!$I$2:$I$878,'Raw Data'!$A$2:$A$878,$A607,'Raw Data'!$B$2:$B$878,$B607,'Raw Data'!$D$2:$D$878,$D607)</f>
        <v>45</v>
      </c>
      <c r="F607" s="5">
        <f>IFERROR(3958.8*ACOS(MIN(1,MAX(-1,SIN(RADIANS('ZIP Coordinates'!$C$2))*SIN(RADIANS(INDEX('ZIP Coordinates'!$C:$C,MATCH($A607,'ZIP Coordinates'!$A:$A,0))))+COS(RADIANS('ZIP Coordinates'!$C$2))*COS(RADIANS(INDEX('ZIP Coordinates'!$C:$C,MATCH($A607,'ZIP Coordinates'!$A:$A,0))))*COS(RADIANS(INDEX('ZIP Coordinates'!$D:$D,MATCH($A607,'ZIP Coordinates'!$A:$A,0))-'ZIP Coordinates'!$D$2))))),"N/A")</f>
        <v>143.5354957173447</v>
      </c>
    </row>
    <row r="608" spans="1:6" x14ac:dyDescent="0.2">
      <c r="A608" s="3" t="s">
        <v>76</v>
      </c>
      <c r="B608" s="3" t="s">
        <v>251</v>
      </c>
      <c r="C608" s="3" t="s">
        <v>252</v>
      </c>
      <c r="D608" s="3" t="s">
        <v>127</v>
      </c>
      <c r="E608" s="28">
        <f>SUMIFS('Raw Data'!$I$2:$I$878,'Raw Data'!$A$2:$A$878,$A608,'Raw Data'!$B$2:$B$878,$B608,'Raw Data'!$D$2:$D$878,$D608)</f>
        <v>80</v>
      </c>
      <c r="F608" s="5">
        <f>IFERROR(3958.8*ACOS(MIN(1,MAX(-1,SIN(RADIANS('ZIP Coordinates'!$C$2))*SIN(RADIANS(INDEX('ZIP Coordinates'!$C:$C,MATCH($A608,'ZIP Coordinates'!$A:$A,0))))+COS(RADIANS('ZIP Coordinates'!$C$2))*COS(RADIANS(INDEX('ZIP Coordinates'!$C:$C,MATCH($A608,'ZIP Coordinates'!$A:$A,0))))*COS(RADIANS(INDEX('ZIP Coordinates'!$D:$D,MATCH($A608,'ZIP Coordinates'!$A:$A,0))-'ZIP Coordinates'!$D$2))))),"N/A")</f>
        <v>143.5354957173447</v>
      </c>
    </row>
    <row r="609" spans="1:6" x14ac:dyDescent="0.2">
      <c r="A609" s="3" t="s">
        <v>76</v>
      </c>
      <c r="B609" s="3" t="s">
        <v>255</v>
      </c>
      <c r="C609" s="3" t="s">
        <v>256</v>
      </c>
      <c r="D609" s="3" t="s">
        <v>127</v>
      </c>
      <c r="E609" s="28">
        <f>SUMIFS('Raw Data'!$I$2:$I$878,'Raw Data'!$A$2:$A$878,$A609,'Raw Data'!$B$2:$B$878,$B609,'Raw Data'!$D$2:$D$878,$D609)</f>
        <v>660</v>
      </c>
      <c r="F609" s="5">
        <f>IFERROR(3958.8*ACOS(MIN(1,MAX(-1,SIN(RADIANS('ZIP Coordinates'!$C$2))*SIN(RADIANS(INDEX('ZIP Coordinates'!$C:$C,MATCH($A609,'ZIP Coordinates'!$A:$A,0))))+COS(RADIANS('ZIP Coordinates'!$C$2))*COS(RADIANS(INDEX('ZIP Coordinates'!$C:$C,MATCH($A609,'ZIP Coordinates'!$A:$A,0))))*COS(RADIANS(INDEX('ZIP Coordinates'!$D:$D,MATCH($A609,'ZIP Coordinates'!$A:$A,0))-'ZIP Coordinates'!$D$2))))),"N/A")</f>
        <v>143.5354957173447</v>
      </c>
    </row>
    <row r="610" spans="1:6" x14ac:dyDescent="0.2">
      <c r="A610" s="3" t="s">
        <v>77</v>
      </c>
      <c r="B610" s="3" t="s">
        <v>281</v>
      </c>
      <c r="C610" s="3" t="s">
        <v>252</v>
      </c>
      <c r="D610" s="3" t="s">
        <v>178</v>
      </c>
      <c r="E610" s="28">
        <f>SUMIFS('Raw Data'!$I$2:$I$878,'Raw Data'!$A$2:$A$878,$A610,'Raw Data'!$B$2:$B$878,$B610,'Raw Data'!$D$2:$D$878,$D610)</f>
        <v>100</v>
      </c>
      <c r="F610" s="5">
        <f>IFERROR(3958.8*ACOS(MIN(1,MAX(-1,SIN(RADIANS('ZIP Coordinates'!$C$2))*SIN(RADIANS(INDEX('ZIP Coordinates'!$C:$C,MATCH($A610,'ZIP Coordinates'!$A:$A,0))))+COS(RADIANS('ZIP Coordinates'!$C$2))*COS(RADIANS(INDEX('ZIP Coordinates'!$C:$C,MATCH($A610,'ZIP Coordinates'!$A:$A,0))))*COS(RADIANS(INDEX('ZIP Coordinates'!$D:$D,MATCH($A610,'ZIP Coordinates'!$A:$A,0))-'ZIP Coordinates'!$D$2))))),"N/A")</f>
        <v>165.61057241009127</v>
      </c>
    </row>
    <row r="611" spans="1:6" x14ac:dyDescent="0.2">
      <c r="A611" s="3" t="s">
        <v>77</v>
      </c>
      <c r="B611" s="3" t="s">
        <v>286</v>
      </c>
      <c r="C611" s="3" t="s">
        <v>287</v>
      </c>
      <c r="D611" s="3" t="s">
        <v>178</v>
      </c>
      <c r="E611" s="28">
        <f>SUMIFS('Raw Data'!$I$2:$I$878,'Raw Data'!$A$2:$A$878,$A611,'Raw Data'!$B$2:$B$878,$B611,'Raw Data'!$D$2:$D$878,$D611)</f>
        <v>207</v>
      </c>
      <c r="F611" s="5">
        <f>IFERROR(3958.8*ACOS(MIN(1,MAX(-1,SIN(RADIANS('ZIP Coordinates'!$C$2))*SIN(RADIANS(INDEX('ZIP Coordinates'!$C:$C,MATCH($A611,'ZIP Coordinates'!$A:$A,0))))+COS(RADIANS('ZIP Coordinates'!$C$2))*COS(RADIANS(INDEX('ZIP Coordinates'!$C:$C,MATCH($A611,'ZIP Coordinates'!$A:$A,0))))*COS(RADIANS(INDEX('ZIP Coordinates'!$D:$D,MATCH($A611,'ZIP Coordinates'!$A:$A,0))-'ZIP Coordinates'!$D$2))))),"N/A")</f>
        <v>165.61057241009127</v>
      </c>
    </row>
    <row r="612" spans="1:6" x14ac:dyDescent="0.2">
      <c r="A612" s="3" t="s">
        <v>77</v>
      </c>
      <c r="B612" s="3" t="s">
        <v>255</v>
      </c>
      <c r="C612" s="3" t="s">
        <v>256</v>
      </c>
      <c r="D612" s="3" t="s">
        <v>178</v>
      </c>
      <c r="E612" s="28">
        <f>SUMIFS('Raw Data'!$I$2:$I$878,'Raw Data'!$A$2:$A$878,$A612,'Raw Data'!$B$2:$B$878,$B612,'Raw Data'!$D$2:$D$878,$D612)</f>
        <v>120</v>
      </c>
      <c r="F612" s="5">
        <f>IFERROR(3958.8*ACOS(MIN(1,MAX(-1,SIN(RADIANS('ZIP Coordinates'!$C$2))*SIN(RADIANS(INDEX('ZIP Coordinates'!$C:$C,MATCH($A612,'ZIP Coordinates'!$A:$A,0))))+COS(RADIANS('ZIP Coordinates'!$C$2))*COS(RADIANS(INDEX('ZIP Coordinates'!$C:$C,MATCH($A612,'ZIP Coordinates'!$A:$A,0))))*COS(RADIANS(INDEX('ZIP Coordinates'!$D:$D,MATCH($A612,'ZIP Coordinates'!$A:$A,0))-'ZIP Coordinates'!$D$2))))),"N/A")</f>
        <v>165.61057241009127</v>
      </c>
    </row>
    <row r="613" spans="1:6" x14ac:dyDescent="0.2">
      <c r="A613" s="3" t="s">
        <v>78</v>
      </c>
      <c r="B613" s="3" t="s">
        <v>258</v>
      </c>
      <c r="C613" s="3" t="s">
        <v>240</v>
      </c>
      <c r="D613" s="3" t="s">
        <v>94</v>
      </c>
      <c r="E613" s="28">
        <f>SUMIFS('Raw Data'!$I$2:$I$878,'Raw Data'!$A$2:$A$878,$A613,'Raw Data'!$B$2:$B$878,$B613,'Raw Data'!$D$2:$D$878,$D613)</f>
        <v>44</v>
      </c>
      <c r="F613" s="5">
        <f>IFERROR(3958.8*ACOS(MIN(1,MAX(-1,SIN(RADIANS('ZIP Coordinates'!$C$2))*SIN(RADIANS(INDEX('ZIP Coordinates'!$C:$C,MATCH($A613,'ZIP Coordinates'!$A:$A,0))))+COS(RADIANS('ZIP Coordinates'!$C$2))*COS(RADIANS(INDEX('ZIP Coordinates'!$C:$C,MATCH($A613,'ZIP Coordinates'!$A:$A,0))))*COS(RADIANS(INDEX('ZIP Coordinates'!$D:$D,MATCH($A613,'ZIP Coordinates'!$A:$A,0))-'ZIP Coordinates'!$D$2))))),"N/A")</f>
        <v>142.88957686050676</v>
      </c>
    </row>
    <row r="614" spans="1:6" x14ac:dyDescent="0.2">
      <c r="A614" s="3" t="s">
        <v>78</v>
      </c>
      <c r="B614" s="3" t="s">
        <v>239</v>
      </c>
      <c r="C614" s="3" t="s">
        <v>240</v>
      </c>
      <c r="D614" s="3" t="s">
        <v>209</v>
      </c>
      <c r="E614" s="28">
        <f>SUMIFS('Raw Data'!$I$2:$I$878,'Raw Data'!$A$2:$A$878,$A614,'Raw Data'!$B$2:$B$878,$B614,'Raw Data'!$D$2:$D$878,$D614)</f>
        <v>6</v>
      </c>
      <c r="F614" s="5">
        <f>IFERROR(3958.8*ACOS(MIN(1,MAX(-1,SIN(RADIANS('ZIP Coordinates'!$C$2))*SIN(RADIANS(INDEX('ZIP Coordinates'!$C:$C,MATCH($A614,'ZIP Coordinates'!$A:$A,0))))+COS(RADIANS('ZIP Coordinates'!$C$2))*COS(RADIANS(INDEX('ZIP Coordinates'!$C:$C,MATCH($A614,'ZIP Coordinates'!$A:$A,0))))*COS(RADIANS(INDEX('ZIP Coordinates'!$D:$D,MATCH($A614,'ZIP Coordinates'!$A:$A,0))-'ZIP Coordinates'!$D$2))))),"N/A")</f>
        <v>142.88957686050676</v>
      </c>
    </row>
    <row r="615" spans="1:6" x14ac:dyDescent="0.2">
      <c r="A615" s="3" t="s">
        <v>78</v>
      </c>
      <c r="B615" s="3" t="s">
        <v>259</v>
      </c>
      <c r="C615" s="3" t="s">
        <v>260</v>
      </c>
      <c r="D615" s="3" t="s">
        <v>94</v>
      </c>
      <c r="E615" s="28">
        <f>SUMIFS('Raw Data'!$I$2:$I$878,'Raw Data'!$A$2:$A$878,$A615,'Raw Data'!$B$2:$B$878,$B615,'Raw Data'!$D$2:$D$878,$D615)</f>
        <v>28</v>
      </c>
      <c r="F615" s="5">
        <f>IFERROR(3958.8*ACOS(MIN(1,MAX(-1,SIN(RADIANS('ZIP Coordinates'!$C$2))*SIN(RADIANS(INDEX('ZIP Coordinates'!$C:$C,MATCH($A615,'ZIP Coordinates'!$A:$A,0))))+COS(RADIANS('ZIP Coordinates'!$C$2))*COS(RADIANS(INDEX('ZIP Coordinates'!$C:$C,MATCH($A615,'ZIP Coordinates'!$A:$A,0))))*COS(RADIANS(INDEX('ZIP Coordinates'!$D:$D,MATCH($A615,'ZIP Coordinates'!$A:$A,0))-'ZIP Coordinates'!$D$2))))),"N/A")</f>
        <v>142.88957686050676</v>
      </c>
    </row>
    <row r="616" spans="1:6" x14ac:dyDescent="0.2">
      <c r="A616" s="3" t="s">
        <v>78</v>
      </c>
      <c r="B616" s="3" t="s">
        <v>267</v>
      </c>
      <c r="C616" s="3" t="s">
        <v>268</v>
      </c>
      <c r="D616" s="3" t="s">
        <v>94</v>
      </c>
      <c r="E616" s="28">
        <f>SUMIFS('Raw Data'!$I$2:$I$878,'Raw Data'!$A$2:$A$878,$A616,'Raw Data'!$B$2:$B$878,$B616,'Raw Data'!$D$2:$D$878,$D616)</f>
        <v>28</v>
      </c>
      <c r="F616" s="5">
        <f>IFERROR(3958.8*ACOS(MIN(1,MAX(-1,SIN(RADIANS('ZIP Coordinates'!$C$2))*SIN(RADIANS(INDEX('ZIP Coordinates'!$C:$C,MATCH($A616,'ZIP Coordinates'!$A:$A,0))))+COS(RADIANS('ZIP Coordinates'!$C$2))*COS(RADIANS(INDEX('ZIP Coordinates'!$C:$C,MATCH($A616,'ZIP Coordinates'!$A:$A,0))))*COS(RADIANS(INDEX('ZIP Coordinates'!$D:$D,MATCH($A616,'ZIP Coordinates'!$A:$A,0))-'ZIP Coordinates'!$D$2))))),"N/A")</f>
        <v>142.88957686050676</v>
      </c>
    </row>
    <row r="617" spans="1:6" x14ac:dyDescent="0.2">
      <c r="A617" s="3" t="s">
        <v>78</v>
      </c>
      <c r="B617" s="3" t="s">
        <v>241</v>
      </c>
      <c r="C617" s="3" t="s">
        <v>242</v>
      </c>
      <c r="D617" s="3" t="s">
        <v>94</v>
      </c>
      <c r="E617" s="28">
        <f>SUMIFS('Raw Data'!$I$2:$I$878,'Raw Data'!$A$2:$A$878,$A617,'Raw Data'!$B$2:$B$878,$B617,'Raw Data'!$D$2:$D$878,$D617)</f>
        <v>30</v>
      </c>
      <c r="F617" s="5">
        <f>IFERROR(3958.8*ACOS(MIN(1,MAX(-1,SIN(RADIANS('ZIP Coordinates'!$C$2))*SIN(RADIANS(INDEX('ZIP Coordinates'!$C:$C,MATCH($A617,'ZIP Coordinates'!$A:$A,0))))+COS(RADIANS('ZIP Coordinates'!$C$2))*COS(RADIANS(INDEX('ZIP Coordinates'!$C:$C,MATCH($A617,'ZIP Coordinates'!$A:$A,0))))*COS(RADIANS(INDEX('ZIP Coordinates'!$D:$D,MATCH($A617,'ZIP Coordinates'!$A:$A,0))-'ZIP Coordinates'!$D$2))))),"N/A")</f>
        <v>142.88957686050676</v>
      </c>
    </row>
    <row r="618" spans="1:6" x14ac:dyDescent="0.2">
      <c r="A618" s="3" t="s">
        <v>78</v>
      </c>
      <c r="B618" s="3" t="s">
        <v>271</v>
      </c>
      <c r="C618" s="3" t="s">
        <v>244</v>
      </c>
      <c r="D618" s="3" t="s">
        <v>99</v>
      </c>
      <c r="E618" s="28">
        <f>SUMIFS('Raw Data'!$I$2:$I$878,'Raw Data'!$A$2:$A$878,$A618,'Raw Data'!$B$2:$B$878,$B618,'Raw Data'!$D$2:$D$878,$D618)</f>
        <v>7524</v>
      </c>
      <c r="F618" s="5">
        <f>IFERROR(3958.8*ACOS(MIN(1,MAX(-1,SIN(RADIANS('ZIP Coordinates'!$C$2))*SIN(RADIANS(INDEX('ZIP Coordinates'!$C:$C,MATCH($A618,'ZIP Coordinates'!$A:$A,0))))+COS(RADIANS('ZIP Coordinates'!$C$2))*COS(RADIANS(INDEX('ZIP Coordinates'!$C:$C,MATCH($A618,'ZIP Coordinates'!$A:$A,0))))*COS(RADIANS(INDEX('ZIP Coordinates'!$D:$D,MATCH($A618,'ZIP Coordinates'!$A:$A,0))-'ZIP Coordinates'!$D$2))))),"N/A")</f>
        <v>142.88957686050676</v>
      </c>
    </row>
    <row r="619" spans="1:6" x14ac:dyDescent="0.2">
      <c r="A619" s="3" t="s">
        <v>78</v>
      </c>
      <c r="B619" s="3" t="s">
        <v>243</v>
      </c>
      <c r="C619" s="3" t="s">
        <v>244</v>
      </c>
      <c r="D619" s="3" t="s">
        <v>94</v>
      </c>
      <c r="E619" s="28">
        <f>SUMIFS('Raw Data'!$I$2:$I$878,'Raw Data'!$A$2:$A$878,$A619,'Raw Data'!$B$2:$B$878,$B619,'Raw Data'!$D$2:$D$878,$D619)</f>
        <v>30</v>
      </c>
      <c r="F619" s="5">
        <f>IFERROR(3958.8*ACOS(MIN(1,MAX(-1,SIN(RADIANS('ZIP Coordinates'!$C$2))*SIN(RADIANS(INDEX('ZIP Coordinates'!$C:$C,MATCH($A619,'ZIP Coordinates'!$A:$A,0))))+COS(RADIANS('ZIP Coordinates'!$C$2))*COS(RADIANS(INDEX('ZIP Coordinates'!$C:$C,MATCH($A619,'ZIP Coordinates'!$A:$A,0))))*COS(RADIANS(INDEX('ZIP Coordinates'!$D:$D,MATCH($A619,'ZIP Coordinates'!$A:$A,0))-'ZIP Coordinates'!$D$2))))),"N/A")</f>
        <v>142.88957686050676</v>
      </c>
    </row>
    <row r="620" spans="1:6" x14ac:dyDescent="0.2">
      <c r="A620" s="3" t="s">
        <v>78</v>
      </c>
      <c r="B620" s="3" t="s">
        <v>274</v>
      </c>
      <c r="C620" s="3" t="s">
        <v>275</v>
      </c>
      <c r="D620" s="3" t="s">
        <v>94</v>
      </c>
      <c r="E620" s="28">
        <f>SUMIFS('Raw Data'!$I$2:$I$878,'Raw Data'!$A$2:$A$878,$A620,'Raw Data'!$B$2:$B$878,$B620,'Raw Data'!$D$2:$D$878,$D620)</f>
        <v>7335</v>
      </c>
      <c r="F620" s="5">
        <f>IFERROR(3958.8*ACOS(MIN(1,MAX(-1,SIN(RADIANS('ZIP Coordinates'!$C$2))*SIN(RADIANS(INDEX('ZIP Coordinates'!$C:$C,MATCH($A620,'ZIP Coordinates'!$A:$A,0))))+COS(RADIANS('ZIP Coordinates'!$C$2))*COS(RADIANS(INDEX('ZIP Coordinates'!$C:$C,MATCH($A620,'ZIP Coordinates'!$A:$A,0))))*COS(RADIANS(INDEX('ZIP Coordinates'!$D:$D,MATCH($A620,'ZIP Coordinates'!$A:$A,0))-'ZIP Coordinates'!$D$2))))),"N/A")</f>
        <v>142.88957686050676</v>
      </c>
    </row>
    <row r="621" spans="1:6" x14ac:dyDescent="0.2">
      <c r="A621" s="3" t="s">
        <v>78</v>
      </c>
      <c r="B621" s="3" t="s">
        <v>276</v>
      </c>
      <c r="C621" s="3" t="s">
        <v>275</v>
      </c>
      <c r="D621" s="3" t="s">
        <v>94</v>
      </c>
      <c r="E621" s="28">
        <f>SUMIFS('Raw Data'!$I$2:$I$878,'Raw Data'!$A$2:$A$878,$A621,'Raw Data'!$B$2:$B$878,$B621,'Raw Data'!$D$2:$D$878,$D621)</f>
        <v>21</v>
      </c>
      <c r="F621" s="5">
        <f>IFERROR(3958.8*ACOS(MIN(1,MAX(-1,SIN(RADIANS('ZIP Coordinates'!$C$2))*SIN(RADIANS(INDEX('ZIP Coordinates'!$C:$C,MATCH($A621,'ZIP Coordinates'!$A:$A,0))))+COS(RADIANS('ZIP Coordinates'!$C$2))*COS(RADIANS(INDEX('ZIP Coordinates'!$C:$C,MATCH($A621,'ZIP Coordinates'!$A:$A,0))))*COS(RADIANS(INDEX('ZIP Coordinates'!$D:$D,MATCH($A621,'ZIP Coordinates'!$A:$A,0))-'ZIP Coordinates'!$D$2))))),"N/A")</f>
        <v>142.88957686050676</v>
      </c>
    </row>
    <row r="622" spans="1:6" x14ac:dyDescent="0.2">
      <c r="A622" s="3" t="s">
        <v>78</v>
      </c>
      <c r="B622" s="3" t="s">
        <v>247</v>
      </c>
      <c r="C622" s="3" t="s">
        <v>246</v>
      </c>
      <c r="D622" s="3" t="s">
        <v>94</v>
      </c>
      <c r="E622" s="28">
        <f>SUMIFS('Raw Data'!$I$2:$I$878,'Raw Data'!$A$2:$A$878,$A622,'Raw Data'!$B$2:$B$878,$B622,'Raw Data'!$D$2:$D$878,$D622)</f>
        <v>90</v>
      </c>
      <c r="F622" s="5">
        <f>IFERROR(3958.8*ACOS(MIN(1,MAX(-1,SIN(RADIANS('ZIP Coordinates'!$C$2))*SIN(RADIANS(INDEX('ZIP Coordinates'!$C:$C,MATCH($A622,'ZIP Coordinates'!$A:$A,0))))+COS(RADIANS('ZIP Coordinates'!$C$2))*COS(RADIANS(INDEX('ZIP Coordinates'!$C:$C,MATCH($A622,'ZIP Coordinates'!$A:$A,0))))*COS(RADIANS(INDEX('ZIP Coordinates'!$D:$D,MATCH($A622,'ZIP Coordinates'!$A:$A,0))-'ZIP Coordinates'!$D$2))))),"N/A")</f>
        <v>142.88957686050676</v>
      </c>
    </row>
    <row r="623" spans="1:6" x14ac:dyDescent="0.2">
      <c r="A623" s="3" t="s">
        <v>78</v>
      </c>
      <c r="B623" s="3" t="s">
        <v>250</v>
      </c>
      <c r="C623" s="3" t="s">
        <v>249</v>
      </c>
      <c r="D623" s="3" t="s">
        <v>94</v>
      </c>
      <c r="E623" s="28">
        <f>SUMIFS('Raw Data'!$I$2:$I$878,'Raw Data'!$A$2:$A$878,$A623,'Raw Data'!$B$2:$B$878,$B623,'Raw Data'!$D$2:$D$878,$D623)</f>
        <v>95</v>
      </c>
      <c r="F623" s="5">
        <f>IFERROR(3958.8*ACOS(MIN(1,MAX(-1,SIN(RADIANS('ZIP Coordinates'!$C$2))*SIN(RADIANS(INDEX('ZIP Coordinates'!$C:$C,MATCH($A623,'ZIP Coordinates'!$A:$A,0))))+COS(RADIANS('ZIP Coordinates'!$C$2))*COS(RADIANS(INDEX('ZIP Coordinates'!$C:$C,MATCH($A623,'ZIP Coordinates'!$A:$A,0))))*COS(RADIANS(INDEX('ZIP Coordinates'!$D:$D,MATCH($A623,'ZIP Coordinates'!$A:$A,0))-'ZIP Coordinates'!$D$2))))),"N/A")</f>
        <v>142.88957686050676</v>
      </c>
    </row>
    <row r="624" spans="1:6" x14ac:dyDescent="0.2">
      <c r="A624" s="3" t="s">
        <v>78</v>
      </c>
      <c r="B624" s="3" t="s">
        <v>281</v>
      </c>
      <c r="C624" s="3" t="s">
        <v>252</v>
      </c>
      <c r="D624" s="3" t="s">
        <v>94</v>
      </c>
      <c r="E624" s="28">
        <f>SUMIFS('Raw Data'!$I$2:$I$878,'Raw Data'!$A$2:$A$878,$A624,'Raw Data'!$B$2:$B$878,$B624,'Raw Data'!$D$2:$D$878,$D624)</f>
        <v>20</v>
      </c>
      <c r="F624" s="5">
        <f>IFERROR(3958.8*ACOS(MIN(1,MAX(-1,SIN(RADIANS('ZIP Coordinates'!$C$2))*SIN(RADIANS(INDEX('ZIP Coordinates'!$C:$C,MATCH($A624,'ZIP Coordinates'!$A:$A,0))))+COS(RADIANS('ZIP Coordinates'!$C$2))*COS(RADIANS(INDEX('ZIP Coordinates'!$C:$C,MATCH($A624,'ZIP Coordinates'!$A:$A,0))))*COS(RADIANS(INDEX('ZIP Coordinates'!$D:$D,MATCH($A624,'ZIP Coordinates'!$A:$A,0))-'ZIP Coordinates'!$D$2))))),"N/A")</f>
        <v>142.88957686050676</v>
      </c>
    </row>
    <row r="625" spans="1:6" x14ac:dyDescent="0.2">
      <c r="A625" s="3" t="s">
        <v>78</v>
      </c>
      <c r="B625" s="3" t="s">
        <v>251</v>
      </c>
      <c r="C625" s="3" t="s">
        <v>252</v>
      </c>
      <c r="D625" s="3" t="s">
        <v>94</v>
      </c>
      <c r="E625" s="28">
        <f>SUMIFS('Raw Data'!$I$2:$I$878,'Raw Data'!$A$2:$A$878,$A625,'Raw Data'!$B$2:$B$878,$B625,'Raw Data'!$D$2:$D$878,$D625)</f>
        <v>85</v>
      </c>
      <c r="F625" s="5">
        <f>IFERROR(3958.8*ACOS(MIN(1,MAX(-1,SIN(RADIANS('ZIP Coordinates'!$C$2))*SIN(RADIANS(INDEX('ZIP Coordinates'!$C:$C,MATCH($A625,'ZIP Coordinates'!$A:$A,0))))+COS(RADIANS('ZIP Coordinates'!$C$2))*COS(RADIANS(INDEX('ZIP Coordinates'!$C:$C,MATCH($A625,'ZIP Coordinates'!$A:$A,0))))*COS(RADIANS(INDEX('ZIP Coordinates'!$D:$D,MATCH($A625,'ZIP Coordinates'!$A:$A,0))-'ZIP Coordinates'!$D$2))))),"N/A")</f>
        <v>142.88957686050676</v>
      </c>
    </row>
    <row r="626" spans="1:6" x14ac:dyDescent="0.2">
      <c r="A626" s="3" t="s">
        <v>78</v>
      </c>
      <c r="B626" s="3" t="s">
        <v>286</v>
      </c>
      <c r="C626" s="3" t="s">
        <v>287</v>
      </c>
      <c r="D626" s="3" t="s">
        <v>94</v>
      </c>
      <c r="E626" s="28">
        <f>SUMIFS('Raw Data'!$I$2:$I$878,'Raw Data'!$A$2:$A$878,$A626,'Raw Data'!$B$2:$B$878,$B626,'Raw Data'!$D$2:$D$878,$D626)</f>
        <v>324</v>
      </c>
      <c r="F626" s="5">
        <f>IFERROR(3958.8*ACOS(MIN(1,MAX(-1,SIN(RADIANS('ZIP Coordinates'!$C$2))*SIN(RADIANS(INDEX('ZIP Coordinates'!$C:$C,MATCH($A626,'ZIP Coordinates'!$A:$A,0))))+COS(RADIANS('ZIP Coordinates'!$C$2))*COS(RADIANS(INDEX('ZIP Coordinates'!$C:$C,MATCH($A626,'ZIP Coordinates'!$A:$A,0))))*COS(RADIANS(INDEX('ZIP Coordinates'!$D:$D,MATCH($A626,'ZIP Coordinates'!$A:$A,0))-'ZIP Coordinates'!$D$2))))),"N/A")</f>
        <v>142.88957686050676</v>
      </c>
    </row>
    <row r="627" spans="1:6" x14ac:dyDescent="0.2">
      <c r="A627" s="3" t="s">
        <v>78</v>
      </c>
      <c r="B627" s="3" t="s">
        <v>255</v>
      </c>
      <c r="C627" s="3" t="s">
        <v>256</v>
      </c>
      <c r="D627" s="3" t="s">
        <v>94</v>
      </c>
      <c r="E627" s="28">
        <f>SUMIFS('Raw Data'!$I$2:$I$878,'Raw Data'!$A$2:$A$878,$A627,'Raw Data'!$B$2:$B$878,$B627,'Raw Data'!$D$2:$D$878,$D627)</f>
        <v>700</v>
      </c>
      <c r="F627" s="5">
        <f>IFERROR(3958.8*ACOS(MIN(1,MAX(-1,SIN(RADIANS('ZIP Coordinates'!$C$2))*SIN(RADIANS(INDEX('ZIP Coordinates'!$C:$C,MATCH($A627,'ZIP Coordinates'!$A:$A,0))))+COS(RADIANS('ZIP Coordinates'!$C$2))*COS(RADIANS(INDEX('ZIP Coordinates'!$C:$C,MATCH($A627,'ZIP Coordinates'!$A:$A,0))))*COS(RADIANS(INDEX('ZIP Coordinates'!$D:$D,MATCH($A627,'ZIP Coordinates'!$A:$A,0))-'ZIP Coordinates'!$D$2))))),"N/A")</f>
        <v>142.88957686050676</v>
      </c>
    </row>
    <row r="628" spans="1:6" x14ac:dyDescent="0.2">
      <c r="A628" s="3" t="s">
        <v>78</v>
      </c>
      <c r="B628" s="3" t="s">
        <v>257</v>
      </c>
      <c r="C628" s="3" t="s">
        <v>256</v>
      </c>
      <c r="D628" s="3" t="s">
        <v>141</v>
      </c>
      <c r="E628" s="28">
        <f>SUMIFS('Raw Data'!$I$2:$I$878,'Raw Data'!$A$2:$A$878,$A628,'Raw Data'!$B$2:$B$878,$B628,'Raw Data'!$D$2:$D$878,$D628)</f>
        <v>146</v>
      </c>
      <c r="F628" s="5">
        <f>IFERROR(3958.8*ACOS(MIN(1,MAX(-1,SIN(RADIANS('ZIP Coordinates'!$C$2))*SIN(RADIANS(INDEX('ZIP Coordinates'!$C:$C,MATCH($A628,'ZIP Coordinates'!$A:$A,0))))+COS(RADIANS('ZIP Coordinates'!$C$2))*COS(RADIANS(INDEX('ZIP Coordinates'!$C:$C,MATCH($A628,'ZIP Coordinates'!$A:$A,0))))*COS(RADIANS(INDEX('ZIP Coordinates'!$D:$D,MATCH($A628,'ZIP Coordinates'!$A:$A,0))-'ZIP Coordinates'!$D$2))))),"N/A")</f>
        <v>142.88957686050676</v>
      </c>
    </row>
    <row r="629" spans="1:6" x14ac:dyDescent="0.2">
      <c r="A629" s="3" t="s">
        <v>79</v>
      </c>
      <c r="B629" s="3" t="s">
        <v>258</v>
      </c>
      <c r="C629" s="3" t="s">
        <v>240</v>
      </c>
      <c r="D629" s="3" t="s">
        <v>115</v>
      </c>
      <c r="E629" s="28">
        <f>SUMIFS('Raw Data'!$I$2:$I$878,'Raw Data'!$A$2:$A$878,$A629,'Raw Data'!$B$2:$B$878,$B629,'Raw Data'!$D$2:$D$878,$D629)</f>
        <v>16</v>
      </c>
      <c r="F629" s="5">
        <f>IFERROR(3958.8*ACOS(MIN(1,MAX(-1,SIN(RADIANS('ZIP Coordinates'!$C$2))*SIN(RADIANS(INDEX('ZIP Coordinates'!$C:$C,MATCH($A629,'ZIP Coordinates'!$A:$A,0))))+COS(RADIANS('ZIP Coordinates'!$C$2))*COS(RADIANS(INDEX('ZIP Coordinates'!$C:$C,MATCH($A629,'ZIP Coordinates'!$A:$A,0))))*COS(RADIANS(INDEX('ZIP Coordinates'!$D:$D,MATCH($A629,'ZIP Coordinates'!$A:$A,0))-'ZIP Coordinates'!$D$2))))),"N/A")</f>
        <v>158.22480756180738</v>
      </c>
    </row>
    <row r="630" spans="1:6" x14ac:dyDescent="0.2">
      <c r="A630" s="3" t="s">
        <v>79</v>
      </c>
      <c r="B630" s="3" t="s">
        <v>239</v>
      </c>
      <c r="C630" s="3" t="s">
        <v>240</v>
      </c>
      <c r="D630" s="3" t="s">
        <v>115</v>
      </c>
      <c r="E630" s="28">
        <f>SUMIFS('Raw Data'!$I$2:$I$878,'Raw Data'!$A$2:$A$878,$A630,'Raw Data'!$B$2:$B$878,$B630,'Raw Data'!$D$2:$D$878,$D630)</f>
        <v>64</v>
      </c>
      <c r="F630" s="5">
        <f>IFERROR(3958.8*ACOS(MIN(1,MAX(-1,SIN(RADIANS('ZIP Coordinates'!$C$2))*SIN(RADIANS(INDEX('ZIP Coordinates'!$C:$C,MATCH($A630,'ZIP Coordinates'!$A:$A,0))))+COS(RADIANS('ZIP Coordinates'!$C$2))*COS(RADIANS(INDEX('ZIP Coordinates'!$C:$C,MATCH($A630,'ZIP Coordinates'!$A:$A,0))))*COS(RADIANS(INDEX('ZIP Coordinates'!$D:$D,MATCH($A630,'ZIP Coordinates'!$A:$A,0))-'ZIP Coordinates'!$D$2))))),"N/A")</f>
        <v>158.22480756180738</v>
      </c>
    </row>
    <row r="631" spans="1:6" x14ac:dyDescent="0.2">
      <c r="A631" s="3" t="s">
        <v>79</v>
      </c>
      <c r="B631" s="3" t="s">
        <v>259</v>
      </c>
      <c r="C631" s="3" t="s">
        <v>260</v>
      </c>
      <c r="D631" s="3" t="s">
        <v>115</v>
      </c>
      <c r="E631" s="28">
        <f>SUMIFS('Raw Data'!$I$2:$I$878,'Raw Data'!$A$2:$A$878,$A631,'Raw Data'!$B$2:$B$878,$B631,'Raw Data'!$D$2:$D$878,$D631)</f>
        <v>4</v>
      </c>
      <c r="F631" s="5">
        <f>IFERROR(3958.8*ACOS(MIN(1,MAX(-1,SIN(RADIANS('ZIP Coordinates'!$C$2))*SIN(RADIANS(INDEX('ZIP Coordinates'!$C:$C,MATCH($A631,'ZIP Coordinates'!$A:$A,0))))+COS(RADIANS('ZIP Coordinates'!$C$2))*COS(RADIANS(INDEX('ZIP Coordinates'!$C:$C,MATCH($A631,'ZIP Coordinates'!$A:$A,0))))*COS(RADIANS(INDEX('ZIP Coordinates'!$D:$D,MATCH($A631,'ZIP Coordinates'!$A:$A,0))-'ZIP Coordinates'!$D$2))))),"N/A")</f>
        <v>158.22480756180738</v>
      </c>
    </row>
    <row r="632" spans="1:6" x14ac:dyDescent="0.2">
      <c r="A632" s="3" t="s">
        <v>79</v>
      </c>
      <c r="B632" s="3" t="s">
        <v>261</v>
      </c>
      <c r="C632" s="3" t="s">
        <v>260</v>
      </c>
      <c r="D632" s="3" t="s">
        <v>115</v>
      </c>
      <c r="E632" s="28">
        <f>SUMIFS('Raw Data'!$I$2:$I$878,'Raw Data'!$A$2:$A$878,$A632,'Raw Data'!$B$2:$B$878,$B632,'Raw Data'!$D$2:$D$878,$D632)</f>
        <v>27</v>
      </c>
      <c r="F632" s="5">
        <f>IFERROR(3958.8*ACOS(MIN(1,MAX(-1,SIN(RADIANS('ZIP Coordinates'!$C$2))*SIN(RADIANS(INDEX('ZIP Coordinates'!$C:$C,MATCH($A632,'ZIP Coordinates'!$A:$A,0))))+COS(RADIANS('ZIP Coordinates'!$C$2))*COS(RADIANS(INDEX('ZIP Coordinates'!$C:$C,MATCH($A632,'ZIP Coordinates'!$A:$A,0))))*COS(RADIANS(INDEX('ZIP Coordinates'!$D:$D,MATCH($A632,'ZIP Coordinates'!$A:$A,0))-'ZIP Coordinates'!$D$2))))),"N/A")</f>
        <v>158.22480756180738</v>
      </c>
    </row>
    <row r="633" spans="1:6" x14ac:dyDescent="0.2">
      <c r="A633" s="3" t="s">
        <v>79</v>
      </c>
      <c r="B633" s="3" t="s">
        <v>241</v>
      </c>
      <c r="C633" s="3" t="s">
        <v>242</v>
      </c>
      <c r="D633" s="3" t="s">
        <v>115</v>
      </c>
      <c r="E633" s="28">
        <f>SUMIFS('Raw Data'!$I$2:$I$878,'Raw Data'!$A$2:$A$878,$A633,'Raw Data'!$B$2:$B$878,$B633,'Raw Data'!$D$2:$D$878,$D633)</f>
        <v>57</v>
      </c>
      <c r="F633" s="5">
        <f>IFERROR(3958.8*ACOS(MIN(1,MAX(-1,SIN(RADIANS('ZIP Coordinates'!$C$2))*SIN(RADIANS(INDEX('ZIP Coordinates'!$C:$C,MATCH($A633,'ZIP Coordinates'!$A:$A,0))))+COS(RADIANS('ZIP Coordinates'!$C$2))*COS(RADIANS(INDEX('ZIP Coordinates'!$C:$C,MATCH($A633,'ZIP Coordinates'!$A:$A,0))))*COS(RADIANS(INDEX('ZIP Coordinates'!$D:$D,MATCH($A633,'ZIP Coordinates'!$A:$A,0))-'ZIP Coordinates'!$D$2))))),"N/A")</f>
        <v>158.22480756180738</v>
      </c>
    </row>
    <row r="634" spans="1:6" x14ac:dyDescent="0.2">
      <c r="A634" s="3" t="s">
        <v>79</v>
      </c>
      <c r="B634" s="3" t="s">
        <v>243</v>
      </c>
      <c r="C634" s="3" t="s">
        <v>244</v>
      </c>
      <c r="D634" s="3" t="s">
        <v>115</v>
      </c>
      <c r="E634" s="28">
        <f>SUMIFS('Raw Data'!$I$2:$I$878,'Raw Data'!$A$2:$A$878,$A634,'Raw Data'!$B$2:$B$878,$B634,'Raw Data'!$D$2:$D$878,$D634)</f>
        <v>19</v>
      </c>
      <c r="F634" s="5">
        <f>IFERROR(3958.8*ACOS(MIN(1,MAX(-1,SIN(RADIANS('ZIP Coordinates'!$C$2))*SIN(RADIANS(INDEX('ZIP Coordinates'!$C:$C,MATCH($A634,'ZIP Coordinates'!$A:$A,0))))+COS(RADIANS('ZIP Coordinates'!$C$2))*COS(RADIANS(INDEX('ZIP Coordinates'!$C:$C,MATCH($A634,'ZIP Coordinates'!$A:$A,0))))*COS(RADIANS(INDEX('ZIP Coordinates'!$D:$D,MATCH($A634,'ZIP Coordinates'!$A:$A,0))-'ZIP Coordinates'!$D$2))))),"N/A")</f>
        <v>158.22480756180738</v>
      </c>
    </row>
    <row r="635" spans="1:6" x14ac:dyDescent="0.2">
      <c r="A635" s="3" t="s">
        <v>79</v>
      </c>
      <c r="B635" s="3" t="s">
        <v>276</v>
      </c>
      <c r="C635" s="3" t="s">
        <v>275</v>
      </c>
      <c r="D635" s="3" t="s">
        <v>115</v>
      </c>
      <c r="E635" s="28">
        <f>SUMIFS('Raw Data'!$I$2:$I$878,'Raw Data'!$A$2:$A$878,$A635,'Raw Data'!$B$2:$B$878,$B635,'Raw Data'!$D$2:$D$878,$D635)</f>
        <v>30</v>
      </c>
      <c r="F635" s="5">
        <f>IFERROR(3958.8*ACOS(MIN(1,MAX(-1,SIN(RADIANS('ZIP Coordinates'!$C$2))*SIN(RADIANS(INDEX('ZIP Coordinates'!$C:$C,MATCH($A635,'ZIP Coordinates'!$A:$A,0))))+COS(RADIANS('ZIP Coordinates'!$C$2))*COS(RADIANS(INDEX('ZIP Coordinates'!$C:$C,MATCH($A635,'ZIP Coordinates'!$A:$A,0))))*COS(RADIANS(INDEX('ZIP Coordinates'!$D:$D,MATCH($A635,'ZIP Coordinates'!$A:$A,0))-'ZIP Coordinates'!$D$2))))),"N/A")</f>
        <v>158.22480756180738</v>
      </c>
    </row>
    <row r="636" spans="1:6" x14ac:dyDescent="0.2">
      <c r="A636" s="3" t="s">
        <v>79</v>
      </c>
      <c r="B636" s="3" t="s">
        <v>282</v>
      </c>
      <c r="C636" s="3" t="s">
        <v>283</v>
      </c>
      <c r="D636" s="3" t="s">
        <v>115</v>
      </c>
      <c r="E636" s="28">
        <f>SUMIFS('Raw Data'!$I$2:$I$878,'Raw Data'!$A$2:$A$878,$A636,'Raw Data'!$B$2:$B$878,$B636,'Raw Data'!$D$2:$D$878,$D636)</f>
        <v>6</v>
      </c>
      <c r="F636" s="5">
        <f>IFERROR(3958.8*ACOS(MIN(1,MAX(-1,SIN(RADIANS('ZIP Coordinates'!$C$2))*SIN(RADIANS(INDEX('ZIP Coordinates'!$C:$C,MATCH($A636,'ZIP Coordinates'!$A:$A,0))))+COS(RADIANS('ZIP Coordinates'!$C$2))*COS(RADIANS(INDEX('ZIP Coordinates'!$C:$C,MATCH($A636,'ZIP Coordinates'!$A:$A,0))))*COS(RADIANS(INDEX('ZIP Coordinates'!$D:$D,MATCH($A636,'ZIP Coordinates'!$A:$A,0))-'ZIP Coordinates'!$D$2))))),"N/A")</f>
        <v>158.22480756180738</v>
      </c>
    </row>
    <row r="637" spans="1:6" x14ac:dyDescent="0.2">
      <c r="A637" s="3" t="s">
        <v>79</v>
      </c>
      <c r="B637" s="3" t="s">
        <v>284</v>
      </c>
      <c r="C637" s="3" t="s">
        <v>285</v>
      </c>
      <c r="D637" s="3" t="s">
        <v>115</v>
      </c>
      <c r="E637" s="28">
        <f>SUMIFS('Raw Data'!$I$2:$I$878,'Raw Data'!$A$2:$A$878,$A637,'Raw Data'!$B$2:$B$878,$B637,'Raw Data'!$D$2:$D$878,$D637)</f>
        <v>19</v>
      </c>
      <c r="F637" s="5">
        <f>IFERROR(3958.8*ACOS(MIN(1,MAX(-1,SIN(RADIANS('ZIP Coordinates'!$C$2))*SIN(RADIANS(INDEX('ZIP Coordinates'!$C:$C,MATCH($A637,'ZIP Coordinates'!$A:$A,0))))+COS(RADIANS('ZIP Coordinates'!$C$2))*COS(RADIANS(INDEX('ZIP Coordinates'!$C:$C,MATCH($A637,'ZIP Coordinates'!$A:$A,0))))*COS(RADIANS(INDEX('ZIP Coordinates'!$D:$D,MATCH($A637,'ZIP Coordinates'!$A:$A,0))-'ZIP Coordinates'!$D$2))))),"N/A")</f>
        <v>158.22480756180738</v>
      </c>
    </row>
    <row r="638" spans="1:6" x14ac:dyDescent="0.2">
      <c r="A638" s="3" t="s">
        <v>79</v>
      </c>
      <c r="B638" s="3" t="s">
        <v>257</v>
      </c>
      <c r="C638" s="3" t="s">
        <v>256</v>
      </c>
      <c r="D638" s="3" t="s">
        <v>115</v>
      </c>
      <c r="E638" s="28">
        <f>SUMIFS('Raw Data'!$I$2:$I$878,'Raw Data'!$A$2:$A$878,$A638,'Raw Data'!$B$2:$B$878,$B638,'Raw Data'!$D$2:$D$878,$D638)</f>
        <v>200</v>
      </c>
      <c r="F638" s="5">
        <f>IFERROR(3958.8*ACOS(MIN(1,MAX(-1,SIN(RADIANS('ZIP Coordinates'!$C$2))*SIN(RADIANS(INDEX('ZIP Coordinates'!$C:$C,MATCH($A638,'ZIP Coordinates'!$A:$A,0))))+COS(RADIANS('ZIP Coordinates'!$C$2))*COS(RADIANS(INDEX('ZIP Coordinates'!$C:$C,MATCH($A638,'ZIP Coordinates'!$A:$A,0))))*COS(RADIANS(INDEX('ZIP Coordinates'!$D:$D,MATCH($A638,'ZIP Coordinates'!$A:$A,0))-'ZIP Coordinates'!$D$2))))),"N/A")</f>
        <v>158.22480756180738</v>
      </c>
    </row>
    <row r="639" spans="1:6" x14ac:dyDescent="0.2">
      <c r="A639" s="3" t="s">
        <v>80</v>
      </c>
      <c r="B639" s="3" t="s">
        <v>284</v>
      </c>
      <c r="C639" s="3" t="s">
        <v>285</v>
      </c>
      <c r="D639" s="3" t="s">
        <v>219</v>
      </c>
      <c r="E639" s="28">
        <f>SUMIFS('Raw Data'!$I$2:$I$878,'Raw Data'!$A$2:$A$878,$A639,'Raw Data'!$B$2:$B$878,$B639,'Raw Data'!$D$2:$D$878,$D639)</f>
        <v>2</v>
      </c>
      <c r="F639" s="5">
        <f>IFERROR(3958.8*ACOS(MIN(1,MAX(-1,SIN(RADIANS('ZIP Coordinates'!$C$2))*SIN(RADIANS(INDEX('ZIP Coordinates'!$C:$C,MATCH($A639,'ZIP Coordinates'!$A:$A,0))))+COS(RADIANS('ZIP Coordinates'!$C$2))*COS(RADIANS(INDEX('ZIP Coordinates'!$C:$C,MATCH($A639,'ZIP Coordinates'!$A:$A,0))))*COS(RADIANS(INDEX('ZIP Coordinates'!$D:$D,MATCH($A639,'ZIP Coordinates'!$A:$A,0))-'ZIP Coordinates'!$D$2))))),"N/A")</f>
        <v>54.327724837201501</v>
      </c>
    </row>
    <row r="640" spans="1:6" x14ac:dyDescent="0.2">
      <c r="A640" s="3" t="s">
        <v>81</v>
      </c>
      <c r="B640" s="3" t="s">
        <v>277</v>
      </c>
      <c r="C640" s="3" t="s">
        <v>278</v>
      </c>
      <c r="D640" s="3" t="s">
        <v>225</v>
      </c>
      <c r="E640" s="28">
        <f>SUMIFS('Raw Data'!$I$2:$I$878,'Raw Data'!$A$2:$A$878,$A640,'Raw Data'!$B$2:$B$878,$B640,'Raw Data'!$D$2:$D$878,$D640)</f>
        <v>1</v>
      </c>
      <c r="F640" s="5">
        <f>IFERROR(3958.8*ACOS(MIN(1,MAX(-1,SIN(RADIANS('ZIP Coordinates'!$C$2))*SIN(RADIANS(INDEX('ZIP Coordinates'!$C:$C,MATCH($A640,'ZIP Coordinates'!$A:$A,0))))+COS(RADIANS('ZIP Coordinates'!$C$2))*COS(RADIANS(INDEX('ZIP Coordinates'!$C:$C,MATCH($A640,'ZIP Coordinates'!$A:$A,0))))*COS(RADIANS(INDEX('ZIP Coordinates'!$D:$D,MATCH($A640,'ZIP Coordinates'!$A:$A,0))-'ZIP Coordinates'!$D$2))))),"N/A")</f>
        <v>51.625328270759461</v>
      </c>
    </row>
    <row r="641" spans="1:6" x14ac:dyDescent="0.2">
      <c r="A641" s="3" t="s">
        <v>82</v>
      </c>
      <c r="B641" s="3" t="s">
        <v>258</v>
      </c>
      <c r="C641" s="3" t="s">
        <v>240</v>
      </c>
      <c r="D641" s="3" t="s">
        <v>109</v>
      </c>
      <c r="E641" s="28">
        <f>SUMIFS('Raw Data'!$I$2:$I$878,'Raw Data'!$A$2:$A$878,$A641,'Raw Data'!$B$2:$B$878,$B641,'Raw Data'!$D$2:$D$878,$D641)</f>
        <v>280</v>
      </c>
      <c r="F641" s="5" t="str">
        <f>IFERROR(3958.8*ACOS(MIN(1,MAX(-1,SIN(RADIANS('ZIP Coordinates'!$C$2))*SIN(RADIANS(INDEX('ZIP Coordinates'!$C:$C,MATCH($A641,'ZIP Coordinates'!$A:$A,0))))+COS(RADIANS('ZIP Coordinates'!$C$2))*COS(RADIANS(INDEX('ZIP Coordinates'!$C:$C,MATCH($A641,'ZIP Coordinates'!$A:$A,0))))*COS(RADIANS(INDEX('ZIP Coordinates'!$D:$D,MATCH($A641,'ZIP Coordinates'!$A:$A,0))-'ZIP Coordinates'!$D$2))))),"N/A")</f>
        <v>N/A</v>
      </c>
    </row>
    <row r="642" spans="1:6" x14ac:dyDescent="0.2">
      <c r="A642" s="3" t="s">
        <v>82</v>
      </c>
      <c r="B642" s="3" t="s">
        <v>247</v>
      </c>
      <c r="C642" s="3" t="s">
        <v>246</v>
      </c>
      <c r="D642" s="3" t="s">
        <v>109</v>
      </c>
      <c r="E642" s="28">
        <f>SUMIFS('Raw Data'!$I$2:$I$878,'Raw Data'!$A$2:$A$878,$A642,'Raw Data'!$B$2:$B$878,$B642,'Raw Data'!$D$2:$D$878,$D642)</f>
        <v>131</v>
      </c>
      <c r="F642" s="5" t="str">
        <f>IFERROR(3958.8*ACOS(MIN(1,MAX(-1,SIN(RADIANS('ZIP Coordinates'!$C$2))*SIN(RADIANS(INDEX('ZIP Coordinates'!$C:$C,MATCH($A642,'ZIP Coordinates'!$A:$A,0))))+COS(RADIANS('ZIP Coordinates'!$C$2))*COS(RADIANS(INDEX('ZIP Coordinates'!$C:$C,MATCH($A642,'ZIP Coordinates'!$A:$A,0))))*COS(RADIANS(INDEX('ZIP Coordinates'!$D:$D,MATCH($A642,'ZIP Coordinates'!$A:$A,0))-'ZIP Coordinates'!$D$2))))),"N/A")</f>
        <v>N/A</v>
      </c>
    </row>
    <row r="643" spans="1:6" x14ac:dyDescent="0.2">
      <c r="A643" s="3" t="s">
        <v>82</v>
      </c>
      <c r="B643" s="3" t="s">
        <v>250</v>
      </c>
      <c r="C643" s="3" t="s">
        <v>249</v>
      </c>
      <c r="D643" s="3" t="s">
        <v>109</v>
      </c>
      <c r="E643" s="28">
        <f>SUMIFS('Raw Data'!$I$2:$I$878,'Raw Data'!$A$2:$A$878,$A643,'Raw Data'!$B$2:$B$878,$B643,'Raw Data'!$D$2:$D$878,$D643)</f>
        <v>123</v>
      </c>
      <c r="F643" s="5" t="str">
        <f>IFERROR(3958.8*ACOS(MIN(1,MAX(-1,SIN(RADIANS('ZIP Coordinates'!$C$2))*SIN(RADIANS(INDEX('ZIP Coordinates'!$C:$C,MATCH($A643,'ZIP Coordinates'!$A:$A,0))))+COS(RADIANS('ZIP Coordinates'!$C$2))*COS(RADIANS(INDEX('ZIP Coordinates'!$C:$C,MATCH($A643,'ZIP Coordinates'!$A:$A,0))))*COS(RADIANS(INDEX('ZIP Coordinates'!$D:$D,MATCH($A643,'ZIP Coordinates'!$A:$A,0))-'ZIP Coordinates'!$D$2))))),"N/A")</f>
        <v>N/A</v>
      </c>
    </row>
    <row r="644" spans="1:6" x14ac:dyDescent="0.2">
      <c r="A644" s="3" t="s">
        <v>82</v>
      </c>
      <c r="B644" s="3" t="s">
        <v>251</v>
      </c>
      <c r="C644" s="3" t="s">
        <v>252</v>
      </c>
      <c r="D644" s="3" t="s">
        <v>109</v>
      </c>
      <c r="E644" s="28">
        <f>SUMIFS('Raw Data'!$I$2:$I$878,'Raw Data'!$A$2:$A$878,$A644,'Raw Data'!$B$2:$B$878,$B644,'Raw Data'!$D$2:$D$878,$D644)</f>
        <v>88</v>
      </c>
      <c r="F644" s="5" t="str">
        <f>IFERROR(3958.8*ACOS(MIN(1,MAX(-1,SIN(RADIANS('ZIP Coordinates'!$C$2))*SIN(RADIANS(INDEX('ZIP Coordinates'!$C:$C,MATCH($A644,'ZIP Coordinates'!$A:$A,0))))+COS(RADIANS('ZIP Coordinates'!$C$2))*COS(RADIANS(INDEX('ZIP Coordinates'!$C:$C,MATCH($A644,'ZIP Coordinates'!$A:$A,0))))*COS(RADIANS(INDEX('ZIP Coordinates'!$D:$D,MATCH($A644,'ZIP Coordinates'!$A:$A,0))-'ZIP Coordinates'!$D$2))))),"N/A")</f>
        <v>N/A</v>
      </c>
    </row>
    <row r="645" spans="1:6" x14ac:dyDescent="0.2">
      <c r="A645" s="3" t="s">
        <v>82</v>
      </c>
      <c r="B645" s="3" t="s">
        <v>255</v>
      </c>
      <c r="C645" s="3" t="s">
        <v>256</v>
      </c>
      <c r="D645" s="3" t="s">
        <v>109</v>
      </c>
      <c r="E645" s="28">
        <f>SUMIFS('Raw Data'!$I$2:$I$878,'Raw Data'!$A$2:$A$878,$A645,'Raw Data'!$B$2:$B$878,$B645,'Raw Data'!$D$2:$D$878,$D645)</f>
        <v>300</v>
      </c>
      <c r="F645" s="5" t="str">
        <f>IFERROR(3958.8*ACOS(MIN(1,MAX(-1,SIN(RADIANS('ZIP Coordinates'!$C$2))*SIN(RADIANS(INDEX('ZIP Coordinates'!$C:$C,MATCH($A645,'ZIP Coordinates'!$A:$A,0))))+COS(RADIANS('ZIP Coordinates'!$C$2))*COS(RADIANS(INDEX('ZIP Coordinates'!$C:$C,MATCH($A645,'ZIP Coordinates'!$A:$A,0))))*COS(RADIANS(INDEX('ZIP Coordinates'!$D:$D,MATCH($A645,'ZIP Coordinates'!$A:$A,0))-'ZIP Coordinates'!$D$2))))),"N/A")</f>
        <v>N/A</v>
      </c>
    </row>
    <row r="646" spans="1:6" x14ac:dyDescent="0.2">
      <c r="A646" s="3" t="s">
        <v>83</v>
      </c>
      <c r="B646" s="3" t="s">
        <v>300</v>
      </c>
      <c r="C646" s="3" t="s">
        <v>301</v>
      </c>
      <c r="D646" s="3" t="s">
        <v>187</v>
      </c>
      <c r="E646" s="28">
        <f>SUMIFS('Raw Data'!$I$2:$I$878,'Raw Data'!$A$2:$A$878,$A646,'Raw Data'!$B$2:$B$878,$B646,'Raw Data'!$D$2:$D$878,$D646)</f>
        <v>20</v>
      </c>
      <c r="F646" s="5">
        <f>IFERROR(3958.8*ACOS(MIN(1,MAX(-1,SIN(RADIANS('ZIP Coordinates'!$C$2))*SIN(RADIANS(INDEX('ZIP Coordinates'!$C:$C,MATCH($A646,'ZIP Coordinates'!$A:$A,0))))+COS(RADIANS('ZIP Coordinates'!$C$2))*COS(RADIANS(INDEX('ZIP Coordinates'!$C:$C,MATCH($A646,'ZIP Coordinates'!$A:$A,0))))*COS(RADIANS(INDEX('ZIP Coordinates'!$D:$D,MATCH($A646,'ZIP Coordinates'!$A:$A,0))-'ZIP Coordinates'!$D$2))))),"N/A")</f>
        <v>526.42488594533438</v>
      </c>
    </row>
  </sheetData>
  <autoFilter ref="A1:F64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78"/>
  <sheetViews>
    <sheetView zoomScaleNormal="100" workbookViewId="0">
      <pane ySplit="1" topLeftCell="A2" activePane="bottomLeft" state="frozen"/>
      <selection pane="bottomLeft" activeCell="B2" sqref="B2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3" width="34" customWidth="1"/>
    <col min="4" max="4" width="16" customWidth="1"/>
    <col min="5" max="5" width="18" customWidth="1"/>
    <col min="6" max="6" width="24" customWidth="1"/>
    <col min="7" max="7" width="16" customWidth="1"/>
  </cols>
  <sheetData>
    <row r="1" spans="1:9" ht="42" x14ac:dyDescent="0.2">
      <c r="A1" s="2" t="s">
        <v>0</v>
      </c>
      <c r="B1" s="2" t="s">
        <v>236</v>
      </c>
      <c r="C1" s="2" t="s">
        <v>237</v>
      </c>
      <c r="D1" s="2" t="s">
        <v>238</v>
      </c>
      <c r="E1" s="2" t="s">
        <v>302</v>
      </c>
      <c r="F1" s="2" t="s">
        <v>3</v>
      </c>
      <c r="G1" s="2" t="s">
        <v>228</v>
      </c>
      <c r="H1" s="26" t="s">
        <v>393</v>
      </c>
      <c r="I1" s="26" t="s">
        <v>394</v>
      </c>
    </row>
    <row r="2" spans="1:9" x14ac:dyDescent="0.2">
      <c r="A2" s="3" t="s">
        <v>4</v>
      </c>
      <c r="B2" s="3" t="s">
        <v>239</v>
      </c>
      <c r="C2" s="3" t="s">
        <v>240</v>
      </c>
      <c r="D2" s="3" t="s">
        <v>98</v>
      </c>
      <c r="E2" s="4">
        <v>1</v>
      </c>
      <c r="F2" s="5" t="str">
        <f>IFERROR(3958.8*ACOS(MIN(1,MAX(-1,SIN(RADIANS('ZIP Coordinates'!$C$2))*SIN(RADIANS(INDEX('ZIP Coordinates'!$C:$C,MATCH($A2,'ZIP Coordinates'!$A:$A,0))))+COS(RADIANS('ZIP Coordinates'!$C$2))*COS(RADIANS(INDEX('ZIP Coordinates'!$C:$C,MATCH($A2,'ZIP Coordinates'!$A:$A,0))))*COS(RADIANS(INDEX('ZIP Coordinates'!$D:$D,MATCH($A2,'ZIP Coordinates'!$A:$A,0))-'ZIP Coordinates'!$D$2))))),"N/A")</f>
        <v>N/A</v>
      </c>
      <c r="G2" s="3" t="str">
        <f t="shared" ref="G2:G65" si="0">IF($F2="N/A","Unknown",IF($F2&lt;50,"0-49 mi",IF($F2&lt;100,"50-99 mi",IF($F2&lt;150,"100-149 mi",IF($F2&lt;200,"150-199 mi","200+ mi")))))</f>
        <v>Unknown</v>
      </c>
      <c r="H2" s="27">
        <f>IF(RIGHT($B2,1)="P",1,IF(ISNUMBER(SEARCH("HALF GALLON",$C2)),Assumptions!$B$4,IF(ISNUMBER(SEARCH("GALLON",$C2)),Assumptions!$B$3,IF(ISNUMBER(SEARCH("QUART",$C2)),Assumptions!$B$5,IF(ISNUMBER(SEARCH("PINT",$C2)),Assumptions!$B$6,Assumptions!$B$7)))))</f>
        <v>1</v>
      </c>
      <c r="I2" s="27">
        <f>$E2*$H2</f>
        <v>1</v>
      </c>
    </row>
    <row r="3" spans="1:9" x14ac:dyDescent="0.2">
      <c r="A3" s="3" t="s">
        <v>4</v>
      </c>
      <c r="B3" s="3" t="s">
        <v>239</v>
      </c>
      <c r="C3" s="3" t="s">
        <v>240</v>
      </c>
      <c r="D3" s="3" t="s">
        <v>98</v>
      </c>
      <c r="E3" s="4">
        <v>1</v>
      </c>
      <c r="F3" s="5" t="str">
        <f>IFERROR(3958.8*ACOS(MIN(1,MAX(-1,SIN(RADIANS('ZIP Coordinates'!$C$2))*SIN(RADIANS(INDEX('ZIP Coordinates'!$C:$C,MATCH($A3,'ZIP Coordinates'!$A:$A,0))))+COS(RADIANS('ZIP Coordinates'!$C$2))*COS(RADIANS(INDEX('ZIP Coordinates'!$C:$C,MATCH($A3,'ZIP Coordinates'!$A:$A,0))))*COS(RADIANS(INDEX('ZIP Coordinates'!$D:$D,MATCH($A3,'ZIP Coordinates'!$A:$A,0))-'ZIP Coordinates'!$D$2))))),"N/A")</f>
        <v>N/A</v>
      </c>
      <c r="G3" s="3" t="str">
        <f t="shared" si="0"/>
        <v>Unknown</v>
      </c>
      <c r="H3" s="27">
        <f>IF(RIGHT($B3,1)="P",1,IF(ISNUMBER(SEARCH("HALF GALLON",$C3)),Assumptions!$B$4,IF(ISNUMBER(SEARCH("GALLON",$C3)),Assumptions!$B$3,IF(ISNUMBER(SEARCH("QUART",$C3)),Assumptions!$B$5,IF(ISNUMBER(SEARCH("PINT",$C3)),Assumptions!$B$6,Assumptions!$B$7)))))</f>
        <v>1</v>
      </c>
      <c r="I3" s="27">
        <f t="shared" ref="I3:I66" si="1">$E3*$H3</f>
        <v>1</v>
      </c>
    </row>
    <row r="4" spans="1:9" x14ac:dyDescent="0.2">
      <c r="A4" s="3" t="s">
        <v>4</v>
      </c>
      <c r="B4" s="3" t="s">
        <v>239</v>
      </c>
      <c r="C4" s="3" t="s">
        <v>240</v>
      </c>
      <c r="D4" s="3" t="s">
        <v>98</v>
      </c>
      <c r="E4" s="4">
        <v>3</v>
      </c>
      <c r="F4" s="5" t="str">
        <f>IFERROR(3958.8*ACOS(MIN(1,MAX(-1,SIN(RADIANS('ZIP Coordinates'!$C$2))*SIN(RADIANS(INDEX('ZIP Coordinates'!$C:$C,MATCH($A4,'ZIP Coordinates'!$A:$A,0))))+COS(RADIANS('ZIP Coordinates'!$C$2))*COS(RADIANS(INDEX('ZIP Coordinates'!$C:$C,MATCH($A4,'ZIP Coordinates'!$A:$A,0))))*COS(RADIANS(INDEX('ZIP Coordinates'!$D:$D,MATCH($A4,'ZIP Coordinates'!$A:$A,0))-'ZIP Coordinates'!$D$2))))),"N/A")</f>
        <v>N/A</v>
      </c>
      <c r="G4" s="3" t="str">
        <f t="shared" si="0"/>
        <v>Unknown</v>
      </c>
      <c r="H4" s="27">
        <f>IF(RIGHT($B4,1)="P",1,IF(ISNUMBER(SEARCH("HALF GALLON",$C4)),Assumptions!$B$4,IF(ISNUMBER(SEARCH("GALLON",$C4)),Assumptions!$B$3,IF(ISNUMBER(SEARCH("QUART",$C4)),Assumptions!$B$5,IF(ISNUMBER(SEARCH("PINT",$C4)),Assumptions!$B$6,Assumptions!$B$7)))))</f>
        <v>1</v>
      </c>
      <c r="I4" s="27">
        <f t="shared" si="1"/>
        <v>3</v>
      </c>
    </row>
    <row r="5" spans="1:9" x14ac:dyDescent="0.2">
      <c r="A5" s="3" t="s">
        <v>4</v>
      </c>
      <c r="B5" s="3" t="s">
        <v>239</v>
      </c>
      <c r="C5" s="3" t="s">
        <v>240</v>
      </c>
      <c r="D5" s="3" t="s">
        <v>98</v>
      </c>
      <c r="E5" s="4">
        <v>3</v>
      </c>
      <c r="F5" s="5" t="str">
        <f>IFERROR(3958.8*ACOS(MIN(1,MAX(-1,SIN(RADIANS('ZIP Coordinates'!$C$2))*SIN(RADIANS(INDEX('ZIP Coordinates'!$C:$C,MATCH($A5,'ZIP Coordinates'!$A:$A,0))))+COS(RADIANS('ZIP Coordinates'!$C$2))*COS(RADIANS(INDEX('ZIP Coordinates'!$C:$C,MATCH($A5,'ZIP Coordinates'!$A:$A,0))))*COS(RADIANS(INDEX('ZIP Coordinates'!$D:$D,MATCH($A5,'ZIP Coordinates'!$A:$A,0))-'ZIP Coordinates'!$D$2))))),"N/A")</f>
        <v>N/A</v>
      </c>
      <c r="G5" s="3" t="str">
        <f t="shared" si="0"/>
        <v>Unknown</v>
      </c>
      <c r="H5" s="27">
        <f>IF(RIGHT($B5,1)="P",1,IF(ISNUMBER(SEARCH("HALF GALLON",$C5)),Assumptions!$B$4,IF(ISNUMBER(SEARCH("GALLON",$C5)),Assumptions!$B$3,IF(ISNUMBER(SEARCH("QUART",$C5)),Assumptions!$B$5,IF(ISNUMBER(SEARCH("PINT",$C5)),Assumptions!$B$6,Assumptions!$B$7)))))</f>
        <v>1</v>
      </c>
      <c r="I5" s="27">
        <f t="shared" si="1"/>
        <v>3</v>
      </c>
    </row>
    <row r="6" spans="1:9" x14ac:dyDescent="0.2">
      <c r="A6" s="3" t="s">
        <v>4</v>
      </c>
      <c r="B6" s="3" t="s">
        <v>239</v>
      </c>
      <c r="C6" s="3" t="s">
        <v>240</v>
      </c>
      <c r="D6" s="3" t="s">
        <v>98</v>
      </c>
      <c r="E6" s="4">
        <v>1</v>
      </c>
      <c r="F6" s="5" t="str">
        <f>IFERROR(3958.8*ACOS(MIN(1,MAX(-1,SIN(RADIANS('ZIP Coordinates'!$C$2))*SIN(RADIANS(INDEX('ZIP Coordinates'!$C:$C,MATCH($A6,'ZIP Coordinates'!$A:$A,0))))+COS(RADIANS('ZIP Coordinates'!$C$2))*COS(RADIANS(INDEX('ZIP Coordinates'!$C:$C,MATCH($A6,'ZIP Coordinates'!$A:$A,0))))*COS(RADIANS(INDEX('ZIP Coordinates'!$D:$D,MATCH($A6,'ZIP Coordinates'!$A:$A,0))-'ZIP Coordinates'!$D$2))))),"N/A")</f>
        <v>N/A</v>
      </c>
      <c r="G6" s="3" t="str">
        <f t="shared" si="0"/>
        <v>Unknown</v>
      </c>
      <c r="H6" s="27">
        <f>IF(RIGHT($B6,1)="P",1,IF(ISNUMBER(SEARCH("HALF GALLON",$C6)),Assumptions!$B$4,IF(ISNUMBER(SEARCH("GALLON",$C6)),Assumptions!$B$3,IF(ISNUMBER(SEARCH("QUART",$C6)),Assumptions!$B$5,IF(ISNUMBER(SEARCH("PINT",$C6)),Assumptions!$B$6,Assumptions!$B$7)))))</f>
        <v>1</v>
      </c>
      <c r="I6" s="27">
        <f t="shared" si="1"/>
        <v>1</v>
      </c>
    </row>
    <row r="7" spans="1:9" x14ac:dyDescent="0.2">
      <c r="A7" s="3" t="s">
        <v>4</v>
      </c>
      <c r="B7" s="3" t="s">
        <v>239</v>
      </c>
      <c r="C7" s="3" t="s">
        <v>240</v>
      </c>
      <c r="D7" s="3" t="s">
        <v>98</v>
      </c>
      <c r="E7" s="4">
        <v>3</v>
      </c>
      <c r="F7" s="5" t="str">
        <f>IFERROR(3958.8*ACOS(MIN(1,MAX(-1,SIN(RADIANS('ZIP Coordinates'!$C$2))*SIN(RADIANS(INDEX('ZIP Coordinates'!$C:$C,MATCH($A7,'ZIP Coordinates'!$A:$A,0))))+COS(RADIANS('ZIP Coordinates'!$C$2))*COS(RADIANS(INDEX('ZIP Coordinates'!$C:$C,MATCH($A7,'ZIP Coordinates'!$A:$A,0))))*COS(RADIANS(INDEX('ZIP Coordinates'!$D:$D,MATCH($A7,'ZIP Coordinates'!$A:$A,0))-'ZIP Coordinates'!$D$2))))),"N/A")</f>
        <v>N/A</v>
      </c>
      <c r="G7" s="3" t="str">
        <f t="shared" si="0"/>
        <v>Unknown</v>
      </c>
      <c r="H7" s="27">
        <f>IF(RIGHT($B7,1)="P",1,IF(ISNUMBER(SEARCH("HALF GALLON",$C7)),Assumptions!$B$4,IF(ISNUMBER(SEARCH("GALLON",$C7)),Assumptions!$B$3,IF(ISNUMBER(SEARCH("QUART",$C7)),Assumptions!$B$5,IF(ISNUMBER(SEARCH("PINT",$C7)),Assumptions!$B$6,Assumptions!$B$7)))))</f>
        <v>1</v>
      </c>
      <c r="I7" s="27">
        <f t="shared" si="1"/>
        <v>3</v>
      </c>
    </row>
    <row r="8" spans="1:9" x14ac:dyDescent="0.2">
      <c r="A8" s="3" t="s">
        <v>4</v>
      </c>
      <c r="B8" s="3" t="s">
        <v>239</v>
      </c>
      <c r="C8" s="3" t="s">
        <v>240</v>
      </c>
      <c r="D8" s="3" t="s">
        <v>98</v>
      </c>
      <c r="E8" s="4">
        <v>1</v>
      </c>
      <c r="F8" s="5" t="str">
        <f>IFERROR(3958.8*ACOS(MIN(1,MAX(-1,SIN(RADIANS('ZIP Coordinates'!$C$2))*SIN(RADIANS(INDEX('ZIP Coordinates'!$C:$C,MATCH($A8,'ZIP Coordinates'!$A:$A,0))))+COS(RADIANS('ZIP Coordinates'!$C$2))*COS(RADIANS(INDEX('ZIP Coordinates'!$C:$C,MATCH($A8,'ZIP Coordinates'!$A:$A,0))))*COS(RADIANS(INDEX('ZIP Coordinates'!$D:$D,MATCH($A8,'ZIP Coordinates'!$A:$A,0))-'ZIP Coordinates'!$D$2))))),"N/A")</f>
        <v>N/A</v>
      </c>
      <c r="G8" s="3" t="str">
        <f t="shared" si="0"/>
        <v>Unknown</v>
      </c>
      <c r="H8" s="27">
        <f>IF(RIGHT($B8,1)="P",1,IF(ISNUMBER(SEARCH("HALF GALLON",$C8)),Assumptions!$B$4,IF(ISNUMBER(SEARCH("GALLON",$C8)),Assumptions!$B$3,IF(ISNUMBER(SEARCH("QUART",$C8)),Assumptions!$B$5,IF(ISNUMBER(SEARCH("PINT",$C8)),Assumptions!$B$6,Assumptions!$B$7)))))</f>
        <v>1</v>
      </c>
      <c r="I8" s="27">
        <f t="shared" si="1"/>
        <v>1</v>
      </c>
    </row>
    <row r="9" spans="1:9" x14ac:dyDescent="0.2">
      <c r="A9" s="3" t="s">
        <v>4</v>
      </c>
      <c r="B9" s="3" t="s">
        <v>239</v>
      </c>
      <c r="C9" s="3" t="s">
        <v>240</v>
      </c>
      <c r="D9" s="3" t="s">
        <v>98</v>
      </c>
      <c r="E9" s="4">
        <v>1</v>
      </c>
      <c r="F9" s="5" t="str">
        <f>IFERROR(3958.8*ACOS(MIN(1,MAX(-1,SIN(RADIANS('ZIP Coordinates'!$C$2))*SIN(RADIANS(INDEX('ZIP Coordinates'!$C:$C,MATCH($A9,'ZIP Coordinates'!$A:$A,0))))+COS(RADIANS('ZIP Coordinates'!$C$2))*COS(RADIANS(INDEX('ZIP Coordinates'!$C:$C,MATCH($A9,'ZIP Coordinates'!$A:$A,0))))*COS(RADIANS(INDEX('ZIP Coordinates'!$D:$D,MATCH($A9,'ZIP Coordinates'!$A:$A,0))-'ZIP Coordinates'!$D$2))))),"N/A")</f>
        <v>N/A</v>
      </c>
      <c r="G9" s="3" t="str">
        <f t="shared" si="0"/>
        <v>Unknown</v>
      </c>
      <c r="H9" s="27">
        <f>IF(RIGHT($B9,1)="P",1,IF(ISNUMBER(SEARCH("HALF GALLON",$C9)),Assumptions!$B$4,IF(ISNUMBER(SEARCH("GALLON",$C9)),Assumptions!$B$3,IF(ISNUMBER(SEARCH("QUART",$C9)),Assumptions!$B$5,IF(ISNUMBER(SEARCH("PINT",$C9)),Assumptions!$B$6,Assumptions!$B$7)))))</f>
        <v>1</v>
      </c>
      <c r="I9" s="27">
        <f t="shared" si="1"/>
        <v>1</v>
      </c>
    </row>
    <row r="10" spans="1:9" x14ac:dyDescent="0.2">
      <c r="A10" s="3" t="s">
        <v>4</v>
      </c>
      <c r="B10" s="3" t="s">
        <v>239</v>
      </c>
      <c r="C10" s="3" t="s">
        <v>240</v>
      </c>
      <c r="D10" s="3" t="s">
        <v>98</v>
      </c>
      <c r="E10" s="4">
        <v>2</v>
      </c>
      <c r="F10" s="5" t="str">
        <f>IFERROR(3958.8*ACOS(MIN(1,MAX(-1,SIN(RADIANS('ZIP Coordinates'!$C$2))*SIN(RADIANS(INDEX('ZIP Coordinates'!$C:$C,MATCH($A10,'ZIP Coordinates'!$A:$A,0))))+COS(RADIANS('ZIP Coordinates'!$C$2))*COS(RADIANS(INDEX('ZIP Coordinates'!$C:$C,MATCH($A10,'ZIP Coordinates'!$A:$A,0))))*COS(RADIANS(INDEX('ZIP Coordinates'!$D:$D,MATCH($A10,'ZIP Coordinates'!$A:$A,0))-'ZIP Coordinates'!$D$2))))),"N/A")</f>
        <v>N/A</v>
      </c>
      <c r="G10" s="3" t="str">
        <f t="shared" si="0"/>
        <v>Unknown</v>
      </c>
      <c r="H10" s="27">
        <f>IF(RIGHT($B10,1)="P",1,IF(ISNUMBER(SEARCH("HALF GALLON",$C10)),Assumptions!$B$4,IF(ISNUMBER(SEARCH("GALLON",$C10)),Assumptions!$B$3,IF(ISNUMBER(SEARCH("QUART",$C10)),Assumptions!$B$5,IF(ISNUMBER(SEARCH("PINT",$C10)),Assumptions!$B$6,Assumptions!$B$7)))))</f>
        <v>1</v>
      </c>
      <c r="I10" s="27">
        <f t="shared" si="1"/>
        <v>2</v>
      </c>
    </row>
    <row r="11" spans="1:9" x14ac:dyDescent="0.2">
      <c r="A11" s="3" t="s">
        <v>4</v>
      </c>
      <c r="B11" s="3" t="s">
        <v>239</v>
      </c>
      <c r="C11" s="3" t="s">
        <v>240</v>
      </c>
      <c r="D11" s="3" t="s">
        <v>98</v>
      </c>
      <c r="E11" s="4">
        <v>1</v>
      </c>
      <c r="F11" s="5" t="str">
        <f>IFERROR(3958.8*ACOS(MIN(1,MAX(-1,SIN(RADIANS('ZIP Coordinates'!$C$2))*SIN(RADIANS(INDEX('ZIP Coordinates'!$C:$C,MATCH($A11,'ZIP Coordinates'!$A:$A,0))))+COS(RADIANS('ZIP Coordinates'!$C$2))*COS(RADIANS(INDEX('ZIP Coordinates'!$C:$C,MATCH($A11,'ZIP Coordinates'!$A:$A,0))))*COS(RADIANS(INDEX('ZIP Coordinates'!$D:$D,MATCH($A11,'ZIP Coordinates'!$A:$A,0))-'ZIP Coordinates'!$D$2))))),"N/A")</f>
        <v>N/A</v>
      </c>
      <c r="G11" s="3" t="str">
        <f t="shared" si="0"/>
        <v>Unknown</v>
      </c>
      <c r="H11" s="27">
        <f>IF(RIGHT($B11,1)="P",1,IF(ISNUMBER(SEARCH("HALF GALLON",$C11)),Assumptions!$B$4,IF(ISNUMBER(SEARCH("GALLON",$C11)),Assumptions!$B$3,IF(ISNUMBER(SEARCH("QUART",$C11)),Assumptions!$B$5,IF(ISNUMBER(SEARCH("PINT",$C11)),Assumptions!$B$6,Assumptions!$B$7)))))</f>
        <v>1</v>
      </c>
      <c r="I11" s="27">
        <f t="shared" si="1"/>
        <v>1</v>
      </c>
    </row>
    <row r="12" spans="1:9" x14ac:dyDescent="0.2">
      <c r="A12" s="3" t="s">
        <v>4</v>
      </c>
      <c r="B12" s="3" t="s">
        <v>239</v>
      </c>
      <c r="C12" s="3" t="s">
        <v>240</v>
      </c>
      <c r="D12" s="3" t="s">
        <v>98</v>
      </c>
      <c r="E12" s="4">
        <v>3</v>
      </c>
      <c r="F12" s="5" t="str">
        <f>IFERROR(3958.8*ACOS(MIN(1,MAX(-1,SIN(RADIANS('ZIP Coordinates'!$C$2))*SIN(RADIANS(INDEX('ZIP Coordinates'!$C:$C,MATCH($A12,'ZIP Coordinates'!$A:$A,0))))+COS(RADIANS('ZIP Coordinates'!$C$2))*COS(RADIANS(INDEX('ZIP Coordinates'!$C:$C,MATCH($A12,'ZIP Coordinates'!$A:$A,0))))*COS(RADIANS(INDEX('ZIP Coordinates'!$D:$D,MATCH($A12,'ZIP Coordinates'!$A:$A,0))-'ZIP Coordinates'!$D$2))))),"N/A")</f>
        <v>N/A</v>
      </c>
      <c r="G12" s="3" t="str">
        <f t="shared" si="0"/>
        <v>Unknown</v>
      </c>
      <c r="H12" s="27">
        <f>IF(RIGHT($B12,1)="P",1,IF(ISNUMBER(SEARCH("HALF GALLON",$C12)),Assumptions!$B$4,IF(ISNUMBER(SEARCH("GALLON",$C12)),Assumptions!$B$3,IF(ISNUMBER(SEARCH("QUART",$C12)),Assumptions!$B$5,IF(ISNUMBER(SEARCH("PINT",$C12)),Assumptions!$B$6,Assumptions!$B$7)))))</f>
        <v>1</v>
      </c>
      <c r="I12" s="27">
        <f t="shared" si="1"/>
        <v>3</v>
      </c>
    </row>
    <row r="13" spans="1:9" x14ac:dyDescent="0.2">
      <c r="A13" s="3" t="s">
        <v>4</v>
      </c>
      <c r="B13" s="3" t="s">
        <v>239</v>
      </c>
      <c r="C13" s="3" t="s">
        <v>240</v>
      </c>
      <c r="D13" s="3" t="s">
        <v>98</v>
      </c>
      <c r="E13" s="4">
        <v>1</v>
      </c>
      <c r="F13" s="5" t="str">
        <f>IFERROR(3958.8*ACOS(MIN(1,MAX(-1,SIN(RADIANS('ZIP Coordinates'!$C$2))*SIN(RADIANS(INDEX('ZIP Coordinates'!$C:$C,MATCH($A13,'ZIP Coordinates'!$A:$A,0))))+COS(RADIANS('ZIP Coordinates'!$C$2))*COS(RADIANS(INDEX('ZIP Coordinates'!$C:$C,MATCH($A13,'ZIP Coordinates'!$A:$A,0))))*COS(RADIANS(INDEX('ZIP Coordinates'!$D:$D,MATCH($A13,'ZIP Coordinates'!$A:$A,0))-'ZIP Coordinates'!$D$2))))),"N/A")</f>
        <v>N/A</v>
      </c>
      <c r="G13" s="3" t="str">
        <f t="shared" si="0"/>
        <v>Unknown</v>
      </c>
      <c r="H13" s="27">
        <f>IF(RIGHT($B13,1)="P",1,IF(ISNUMBER(SEARCH("HALF GALLON",$C13)),Assumptions!$B$4,IF(ISNUMBER(SEARCH("GALLON",$C13)),Assumptions!$B$3,IF(ISNUMBER(SEARCH("QUART",$C13)),Assumptions!$B$5,IF(ISNUMBER(SEARCH("PINT",$C13)),Assumptions!$B$6,Assumptions!$B$7)))))</f>
        <v>1</v>
      </c>
      <c r="I13" s="27">
        <f t="shared" si="1"/>
        <v>1</v>
      </c>
    </row>
    <row r="14" spans="1:9" x14ac:dyDescent="0.2">
      <c r="A14" s="3" t="s">
        <v>4</v>
      </c>
      <c r="B14" s="3" t="s">
        <v>239</v>
      </c>
      <c r="C14" s="3" t="s">
        <v>240</v>
      </c>
      <c r="D14" s="3" t="s">
        <v>98</v>
      </c>
      <c r="E14" s="4">
        <v>3</v>
      </c>
      <c r="F14" s="5" t="str">
        <f>IFERROR(3958.8*ACOS(MIN(1,MAX(-1,SIN(RADIANS('ZIP Coordinates'!$C$2))*SIN(RADIANS(INDEX('ZIP Coordinates'!$C:$C,MATCH($A14,'ZIP Coordinates'!$A:$A,0))))+COS(RADIANS('ZIP Coordinates'!$C$2))*COS(RADIANS(INDEX('ZIP Coordinates'!$C:$C,MATCH($A14,'ZIP Coordinates'!$A:$A,0))))*COS(RADIANS(INDEX('ZIP Coordinates'!$D:$D,MATCH($A14,'ZIP Coordinates'!$A:$A,0))-'ZIP Coordinates'!$D$2))))),"N/A")</f>
        <v>N/A</v>
      </c>
      <c r="G14" s="3" t="str">
        <f t="shared" si="0"/>
        <v>Unknown</v>
      </c>
      <c r="H14" s="27">
        <f>IF(RIGHT($B14,1)="P",1,IF(ISNUMBER(SEARCH("HALF GALLON",$C14)),Assumptions!$B$4,IF(ISNUMBER(SEARCH("GALLON",$C14)),Assumptions!$B$3,IF(ISNUMBER(SEARCH("QUART",$C14)),Assumptions!$B$5,IF(ISNUMBER(SEARCH("PINT",$C14)),Assumptions!$B$6,Assumptions!$B$7)))))</f>
        <v>1</v>
      </c>
      <c r="I14" s="27">
        <f t="shared" si="1"/>
        <v>3</v>
      </c>
    </row>
    <row r="15" spans="1:9" x14ac:dyDescent="0.2">
      <c r="A15" s="3" t="s">
        <v>4</v>
      </c>
      <c r="B15" s="3" t="s">
        <v>239</v>
      </c>
      <c r="C15" s="3" t="s">
        <v>240</v>
      </c>
      <c r="D15" s="3" t="s">
        <v>98</v>
      </c>
      <c r="E15" s="4">
        <v>4</v>
      </c>
      <c r="F15" s="5" t="str">
        <f>IFERROR(3958.8*ACOS(MIN(1,MAX(-1,SIN(RADIANS('ZIP Coordinates'!$C$2))*SIN(RADIANS(INDEX('ZIP Coordinates'!$C:$C,MATCH($A15,'ZIP Coordinates'!$A:$A,0))))+COS(RADIANS('ZIP Coordinates'!$C$2))*COS(RADIANS(INDEX('ZIP Coordinates'!$C:$C,MATCH($A15,'ZIP Coordinates'!$A:$A,0))))*COS(RADIANS(INDEX('ZIP Coordinates'!$D:$D,MATCH($A15,'ZIP Coordinates'!$A:$A,0))-'ZIP Coordinates'!$D$2))))),"N/A")</f>
        <v>N/A</v>
      </c>
      <c r="G15" s="3" t="str">
        <f t="shared" si="0"/>
        <v>Unknown</v>
      </c>
      <c r="H15" s="27">
        <f>IF(RIGHT($B15,1)="P",1,IF(ISNUMBER(SEARCH("HALF GALLON",$C15)),Assumptions!$B$4,IF(ISNUMBER(SEARCH("GALLON",$C15)),Assumptions!$B$3,IF(ISNUMBER(SEARCH("QUART",$C15)),Assumptions!$B$5,IF(ISNUMBER(SEARCH("PINT",$C15)),Assumptions!$B$6,Assumptions!$B$7)))))</f>
        <v>1</v>
      </c>
      <c r="I15" s="27">
        <f t="shared" si="1"/>
        <v>4</v>
      </c>
    </row>
    <row r="16" spans="1:9" x14ac:dyDescent="0.2">
      <c r="A16" s="3" t="s">
        <v>4</v>
      </c>
      <c r="B16" s="3" t="s">
        <v>239</v>
      </c>
      <c r="C16" s="3" t="s">
        <v>240</v>
      </c>
      <c r="D16" s="3" t="s">
        <v>98</v>
      </c>
      <c r="E16" s="4">
        <v>1</v>
      </c>
      <c r="F16" s="5" t="str">
        <f>IFERROR(3958.8*ACOS(MIN(1,MAX(-1,SIN(RADIANS('ZIP Coordinates'!$C$2))*SIN(RADIANS(INDEX('ZIP Coordinates'!$C:$C,MATCH($A16,'ZIP Coordinates'!$A:$A,0))))+COS(RADIANS('ZIP Coordinates'!$C$2))*COS(RADIANS(INDEX('ZIP Coordinates'!$C:$C,MATCH($A16,'ZIP Coordinates'!$A:$A,0))))*COS(RADIANS(INDEX('ZIP Coordinates'!$D:$D,MATCH($A16,'ZIP Coordinates'!$A:$A,0))-'ZIP Coordinates'!$D$2))))),"N/A")</f>
        <v>N/A</v>
      </c>
      <c r="G16" s="3" t="str">
        <f t="shared" si="0"/>
        <v>Unknown</v>
      </c>
      <c r="H16" s="27">
        <f>IF(RIGHT($B16,1)="P",1,IF(ISNUMBER(SEARCH("HALF GALLON",$C16)),Assumptions!$B$4,IF(ISNUMBER(SEARCH("GALLON",$C16)),Assumptions!$B$3,IF(ISNUMBER(SEARCH("QUART",$C16)),Assumptions!$B$5,IF(ISNUMBER(SEARCH("PINT",$C16)),Assumptions!$B$6,Assumptions!$B$7)))))</f>
        <v>1</v>
      </c>
      <c r="I16" s="27">
        <f t="shared" si="1"/>
        <v>1</v>
      </c>
    </row>
    <row r="17" spans="1:9" x14ac:dyDescent="0.2">
      <c r="A17" s="3" t="s">
        <v>4</v>
      </c>
      <c r="B17" s="3" t="s">
        <v>239</v>
      </c>
      <c r="C17" s="3" t="s">
        <v>240</v>
      </c>
      <c r="D17" s="3" t="s">
        <v>98</v>
      </c>
      <c r="E17" s="4">
        <v>2</v>
      </c>
      <c r="F17" s="5" t="str">
        <f>IFERROR(3958.8*ACOS(MIN(1,MAX(-1,SIN(RADIANS('ZIP Coordinates'!$C$2))*SIN(RADIANS(INDEX('ZIP Coordinates'!$C:$C,MATCH($A17,'ZIP Coordinates'!$A:$A,0))))+COS(RADIANS('ZIP Coordinates'!$C$2))*COS(RADIANS(INDEX('ZIP Coordinates'!$C:$C,MATCH($A17,'ZIP Coordinates'!$A:$A,0))))*COS(RADIANS(INDEX('ZIP Coordinates'!$D:$D,MATCH($A17,'ZIP Coordinates'!$A:$A,0))-'ZIP Coordinates'!$D$2))))),"N/A")</f>
        <v>N/A</v>
      </c>
      <c r="G17" s="3" t="str">
        <f t="shared" si="0"/>
        <v>Unknown</v>
      </c>
      <c r="H17" s="27">
        <f>IF(RIGHT($B17,1)="P",1,IF(ISNUMBER(SEARCH("HALF GALLON",$C17)),Assumptions!$B$4,IF(ISNUMBER(SEARCH("GALLON",$C17)),Assumptions!$B$3,IF(ISNUMBER(SEARCH("QUART",$C17)),Assumptions!$B$5,IF(ISNUMBER(SEARCH("PINT",$C17)),Assumptions!$B$6,Assumptions!$B$7)))))</f>
        <v>1</v>
      </c>
      <c r="I17" s="27">
        <f t="shared" si="1"/>
        <v>2</v>
      </c>
    </row>
    <row r="18" spans="1:9" x14ac:dyDescent="0.2">
      <c r="A18" s="3" t="s">
        <v>4</v>
      </c>
      <c r="B18" s="3" t="s">
        <v>239</v>
      </c>
      <c r="C18" s="3" t="s">
        <v>240</v>
      </c>
      <c r="D18" s="3" t="s">
        <v>98</v>
      </c>
      <c r="E18" s="4">
        <v>1</v>
      </c>
      <c r="F18" s="5" t="str">
        <f>IFERROR(3958.8*ACOS(MIN(1,MAX(-1,SIN(RADIANS('ZIP Coordinates'!$C$2))*SIN(RADIANS(INDEX('ZIP Coordinates'!$C:$C,MATCH($A18,'ZIP Coordinates'!$A:$A,0))))+COS(RADIANS('ZIP Coordinates'!$C$2))*COS(RADIANS(INDEX('ZIP Coordinates'!$C:$C,MATCH($A18,'ZIP Coordinates'!$A:$A,0))))*COS(RADIANS(INDEX('ZIP Coordinates'!$D:$D,MATCH($A18,'ZIP Coordinates'!$A:$A,0))-'ZIP Coordinates'!$D$2))))),"N/A")</f>
        <v>N/A</v>
      </c>
      <c r="G18" s="3" t="str">
        <f t="shared" si="0"/>
        <v>Unknown</v>
      </c>
      <c r="H18" s="27">
        <f>IF(RIGHT($B18,1)="P",1,IF(ISNUMBER(SEARCH("HALF GALLON",$C18)),Assumptions!$B$4,IF(ISNUMBER(SEARCH("GALLON",$C18)),Assumptions!$B$3,IF(ISNUMBER(SEARCH("QUART",$C18)),Assumptions!$B$5,IF(ISNUMBER(SEARCH("PINT",$C18)),Assumptions!$B$6,Assumptions!$B$7)))))</f>
        <v>1</v>
      </c>
      <c r="I18" s="27">
        <f t="shared" si="1"/>
        <v>1</v>
      </c>
    </row>
    <row r="19" spans="1:9" x14ac:dyDescent="0.2">
      <c r="A19" s="3" t="s">
        <v>4</v>
      </c>
      <c r="B19" s="3" t="s">
        <v>239</v>
      </c>
      <c r="C19" s="3" t="s">
        <v>240</v>
      </c>
      <c r="D19" s="3" t="s">
        <v>98</v>
      </c>
      <c r="E19" s="4">
        <v>3</v>
      </c>
      <c r="F19" s="5" t="str">
        <f>IFERROR(3958.8*ACOS(MIN(1,MAX(-1,SIN(RADIANS('ZIP Coordinates'!$C$2))*SIN(RADIANS(INDEX('ZIP Coordinates'!$C:$C,MATCH($A19,'ZIP Coordinates'!$A:$A,0))))+COS(RADIANS('ZIP Coordinates'!$C$2))*COS(RADIANS(INDEX('ZIP Coordinates'!$C:$C,MATCH($A19,'ZIP Coordinates'!$A:$A,0))))*COS(RADIANS(INDEX('ZIP Coordinates'!$D:$D,MATCH($A19,'ZIP Coordinates'!$A:$A,0))-'ZIP Coordinates'!$D$2))))),"N/A")</f>
        <v>N/A</v>
      </c>
      <c r="G19" s="3" t="str">
        <f t="shared" si="0"/>
        <v>Unknown</v>
      </c>
      <c r="H19" s="27">
        <f>IF(RIGHT($B19,1)="P",1,IF(ISNUMBER(SEARCH("HALF GALLON",$C19)),Assumptions!$B$4,IF(ISNUMBER(SEARCH("GALLON",$C19)),Assumptions!$B$3,IF(ISNUMBER(SEARCH("QUART",$C19)),Assumptions!$B$5,IF(ISNUMBER(SEARCH("PINT",$C19)),Assumptions!$B$6,Assumptions!$B$7)))))</f>
        <v>1</v>
      </c>
      <c r="I19" s="27">
        <f t="shared" si="1"/>
        <v>3</v>
      </c>
    </row>
    <row r="20" spans="1:9" x14ac:dyDescent="0.2">
      <c r="A20" s="3" t="s">
        <v>4</v>
      </c>
      <c r="B20" s="3" t="s">
        <v>241</v>
      </c>
      <c r="C20" s="3" t="s">
        <v>242</v>
      </c>
      <c r="D20" s="3" t="s">
        <v>116</v>
      </c>
      <c r="E20" s="4">
        <v>4</v>
      </c>
      <c r="F20" s="5" t="str">
        <f>IFERROR(3958.8*ACOS(MIN(1,MAX(-1,SIN(RADIANS('ZIP Coordinates'!$C$2))*SIN(RADIANS(INDEX('ZIP Coordinates'!$C:$C,MATCH($A20,'ZIP Coordinates'!$A:$A,0))))+COS(RADIANS('ZIP Coordinates'!$C$2))*COS(RADIANS(INDEX('ZIP Coordinates'!$C:$C,MATCH($A20,'ZIP Coordinates'!$A:$A,0))))*COS(RADIANS(INDEX('ZIP Coordinates'!$D:$D,MATCH($A20,'ZIP Coordinates'!$A:$A,0))-'ZIP Coordinates'!$D$2))))),"N/A")</f>
        <v>N/A</v>
      </c>
      <c r="G20" s="3" t="str">
        <f t="shared" si="0"/>
        <v>Unknown</v>
      </c>
      <c r="H20" s="27">
        <f>IF(RIGHT($B20,1)="P",1,IF(ISNUMBER(SEARCH("HALF GALLON",$C20)),Assumptions!$B$4,IF(ISNUMBER(SEARCH("GALLON",$C20)),Assumptions!$B$3,IF(ISNUMBER(SEARCH("QUART",$C20)),Assumptions!$B$5,IF(ISNUMBER(SEARCH("PINT",$C20)),Assumptions!$B$6,Assumptions!$B$7)))))</f>
        <v>1</v>
      </c>
      <c r="I20" s="27">
        <f t="shared" si="1"/>
        <v>4</v>
      </c>
    </row>
    <row r="21" spans="1:9" x14ac:dyDescent="0.2">
      <c r="A21" s="3" t="s">
        <v>4</v>
      </c>
      <c r="B21" s="3" t="s">
        <v>243</v>
      </c>
      <c r="C21" s="3" t="s">
        <v>244</v>
      </c>
      <c r="D21" s="3" t="s">
        <v>98</v>
      </c>
      <c r="E21" s="4">
        <v>2</v>
      </c>
      <c r="F21" s="5" t="str">
        <f>IFERROR(3958.8*ACOS(MIN(1,MAX(-1,SIN(RADIANS('ZIP Coordinates'!$C$2))*SIN(RADIANS(INDEX('ZIP Coordinates'!$C:$C,MATCH($A21,'ZIP Coordinates'!$A:$A,0))))+COS(RADIANS('ZIP Coordinates'!$C$2))*COS(RADIANS(INDEX('ZIP Coordinates'!$C:$C,MATCH($A21,'ZIP Coordinates'!$A:$A,0))))*COS(RADIANS(INDEX('ZIP Coordinates'!$D:$D,MATCH($A21,'ZIP Coordinates'!$A:$A,0))-'ZIP Coordinates'!$D$2))))),"N/A")</f>
        <v>N/A</v>
      </c>
      <c r="G21" s="3" t="str">
        <f t="shared" si="0"/>
        <v>Unknown</v>
      </c>
      <c r="H21" s="27">
        <f>IF(RIGHT($B21,1)="P",1,IF(ISNUMBER(SEARCH("HALF GALLON",$C21)),Assumptions!$B$4,IF(ISNUMBER(SEARCH("GALLON",$C21)),Assumptions!$B$3,IF(ISNUMBER(SEARCH("QUART",$C21)),Assumptions!$B$5,IF(ISNUMBER(SEARCH("PINT",$C21)),Assumptions!$B$6,Assumptions!$B$7)))))</f>
        <v>1</v>
      </c>
      <c r="I21" s="27">
        <f t="shared" si="1"/>
        <v>2</v>
      </c>
    </row>
    <row r="22" spans="1:9" x14ac:dyDescent="0.2">
      <c r="A22" s="3" t="s">
        <v>4</v>
      </c>
      <c r="B22" s="3" t="s">
        <v>243</v>
      </c>
      <c r="C22" s="3" t="s">
        <v>244</v>
      </c>
      <c r="D22" s="3" t="s">
        <v>98</v>
      </c>
      <c r="E22" s="4">
        <v>5</v>
      </c>
      <c r="F22" s="5" t="str">
        <f>IFERROR(3958.8*ACOS(MIN(1,MAX(-1,SIN(RADIANS('ZIP Coordinates'!$C$2))*SIN(RADIANS(INDEX('ZIP Coordinates'!$C:$C,MATCH($A22,'ZIP Coordinates'!$A:$A,0))))+COS(RADIANS('ZIP Coordinates'!$C$2))*COS(RADIANS(INDEX('ZIP Coordinates'!$C:$C,MATCH($A22,'ZIP Coordinates'!$A:$A,0))))*COS(RADIANS(INDEX('ZIP Coordinates'!$D:$D,MATCH($A22,'ZIP Coordinates'!$A:$A,0))-'ZIP Coordinates'!$D$2))))),"N/A")</f>
        <v>N/A</v>
      </c>
      <c r="G22" s="3" t="str">
        <f t="shared" si="0"/>
        <v>Unknown</v>
      </c>
      <c r="H22" s="27">
        <f>IF(RIGHT($B22,1)="P",1,IF(ISNUMBER(SEARCH("HALF GALLON",$C22)),Assumptions!$B$4,IF(ISNUMBER(SEARCH("GALLON",$C22)),Assumptions!$B$3,IF(ISNUMBER(SEARCH("QUART",$C22)),Assumptions!$B$5,IF(ISNUMBER(SEARCH("PINT",$C22)),Assumptions!$B$6,Assumptions!$B$7)))))</f>
        <v>1</v>
      </c>
      <c r="I22" s="27">
        <f t="shared" si="1"/>
        <v>5</v>
      </c>
    </row>
    <row r="23" spans="1:9" x14ac:dyDescent="0.2">
      <c r="A23" s="3" t="s">
        <v>4</v>
      </c>
      <c r="B23" s="3" t="s">
        <v>243</v>
      </c>
      <c r="C23" s="3" t="s">
        <v>244</v>
      </c>
      <c r="D23" s="3" t="s">
        <v>98</v>
      </c>
      <c r="E23" s="4">
        <v>3</v>
      </c>
      <c r="F23" s="5" t="str">
        <f>IFERROR(3958.8*ACOS(MIN(1,MAX(-1,SIN(RADIANS('ZIP Coordinates'!$C$2))*SIN(RADIANS(INDEX('ZIP Coordinates'!$C:$C,MATCH($A23,'ZIP Coordinates'!$A:$A,0))))+COS(RADIANS('ZIP Coordinates'!$C$2))*COS(RADIANS(INDEX('ZIP Coordinates'!$C:$C,MATCH($A23,'ZIP Coordinates'!$A:$A,0))))*COS(RADIANS(INDEX('ZIP Coordinates'!$D:$D,MATCH($A23,'ZIP Coordinates'!$A:$A,0))-'ZIP Coordinates'!$D$2))))),"N/A")</f>
        <v>N/A</v>
      </c>
      <c r="G23" s="3" t="str">
        <f t="shared" si="0"/>
        <v>Unknown</v>
      </c>
      <c r="H23" s="27">
        <f>IF(RIGHT($B23,1)="P",1,IF(ISNUMBER(SEARCH("HALF GALLON",$C23)),Assumptions!$B$4,IF(ISNUMBER(SEARCH("GALLON",$C23)),Assumptions!$B$3,IF(ISNUMBER(SEARCH("QUART",$C23)),Assumptions!$B$5,IF(ISNUMBER(SEARCH("PINT",$C23)),Assumptions!$B$6,Assumptions!$B$7)))))</f>
        <v>1</v>
      </c>
      <c r="I23" s="27">
        <f t="shared" si="1"/>
        <v>3</v>
      </c>
    </row>
    <row r="24" spans="1:9" x14ac:dyDescent="0.2">
      <c r="A24" s="3" t="s">
        <v>4</v>
      </c>
      <c r="B24" s="3" t="s">
        <v>243</v>
      </c>
      <c r="C24" s="3" t="s">
        <v>244</v>
      </c>
      <c r="D24" s="3" t="s">
        <v>98</v>
      </c>
      <c r="E24" s="4">
        <v>3</v>
      </c>
      <c r="F24" s="5" t="str">
        <f>IFERROR(3958.8*ACOS(MIN(1,MAX(-1,SIN(RADIANS('ZIP Coordinates'!$C$2))*SIN(RADIANS(INDEX('ZIP Coordinates'!$C:$C,MATCH($A24,'ZIP Coordinates'!$A:$A,0))))+COS(RADIANS('ZIP Coordinates'!$C$2))*COS(RADIANS(INDEX('ZIP Coordinates'!$C:$C,MATCH($A24,'ZIP Coordinates'!$A:$A,0))))*COS(RADIANS(INDEX('ZIP Coordinates'!$D:$D,MATCH($A24,'ZIP Coordinates'!$A:$A,0))-'ZIP Coordinates'!$D$2))))),"N/A")</f>
        <v>N/A</v>
      </c>
      <c r="G24" s="3" t="str">
        <f t="shared" si="0"/>
        <v>Unknown</v>
      </c>
      <c r="H24" s="27">
        <f>IF(RIGHT($B24,1)="P",1,IF(ISNUMBER(SEARCH("HALF GALLON",$C24)),Assumptions!$B$4,IF(ISNUMBER(SEARCH("GALLON",$C24)),Assumptions!$B$3,IF(ISNUMBER(SEARCH("QUART",$C24)),Assumptions!$B$5,IF(ISNUMBER(SEARCH("PINT",$C24)),Assumptions!$B$6,Assumptions!$B$7)))))</f>
        <v>1</v>
      </c>
      <c r="I24" s="27">
        <f t="shared" si="1"/>
        <v>3</v>
      </c>
    </row>
    <row r="25" spans="1:9" x14ac:dyDescent="0.2">
      <c r="A25" s="3" t="s">
        <v>4</v>
      </c>
      <c r="B25" s="3" t="s">
        <v>243</v>
      </c>
      <c r="C25" s="3" t="s">
        <v>244</v>
      </c>
      <c r="D25" s="3" t="s">
        <v>98</v>
      </c>
      <c r="E25" s="4">
        <v>1</v>
      </c>
      <c r="F25" s="5" t="str">
        <f>IFERROR(3958.8*ACOS(MIN(1,MAX(-1,SIN(RADIANS('ZIP Coordinates'!$C$2))*SIN(RADIANS(INDEX('ZIP Coordinates'!$C:$C,MATCH($A25,'ZIP Coordinates'!$A:$A,0))))+COS(RADIANS('ZIP Coordinates'!$C$2))*COS(RADIANS(INDEX('ZIP Coordinates'!$C:$C,MATCH($A25,'ZIP Coordinates'!$A:$A,0))))*COS(RADIANS(INDEX('ZIP Coordinates'!$D:$D,MATCH($A25,'ZIP Coordinates'!$A:$A,0))-'ZIP Coordinates'!$D$2))))),"N/A")</f>
        <v>N/A</v>
      </c>
      <c r="G25" s="3" t="str">
        <f t="shared" si="0"/>
        <v>Unknown</v>
      </c>
      <c r="H25" s="27">
        <f>IF(RIGHT($B25,1)="P",1,IF(ISNUMBER(SEARCH("HALF GALLON",$C25)),Assumptions!$B$4,IF(ISNUMBER(SEARCH("GALLON",$C25)),Assumptions!$B$3,IF(ISNUMBER(SEARCH("QUART",$C25)),Assumptions!$B$5,IF(ISNUMBER(SEARCH("PINT",$C25)),Assumptions!$B$6,Assumptions!$B$7)))))</f>
        <v>1</v>
      </c>
      <c r="I25" s="27">
        <f t="shared" si="1"/>
        <v>1</v>
      </c>
    </row>
    <row r="26" spans="1:9" x14ac:dyDescent="0.2">
      <c r="A26" s="3" t="s">
        <v>4</v>
      </c>
      <c r="B26" s="3" t="s">
        <v>243</v>
      </c>
      <c r="C26" s="3" t="s">
        <v>244</v>
      </c>
      <c r="D26" s="3" t="s">
        <v>98</v>
      </c>
      <c r="E26" s="4">
        <v>5</v>
      </c>
      <c r="F26" s="5" t="str">
        <f>IFERROR(3958.8*ACOS(MIN(1,MAX(-1,SIN(RADIANS('ZIP Coordinates'!$C$2))*SIN(RADIANS(INDEX('ZIP Coordinates'!$C:$C,MATCH($A26,'ZIP Coordinates'!$A:$A,0))))+COS(RADIANS('ZIP Coordinates'!$C$2))*COS(RADIANS(INDEX('ZIP Coordinates'!$C:$C,MATCH($A26,'ZIP Coordinates'!$A:$A,0))))*COS(RADIANS(INDEX('ZIP Coordinates'!$D:$D,MATCH($A26,'ZIP Coordinates'!$A:$A,0))-'ZIP Coordinates'!$D$2))))),"N/A")</f>
        <v>N/A</v>
      </c>
      <c r="G26" s="3" t="str">
        <f t="shared" si="0"/>
        <v>Unknown</v>
      </c>
      <c r="H26" s="27">
        <f>IF(RIGHT($B26,1)="P",1,IF(ISNUMBER(SEARCH("HALF GALLON",$C26)),Assumptions!$B$4,IF(ISNUMBER(SEARCH("GALLON",$C26)),Assumptions!$B$3,IF(ISNUMBER(SEARCH("QUART",$C26)),Assumptions!$B$5,IF(ISNUMBER(SEARCH("PINT",$C26)),Assumptions!$B$6,Assumptions!$B$7)))))</f>
        <v>1</v>
      </c>
      <c r="I26" s="27">
        <f t="shared" si="1"/>
        <v>5</v>
      </c>
    </row>
    <row r="27" spans="1:9" x14ac:dyDescent="0.2">
      <c r="A27" s="3" t="s">
        <v>4</v>
      </c>
      <c r="B27" s="3" t="s">
        <v>243</v>
      </c>
      <c r="C27" s="3" t="s">
        <v>244</v>
      </c>
      <c r="D27" s="3" t="s">
        <v>98</v>
      </c>
      <c r="E27" s="4">
        <v>1</v>
      </c>
      <c r="F27" s="5" t="str">
        <f>IFERROR(3958.8*ACOS(MIN(1,MAX(-1,SIN(RADIANS('ZIP Coordinates'!$C$2))*SIN(RADIANS(INDEX('ZIP Coordinates'!$C:$C,MATCH($A27,'ZIP Coordinates'!$A:$A,0))))+COS(RADIANS('ZIP Coordinates'!$C$2))*COS(RADIANS(INDEX('ZIP Coordinates'!$C:$C,MATCH($A27,'ZIP Coordinates'!$A:$A,0))))*COS(RADIANS(INDEX('ZIP Coordinates'!$D:$D,MATCH($A27,'ZIP Coordinates'!$A:$A,0))-'ZIP Coordinates'!$D$2))))),"N/A")</f>
        <v>N/A</v>
      </c>
      <c r="G27" s="3" t="str">
        <f t="shared" si="0"/>
        <v>Unknown</v>
      </c>
      <c r="H27" s="27">
        <f>IF(RIGHT($B27,1)="P",1,IF(ISNUMBER(SEARCH("HALF GALLON",$C27)),Assumptions!$B$4,IF(ISNUMBER(SEARCH("GALLON",$C27)),Assumptions!$B$3,IF(ISNUMBER(SEARCH("QUART",$C27)),Assumptions!$B$5,IF(ISNUMBER(SEARCH("PINT",$C27)),Assumptions!$B$6,Assumptions!$B$7)))))</f>
        <v>1</v>
      </c>
      <c r="I27" s="27">
        <f t="shared" si="1"/>
        <v>1</v>
      </c>
    </row>
    <row r="28" spans="1:9" x14ac:dyDescent="0.2">
      <c r="A28" s="3" t="s">
        <v>4</v>
      </c>
      <c r="B28" s="3" t="s">
        <v>243</v>
      </c>
      <c r="C28" s="3" t="s">
        <v>244</v>
      </c>
      <c r="D28" s="3" t="s">
        <v>98</v>
      </c>
      <c r="E28" s="4">
        <v>3</v>
      </c>
      <c r="F28" s="5" t="str">
        <f>IFERROR(3958.8*ACOS(MIN(1,MAX(-1,SIN(RADIANS('ZIP Coordinates'!$C$2))*SIN(RADIANS(INDEX('ZIP Coordinates'!$C:$C,MATCH($A28,'ZIP Coordinates'!$A:$A,0))))+COS(RADIANS('ZIP Coordinates'!$C$2))*COS(RADIANS(INDEX('ZIP Coordinates'!$C:$C,MATCH($A28,'ZIP Coordinates'!$A:$A,0))))*COS(RADIANS(INDEX('ZIP Coordinates'!$D:$D,MATCH($A28,'ZIP Coordinates'!$A:$A,0))-'ZIP Coordinates'!$D$2))))),"N/A")</f>
        <v>N/A</v>
      </c>
      <c r="G28" s="3" t="str">
        <f t="shared" si="0"/>
        <v>Unknown</v>
      </c>
      <c r="H28" s="27">
        <f>IF(RIGHT($B28,1)="P",1,IF(ISNUMBER(SEARCH("HALF GALLON",$C28)),Assumptions!$B$4,IF(ISNUMBER(SEARCH("GALLON",$C28)),Assumptions!$B$3,IF(ISNUMBER(SEARCH("QUART",$C28)),Assumptions!$B$5,IF(ISNUMBER(SEARCH("PINT",$C28)),Assumptions!$B$6,Assumptions!$B$7)))))</f>
        <v>1</v>
      </c>
      <c r="I28" s="27">
        <f t="shared" si="1"/>
        <v>3</v>
      </c>
    </row>
    <row r="29" spans="1:9" x14ac:dyDescent="0.2">
      <c r="A29" s="3" t="s">
        <v>4</v>
      </c>
      <c r="B29" s="3" t="s">
        <v>243</v>
      </c>
      <c r="C29" s="3" t="s">
        <v>244</v>
      </c>
      <c r="D29" s="3" t="s">
        <v>98</v>
      </c>
      <c r="E29" s="4">
        <v>5</v>
      </c>
      <c r="F29" s="5" t="str">
        <f>IFERROR(3958.8*ACOS(MIN(1,MAX(-1,SIN(RADIANS('ZIP Coordinates'!$C$2))*SIN(RADIANS(INDEX('ZIP Coordinates'!$C:$C,MATCH($A29,'ZIP Coordinates'!$A:$A,0))))+COS(RADIANS('ZIP Coordinates'!$C$2))*COS(RADIANS(INDEX('ZIP Coordinates'!$C:$C,MATCH($A29,'ZIP Coordinates'!$A:$A,0))))*COS(RADIANS(INDEX('ZIP Coordinates'!$D:$D,MATCH($A29,'ZIP Coordinates'!$A:$A,0))-'ZIP Coordinates'!$D$2))))),"N/A")</f>
        <v>N/A</v>
      </c>
      <c r="G29" s="3" t="str">
        <f t="shared" si="0"/>
        <v>Unknown</v>
      </c>
      <c r="H29" s="27">
        <f>IF(RIGHT($B29,1)="P",1,IF(ISNUMBER(SEARCH("HALF GALLON",$C29)),Assumptions!$B$4,IF(ISNUMBER(SEARCH("GALLON",$C29)),Assumptions!$B$3,IF(ISNUMBER(SEARCH("QUART",$C29)),Assumptions!$B$5,IF(ISNUMBER(SEARCH("PINT",$C29)),Assumptions!$B$6,Assumptions!$B$7)))))</f>
        <v>1</v>
      </c>
      <c r="I29" s="27">
        <f t="shared" si="1"/>
        <v>5</v>
      </c>
    </row>
    <row r="30" spans="1:9" x14ac:dyDescent="0.2">
      <c r="A30" s="3" t="s">
        <v>4</v>
      </c>
      <c r="B30" s="3" t="s">
        <v>243</v>
      </c>
      <c r="C30" s="3" t="s">
        <v>244</v>
      </c>
      <c r="D30" s="3" t="s">
        <v>98</v>
      </c>
      <c r="E30" s="4">
        <v>3</v>
      </c>
      <c r="F30" s="5" t="str">
        <f>IFERROR(3958.8*ACOS(MIN(1,MAX(-1,SIN(RADIANS('ZIP Coordinates'!$C$2))*SIN(RADIANS(INDEX('ZIP Coordinates'!$C:$C,MATCH($A30,'ZIP Coordinates'!$A:$A,0))))+COS(RADIANS('ZIP Coordinates'!$C$2))*COS(RADIANS(INDEX('ZIP Coordinates'!$C:$C,MATCH($A30,'ZIP Coordinates'!$A:$A,0))))*COS(RADIANS(INDEX('ZIP Coordinates'!$D:$D,MATCH($A30,'ZIP Coordinates'!$A:$A,0))-'ZIP Coordinates'!$D$2))))),"N/A")</f>
        <v>N/A</v>
      </c>
      <c r="G30" s="3" t="str">
        <f t="shared" si="0"/>
        <v>Unknown</v>
      </c>
      <c r="H30" s="27">
        <f>IF(RIGHT($B30,1)="P",1,IF(ISNUMBER(SEARCH("HALF GALLON",$C30)),Assumptions!$B$4,IF(ISNUMBER(SEARCH("GALLON",$C30)),Assumptions!$B$3,IF(ISNUMBER(SEARCH("QUART",$C30)),Assumptions!$B$5,IF(ISNUMBER(SEARCH("PINT",$C30)),Assumptions!$B$6,Assumptions!$B$7)))))</f>
        <v>1</v>
      </c>
      <c r="I30" s="27">
        <f t="shared" si="1"/>
        <v>3</v>
      </c>
    </row>
    <row r="31" spans="1:9" x14ac:dyDescent="0.2">
      <c r="A31" s="3" t="s">
        <v>4</v>
      </c>
      <c r="B31" s="3" t="s">
        <v>243</v>
      </c>
      <c r="C31" s="3" t="s">
        <v>244</v>
      </c>
      <c r="D31" s="3" t="s">
        <v>98</v>
      </c>
      <c r="E31" s="4">
        <v>1</v>
      </c>
      <c r="F31" s="5" t="str">
        <f>IFERROR(3958.8*ACOS(MIN(1,MAX(-1,SIN(RADIANS('ZIP Coordinates'!$C$2))*SIN(RADIANS(INDEX('ZIP Coordinates'!$C:$C,MATCH($A31,'ZIP Coordinates'!$A:$A,0))))+COS(RADIANS('ZIP Coordinates'!$C$2))*COS(RADIANS(INDEX('ZIP Coordinates'!$C:$C,MATCH($A31,'ZIP Coordinates'!$A:$A,0))))*COS(RADIANS(INDEX('ZIP Coordinates'!$D:$D,MATCH($A31,'ZIP Coordinates'!$A:$A,0))-'ZIP Coordinates'!$D$2))))),"N/A")</f>
        <v>N/A</v>
      </c>
      <c r="G31" s="3" t="str">
        <f t="shared" si="0"/>
        <v>Unknown</v>
      </c>
      <c r="H31" s="27">
        <f>IF(RIGHT($B31,1)="P",1,IF(ISNUMBER(SEARCH("HALF GALLON",$C31)),Assumptions!$B$4,IF(ISNUMBER(SEARCH("GALLON",$C31)),Assumptions!$B$3,IF(ISNUMBER(SEARCH("QUART",$C31)),Assumptions!$B$5,IF(ISNUMBER(SEARCH("PINT",$C31)),Assumptions!$B$6,Assumptions!$B$7)))))</f>
        <v>1</v>
      </c>
      <c r="I31" s="27">
        <f t="shared" si="1"/>
        <v>1</v>
      </c>
    </row>
    <row r="32" spans="1:9" x14ac:dyDescent="0.2">
      <c r="A32" s="3" t="s">
        <v>4</v>
      </c>
      <c r="B32" s="3" t="s">
        <v>245</v>
      </c>
      <c r="C32" s="3" t="s">
        <v>246</v>
      </c>
      <c r="D32" s="3" t="s">
        <v>185</v>
      </c>
      <c r="E32" s="4">
        <v>1</v>
      </c>
      <c r="F32" s="5" t="str">
        <f>IFERROR(3958.8*ACOS(MIN(1,MAX(-1,SIN(RADIANS('ZIP Coordinates'!$C$2))*SIN(RADIANS(INDEX('ZIP Coordinates'!$C:$C,MATCH($A32,'ZIP Coordinates'!$A:$A,0))))+COS(RADIANS('ZIP Coordinates'!$C$2))*COS(RADIANS(INDEX('ZIP Coordinates'!$C:$C,MATCH($A32,'ZIP Coordinates'!$A:$A,0))))*COS(RADIANS(INDEX('ZIP Coordinates'!$D:$D,MATCH($A32,'ZIP Coordinates'!$A:$A,0))-'ZIP Coordinates'!$D$2))))),"N/A")</f>
        <v>N/A</v>
      </c>
      <c r="G32" s="3" t="str">
        <f t="shared" si="0"/>
        <v>Unknown</v>
      </c>
      <c r="H32" s="27">
        <f>IF(RIGHT($B32,1)="P",1,IF(ISNUMBER(SEARCH("HALF GALLON",$C32)),Assumptions!$B$4,IF(ISNUMBER(SEARCH("GALLON",$C32)),Assumptions!$B$3,IF(ISNUMBER(SEARCH("QUART",$C32)),Assumptions!$B$5,IF(ISNUMBER(SEARCH("PINT",$C32)),Assumptions!$B$6,Assumptions!$B$7)))))</f>
        <v>20</v>
      </c>
      <c r="I32" s="27">
        <f t="shared" si="1"/>
        <v>20</v>
      </c>
    </row>
    <row r="33" spans="1:9" x14ac:dyDescent="0.2">
      <c r="A33" s="3" t="s">
        <v>4</v>
      </c>
      <c r="B33" s="3" t="s">
        <v>245</v>
      </c>
      <c r="C33" s="3" t="s">
        <v>246</v>
      </c>
      <c r="D33" s="3" t="s">
        <v>207</v>
      </c>
      <c r="E33" s="4">
        <v>2</v>
      </c>
      <c r="F33" s="5" t="str">
        <f>IFERROR(3958.8*ACOS(MIN(1,MAX(-1,SIN(RADIANS('ZIP Coordinates'!$C$2))*SIN(RADIANS(INDEX('ZIP Coordinates'!$C:$C,MATCH($A33,'ZIP Coordinates'!$A:$A,0))))+COS(RADIANS('ZIP Coordinates'!$C$2))*COS(RADIANS(INDEX('ZIP Coordinates'!$C:$C,MATCH($A33,'ZIP Coordinates'!$A:$A,0))))*COS(RADIANS(INDEX('ZIP Coordinates'!$D:$D,MATCH($A33,'ZIP Coordinates'!$A:$A,0))-'ZIP Coordinates'!$D$2))))),"N/A")</f>
        <v>N/A</v>
      </c>
      <c r="G33" s="3" t="str">
        <f t="shared" si="0"/>
        <v>Unknown</v>
      </c>
      <c r="H33" s="27">
        <f>IF(RIGHT($B33,1)="P",1,IF(ISNUMBER(SEARCH("HALF GALLON",$C33)),Assumptions!$B$4,IF(ISNUMBER(SEARCH("GALLON",$C33)),Assumptions!$B$3,IF(ISNUMBER(SEARCH("QUART",$C33)),Assumptions!$B$5,IF(ISNUMBER(SEARCH("PINT",$C33)),Assumptions!$B$6,Assumptions!$B$7)))))</f>
        <v>20</v>
      </c>
      <c r="I33" s="27">
        <f t="shared" si="1"/>
        <v>40</v>
      </c>
    </row>
    <row r="34" spans="1:9" x14ac:dyDescent="0.2">
      <c r="A34" s="3" t="s">
        <v>4</v>
      </c>
      <c r="B34" s="3" t="s">
        <v>247</v>
      </c>
      <c r="C34" s="3" t="s">
        <v>246</v>
      </c>
      <c r="D34" s="3" t="s">
        <v>116</v>
      </c>
      <c r="E34" s="4">
        <v>7</v>
      </c>
      <c r="F34" s="5" t="str">
        <f>IFERROR(3958.8*ACOS(MIN(1,MAX(-1,SIN(RADIANS('ZIP Coordinates'!$C$2))*SIN(RADIANS(INDEX('ZIP Coordinates'!$C:$C,MATCH($A34,'ZIP Coordinates'!$A:$A,0))))+COS(RADIANS('ZIP Coordinates'!$C$2))*COS(RADIANS(INDEX('ZIP Coordinates'!$C:$C,MATCH($A34,'ZIP Coordinates'!$A:$A,0))))*COS(RADIANS(INDEX('ZIP Coordinates'!$D:$D,MATCH($A34,'ZIP Coordinates'!$A:$A,0))-'ZIP Coordinates'!$D$2))))),"N/A")</f>
        <v>N/A</v>
      </c>
      <c r="G34" s="3" t="str">
        <f t="shared" si="0"/>
        <v>Unknown</v>
      </c>
      <c r="H34" s="27">
        <f>IF(RIGHT($B34,1)="P",1,IF(ISNUMBER(SEARCH("HALF GALLON",$C34)),Assumptions!$B$4,IF(ISNUMBER(SEARCH("GALLON",$C34)),Assumptions!$B$3,IF(ISNUMBER(SEARCH("QUART",$C34)),Assumptions!$B$5,IF(ISNUMBER(SEARCH("PINT",$C34)),Assumptions!$B$6,Assumptions!$B$7)))))</f>
        <v>1</v>
      </c>
      <c r="I34" s="27">
        <f t="shared" si="1"/>
        <v>7</v>
      </c>
    </row>
    <row r="35" spans="1:9" x14ac:dyDescent="0.2">
      <c r="A35" s="3" t="s">
        <v>4</v>
      </c>
      <c r="B35" s="3" t="s">
        <v>248</v>
      </c>
      <c r="C35" s="3" t="s">
        <v>249</v>
      </c>
      <c r="D35" s="3" t="s">
        <v>132</v>
      </c>
      <c r="E35" s="4">
        <v>1</v>
      </c>
      <c r="F35" s="5" t="str">
        <f>IFERROR(3958.8*ACOS(MIN(1,MAX(-1,SIN(RADIANS('ZIP Coordinates'!$C$2))*SIN(RADIANS(INDEX('ZIP Coordinates'!$C:$C,MATCH($A35,'ZIP Coordinates'!$A:$A,0))))+COS(RADIANS('ZIP Coordinates'!$C$2))*COS(RADIANS(INDEX('ZIP Coordinates'!$C:$C,MATCH($A35,'ZIP Coordinates'!$A:$A,0))))*COS(RADIANS(INDEX('ZIP Coordinates'!$D:$D,MATCH($A35,'ZIP Coordinates'!$A:$A,0))-'ZIP Coordinates'!$D$2))))),"N/A")</f>
        <v>N/A</v>
      </c>
      <c r="G35" s="3" t="str">
        <f t="shared" si="0"/>
        <v>Unknown</v>
      </c>
      <c r="H35" s="27">
        <f>IF(RIGHT($B35,1)="P",1,IF(ISNUMBER(SEARCH("HALF GALLON",$C35)),Assumptions!$B$4,IF(ISNUMBER(SEARCH("GALLON",$C35)),Assumptions!$B$3,IF(ISNUMBER(SEARCH("QUART",$C35)),Assumptions!$B$5,IF(ISNUMBER(SEARCH("PINT",$C35)),Assumptions!$B$6,Assumptions!$B$7)))))</f>
        <v>20</v>
      </c>
      <c r="I35" s="27">
        <f t="shared" si="1"/>
        <v>20</v>
      </c>
    </row>
    <row r="36" spans="1:9" x14ac:dyDescent="0.2">
      <c r="A36" s="3" t="s">
        <v>4</v>
      </c>
      <c r="B36" s="3" t="s">
        <v>250</v>
      </c>
      <c r="C36" s="3" t="s">
        <v>249</v>
      </c>
      <c r="D36" s="3" t="s">
        <v>116</v>
      </c>
      <c r="E36" s="4">
        <v>7</v>
      </c>
      <c r="F36" s="5" t="str">
        <f>IFERROR(3958.8*ACOS(MIN(1,MAX(-1,SIN(RADIANS('ZIP Coordinates'!$C$2))*SIN(RADIANS(INDEX('ZIP Coordinates'!$C:$C,MATCH($A36,'ZIP Coordinates'!$A:$A,0))))+COS(RADIANS('ZIP Coordinates'!$C$2))*COS(RADIANS(INDEX('ZIP Coordinates'!$C:$C,MATCH($A36,'ZIP Coordinates'!$A:$A,0))))*COS(RADIANS(INDEX('ZIP Coordinates'!$D:$D,MATCH($A36,'ZIP Coordinates'!$A:$A,0))-'ZIP Coordinates'!$D$2))))),"N/A")</f>
        <v>N/A</v>
      </c>
      <c r="G36" s="3" t="str">
        <f t="shared" si="0"/>
        <v>Unknown</v>
      </c>
      <c r="H36" s="27">
        <f>IF(RIGHT($B36,1)="P",1,IF(ISNUMBER(SEARCH("HALF GALLON",$C36)),Assumptions!$B$4,IF(ISNUMBER(SEARCH("GALLON",$C36)),Assumptions!$B$3,IF(ISNUMBER(SEARCH("QUART",$C36)),Assumptions!$B$5,IF(ISNUMBER(SEARCH("PINT",$C36)),Assumptions!$B$6,Assumptions!$B$7)))))</f>
        <v>1</v>
      </c>
      <c r="I36" s="27">
        <f t="shared" si="1"/>
        <v>7</v>
      </c>
    </row>
    <row r="37" spans="1:9" x14ac:dyDescent="0.2">
      <c r="A37" s="3" t="s">
        <v>4</v>
      </c>
      <c r="B37" s="3" t="s">
        <v>250</v>
      </c>
      <c r="C37" s="3" t="s">
        <v>249</v>
      </c>
      <c r="D37" s="3" t="s">
        <v>101</v>
      </c>
      <c r="E37" s="4">
        <v>93</v>
      </c>
      <c r="F37" s="5" t="str">
        <f>IFERROR(3958.8*ACOS(MIN(1,MAX(-1,SIN(RADIANS('ZIP Coordinates'!$C$2))*SIN(RADIANS(INDEX('ZIP Coordinates'!$C:$C,MATCH($A37,'ZIP Coordinates'!$A:$A,0))))+COS(RADIANS('ZIP Coordinates'!$C$2))*COS(RADIANS(INDEX('ZIP Coordinates'!$C:$C,MATCH($A37,'ZIP Coordinates'!$A:$A,0))))*COS(RADIANS(INDEX('ZIP Coordinates'!$D:$D,MATCH($A37,'ZIP Coordinates'!$A:$A,0))-'ZIP Coordinates'!$D$2))))),"N/A")</f>
        <v>N/A</v>
      </c>
      <c r="G37" s="3" t="str">
        <f t="shared" si="0"/>
        <v>Unknown</v>
      </c>
      <c r="H37" s="27">
        <f>IF(RIGHT($B37,1)="P",1,IF(ISNUMBER(SEARCH("HALF GALLON",$C37)),Assumptions!$B$4,IF(ISNUMBER(SEARCH("GALLON",$C37)),Assumptions!$B$3,IF(ISNUMBER(SEARCH("QUART",$C37)),Assumptions!$B$5,IF(ISNUMBER(SEARCH("PINT",$C37)),Assumptions!$B$6,Assumptions!$B$7)))))</f>
        <v>1</v>
      </c>
      <c r="I37" s="27">
        <f t="shared" si="1"/>
        <v>93</v>
      </c>
    </row>
    <row r="38" spans="1:9" x14ac:dyDescent="0.2">
      <c r="A38" s="3" t="s">
        <v>4</v>
      </c>
      <c r="B38" s="3" t="s">
        <v>250</v>
      </c>
      <c r="C38" s="3" t="s">
        <v>249</v>
      </c>
      <c r="D38" s="3" t="s">
        <v>101</v>
      </c>
      <c r="E38" s="4">
        <v>153</v>
      </c>
      <c r="F38" s="5" t="str">
        <f>IFERROR(3958.8*ACOS(MIN(1,MAX(-1,SIN(RADIANS('ZIP Coordinates'!$C$2))*SIN(RADIANS(INDEX('ZIP Coordinates'!$C:$C,MATCH($A38,'ZIP Coordinates'!$A:$A,0))))+COS(RADIANS('ZIP Coordinates'!$C$2))*COS(RADIANS(INDEX('ZIP Coordinates'!$C:$C,MATCH($A38,'ZIP Coordinates'!$A:$A,0))))*COS(RADIANS(INDEX('ZIP Coordinates'!$D:$D,MATCH($A38,'ZIP Coordinates'!$A:$A,0))-'ZIP Coordinates'!$D$2))))),"N/A")</f>
        <v>N/A</v>
      </c>
      <c r="G38" s="3" t="str">
        <f t="shared" si="0"/>
        <v>Unknown</v>
      </c>
      <c r="H38" s="27">
        <f>IF(RIGHT($B38,1)="P",1,IF(ISNUMBER(SEARCH("HALF GALLON",$C38)),Assumptions!$B$4,IF(ISNUMBER(SEARCH("GALLON",$C38)),Assumptions!$B$3,IF(ISNUMBER(SEARCH("QUART",$C38)),Assumptions!$B$5,IF(ISNUMBER(SEARCH("PINT",$C38)),Assumptions!$B$6,Assumptions!$B$7)))))</f>
        <v>1</v>
      </c>
      <c r="I38" s="27">
        <f t="shared" si="1"/>
        <v>153</v>
      </c>
    </row>
    <row r="39" spans="1:9" x14ac:dyDescent="0.2">
      <c r="A39" s="3" t="s">
        <v>4</v>
      </c>
      <c r="B39" s="3" t="s">
        <v>251</v>
      </c>
      <c r="C39" s="3" t="s">
        <v>252</v>
      </c>
      <c r="D39" s="3" t="s">
        <v>185</v>
      </c>
      <c r="E39" s="4">
        <v>10</v>
      </c>
      <c r="F39" s="5" t="str">
        <f>IFERROR(3958.8*ACOS(MIN(1,MAX(-1,SIN(RADIANS('ZIP Coordinates'!$C$2))*SIN(RADIANS(INDEX('ZIP Coordinates'!$C:$C,MATCH($A39,'ZIP Coordinates'!$A:$A,0))))+COS(RADIANS('ZIP Coordinates'!$C$2))*COS(RADIANS(INDEX('ZIP Coordinates'!$C:$C,MATCH($A39,'ZIP Coordinates'!$A:$A,0))))*COS(RADIANS(INDEX('ZIP Coordinates'!$D:$D,MATCH($A39,'ZIP Coordinates'!$A:$A,0))-'ZIP Coordinates'!$D$2))))),"N/A")</f>
        <v>N/A</v>
      </c>
      <c r="G39" s="3" t="str">
        <f t="shared" si="0"/>
        <v>Unknown</v>
      </c>
      <c r="H39" s="27">
        <f>IF(RIGHT($B39,1)="P",1,IF(ISNUMBER(SEARCH("HALF GALLON",$C39)),Assumptions!$B$4,IF(ISNUMBER(SEARCH("GALLON",$C39)),Assumptions!$B$3,IF(ISNUMBER(SEARCH("QUART",$C39)),Assumptions!$B$5,IF(ISNUMBER(SEARCH("PINT",$C39)),Assumptions!$B$6,Assumptions!$B$7)))))</f>
        <v>1</v>
      </c>
      <c r="I39" s="27">
        <f t="shared" si="1"/>
        <v>10</v>
      </c>
    </row>
    <row r="40" spans="1:9" x14ac:dyDescent="0.2">
      <c r="A40" s="3" t="s">
        <v>4</v>
      </c>
      <c r="B40" s="3" t="s">
        <v>251</v>
      </c>
      <c r="C40" s="3" t="s">
        <v>252</v>
      </c>
      <c r="D40" s="3" t="s">
        <v>132</v>
      </c>
      <c r="E40" s="4">
        <v>10</v>
      </c>
      <c r="F40" s="5" t="str">
        <f>IFERROR(3958.8*ACOS(MIN(1,MAX(-1,SIN(RADIANS('ZIP Coordinates'!$C$2))*SIN(RADIANS(INDEX('ZIP Coordinates'!$C:$C,MATCH($A40,'ZIP Coordinates'!$A:$A,0))))+COS(RADIANS('ZIP Coordinates'!$C$2))*COS(RADIANS(INDEX('ZIP Coordinates'!$C:$C,MATCH($A40,'ZIP Coordinates'!$A:$A,0))))*COS(RADIANS(INDEX('ZIP Coordinates'!$D:$D,MATCH($A40,'ZIP Coordinates'!$A:$A,0))-'ZIP Coordinates'!$D$2))))),"N/A")</f>
        <v>N/A</v>
      </c>
      <c r="G40" s="3" t="str">
        <f t="shared" si="0"/>
        <v>Unknown</v>
      </c>
      <c r="H40" s="27">
        <f>IF(RIGHT($B40,1)="P",1,IF(ISNUMBER(SEARCH("HALF GALLON",$C40)),Assumptions!$B$4,IF(ISNUMBER(SEARCH("GALLON",$C40)),Assumptions!$B$3,IF(ISNUMBER(SEARCH("QUART",$C40)),Assumptions!$B$5,IF(ISNUMBER(SEARCH("PINT",$C40)),Assumptions!$B$6,Assumptions!$B$7)))))</f>
        <v>1</v>
      </c>
      <c r="I40" s="27">
        <f t="shared" si="1"/>
        <v>10</v>
      </c>
    </row>
    <row r="41" spans="1:9" x14ac:dyDescent="0.2">
      <c r="A41" s="3" t="s">
        <v>4</v>
      </c>
      <c r="B41" s="3" t="s">
        <v>251</v>
      </c>
      <c r="C41" s="3" t="s">
        <v>252</v>
      </c>
      <c r="D41" s="3" t="s">
        <v>116</v>
      </c>
      <c r="E41" s="4">
        <v>6</v>
      </c>
      <c r="F41" s="5" t="str">
        <f>IFERROR(3958.8*ACOS(MIN(1,MAX(-1,SIN(RADIANS('ZIP Coordinates'!$C$2))*SIN(RADIANS(INDEX('ZIP Coordinates'!$C:$C,MATCH($A41,'ZIP Coordinates'!$A:$A,0))))+COS(RADIANS('ZIP Coordinates'!$C$2))*COS(RADIANS(INDEX('ZIP Coordinates'!$C:$C,MATCH($A41,'ZIP Coordinates'!$A:$A,0))))*COS(RADIANS(INDEX('ZIP Coordinates'!$D:$D,MATCH($A41,'ZIP Coordinates'!$A:$A,0))-'ZIP Coordinates'!$D$2))))),"N/A")</f>
        <v>N/A</v>
      </c>
      <c r="G41" s="3" t="str">
        <f t="shared" si="0"/>
        <v>Unknown</v>
      </c>
      <c r="H41" s="27">
        <f>IF(RIGHT($B41,1)="P",1,IF(ISNUMBER(SEARCH("HALF GALLON",$C41)),Assumptions!$B$4,IF(ISNUMBER(SEARCH("GALLON",$C41)),Assumptions!$B$3,IF(ISNUMBER(SEARCH("QUART",$C41)),Assumptions!$B$5,IF(ISNUMBER(SEARCH("PINT",$C41)),Assumptions!$B$6,Assumptions!$B$7)))))</f>
        <v>1</v>
      </c>
      <c r="I41" s="27">
        <f t="shared" si="1"/>
        <v>6</v>
      </c>
    </row>
    <row r="42" spans="1:9" x14ac:dyDescent="0.2">
      <c r="A42" s="3" t="s">
        <v>4</v>
      </c>
      <c r="B42" s="3" t="s">
        <v>251</v>
      </c>
      <c r="C42" s="3" t="s">
        <v>252</v>
      </c>
      <c r="D42" s="3" t="s">
        <v>185</v>
      </c>
      <c r="E42" s="4">
        <v>10</v>
      </c>
      <c r="F42" s="5" t="str">
        <f>IFERROR(3958.8*ACOS(MIN(1,MAX(-1,SIN(RADIANS('ZIP Coordinates'!$C$2))*SIN(RADIANS(INDEX('ZIP Coordinates'!$C:$C,MATCH($A42,'ZIP Coordinates'!$A:$A,0))))+COS(RADIANS('ZIP Coordinates'!$C$2))*COS(RADIANS(INDEX('ZIP Coordinates'!$C:$C,MATCH($A42,'ZIP Coordinates'!$A:$A,0))))*COS(RADIANS(INDEX('ZIP Coordinates'!$D:$D,MATCH($A42,'ZIP Coordinates'!$A:$A,0))-'ZIP Coordinates'!$D$2))))),"N/A")</f>
        <v>N/A</v>
      </c>
      <c r="G42" s="3" t="str">
        <f t="shared" si="0"/>
        <v>Unknown</v>
      </c>
      <c r="H42" s="27">
        <f>IF(RIGHT($B42,1)="P",1,IF(ISNUMBER(SEARCH("HALF GALLON",$C42)),Assumptions!$B$4,IF(ISNUMBER(SEARCH("GALLON",$C42)),Assumptions!$B$3,IF(ISNUMBER(SEARCH("QUART",$C42)),Assumptions!$B$5,IF(ISNUMBER(SEARCH("PINT",$C42)),Assumptions!$B$6,Assumptions!$B$7)))))</f>
        <v>1</v>
      </c>
      <c r="I42" s="27">
        <f t="shared" si="1"/>
        <v>10</v>
      </c>
    </row>
    <row r="43" spans="1:9" x14ac:dyDescent="0.2">
      <c r="A43" s="3" t="s">
        <v>4</v>
      </c>
      <c r="B43" s="3" t="s">
        <v>253</v>
      </c>
      <c r="C43" s="3" t="s">
        <v>254</v>
      </c>
      <c r="D43" s="3" t="s">
        <v>98</v>
      </c>
      <c r="E43" s="4">
        <v>4</v>
      </c>
      <c r="F43" s="5" t="str">
        <f>IFERROR(3958.8*ACOS(MIN(1,MAX(-1,SIN(RADIANS('ZIP Coordinates'!$C$2))*SIN(RADIANS(INDEX('ZIP Coordinates'!$C:$C,MATCH($A43,'ZIP Coordinates'!$A:$A,0))))+COS(RADIANS('ZIP Coordinates'!$C$2))*COS(RADIANS(INDEX('ZIP Coordinates'!$C:$C,MATCH($A43,'ZIP Coordinates'!$A:$A,0))))*COS(RADIANS(INDEX('ZIP Coordinates'!$D:$D,MATCH($A43,'ZIP Coordinates'!$A:$A,0))-'ZIP Coordinates'!$D$2))))),"N/A")</f>
        <v>N/A</v>
      </c>
      <c r="G43" s="3" t="str">
        <f t="shared" si="0"/>
        <v>Unknown</v>
      </c>
      <c r="H43" s="27">
        <f>IF(RIGHT($B43,1)="P",1,IF(ISNUMBER(SEARCH("HALF GALLON",$C43)),Assumptions!$B$4,IF(ISNUMBER(SEARCH("GALLON",$C43)),Assumptions!$B$3,IF(ISNUMBER(SEARCH("QUART",$C43)),Assumptions!$B$5,IF(ISNUMBER(SEARCH("PINT",$C43)),Assumptions!$B$6,Assumptions!$B$7)))))</f>
        <v>1</v>
      </c>
      <c r="I43" s="27">
        <f t="shared" si="1"/>
        <v>4</v>
      </c>
    </row>
    <row r="44" spans="1:9" x14ac:dyDescent="0.2">
      <c r="A44" s="3" t="s">
        <v>4</v>
      </c>
      <c r="B44" s="3" t="s">
        <v>253</v>
      </c>
      <c r="C44" s="3" t="s">
        <v>254</v>
      </c>
      <c r="D44" s="3" t="s">
        <v>98</v>
      </c>
      <c r="E44" s="4">
        <v>4</v>
      </c>
      <c r="F44" s="5" t="str">
        <f>IFERROR(3958.8*ACOS(MIN(1,MAX(-1,SIN(RADIANS('ZIP Coordinates'!$C$2))*SIN(RADIANS(INDEX('ZIP Coordinates'!$C:$C,MATCH($A44,'ZIP Coordinates'!$A:$A,0))))+COS(RADIANS('ZIP Coordinates'!$C$2))*COS(RADIANS(INDEX('ZIP Coordinates'!$C:$C,MATCH($A44,'ZIP Coordinates'!$A:$A,0))))*COS(RADIANS(INDEX('ZIP Coordinates'!$D:$D,MATCH($A44,'ZIP Coordinates'!$A:$A,0))-'ZIP Coordinates'!$D$2))))),"N/A")</f>
        <v>N/A</v>
      </c>
      <c r="G44" s="3" t="str">
        <f t="shared" si="0"/>
        <v>Unknown</v>
      </c>
      <c r="H44" s="27">
        <f>IF(RIGHT($B44,1)="P",1,IF(ISNUMBER(SEARCH("HALF GALLON",$C44)),Assumptions!$B$4,IF(ISNUMBER(SEARCH("GALLON",$C44)),Assumptions!$B$3,IF(ISNUMBER(SEARCH("QUART",$C44)),Assumptions!$B$5,IF(ISNUMBER(SEARCH("PINT",$C44)),Assumptions!$B$6,Assumptions!$B$7)))))</f>
        <v>1</v>
      </c>
      <c r="I44" s="27">
        <f t="shared" si="1"/>
        <v>4</v>
      </c>
    </row>
    <row r="45" spans="1:9" x14ac:dyDescent="0.2">
      <c r="A45" s="3" t="s">
        <v>4</v>
      </c>
      <c r="B45" s="3" t="s">
        <v>253</v>
      </c>
      <c r="C45" s="3" t="s">
        <v>254</v>
      </c>
      <c r="D45" s="3" t="s">
        <v>98</v>
      </c>
      <c r="E45" s="4">
        <v>2</v>
      </c>
      <c r="F45" s="5" t="str">
        <f>IFERROR(3958.8*ACOS(MIN(1,MAX(-1,SIN(RADIANS('ZIP Coordinates'!$C$2))*SIN(RADIANS(INDEX('ZIP Coordinates'!$C:$C,MATCH($A45,'ZIP Coordinates'!$A:$A,0))))+COS(RADIANS('ZIP Coordinates'!$C$2))*COS(RADIANS(INDEX('ZIP Coordinates'!$C:$C,MATCH($A45,'ZIP Coordinates'!$A:$A,0))))*COS(RADIANS(INDEX('ZIP Coordinates'!$D:$D,MATCH($A45,'ZIP Coordinates'!$A:$A,0))-'ZIP Coordinates'!$D$2))))),"N/A")</f>
        <v>N/A</v>
      </c>
      <c r="G45" s="3" t="str">
        <f t="shared" si="0"/>
        <v>Unknown</v>
      </c>
      <c r="H45" s="27">
        <f>IF(RIGHT($B45,1)="P",1,IF(ISNUMBER(SEARCH("HALF GALLON",$C45)),Assumptions!$B$4,IF(ISNUMBER(SEARCH("GALLON",$C45)),Assumptions!$B$3,IF(ISNUMBER(SEARCH("QUART",$C45)),Assumptions!$B$5,IF(ISNUMBER(SEARCH("PINT",$C45)),Assumptions!$B$6,Assumptions!$B$7)))))</f>
        <v>1</v>
      </c>
      <c r="I45" s="27">
        <f t="shared" si="1"/>
        <v>2</v>
      </c>
    </row>
    <row r="46" spans="1:9" x14ac:dyDescent="0.2">
      <c r="A46" s="3" t="s">
        <v>4</v>
      </c>
      <c r="B46" s="3" t="s">
        <v>253</v>
      </c>
      <c r="C46" s="3" t="s">
        <v>254</v>
      </c>
      <c r="D46" s="3" t="s">
        <v>98</v>
      </c>
      <c r="E46" s="4">
        <v>6</v>
      </c>
      <c r="F46" s="5" t="str">
        <f>IFERROR(3958.8*ACOS(MIN(1,MAX(-1,SIN(RADIANS('ZIP Coordinates'!$C$2))*SIN(RADIANS(INDEX('ZIP Coordinates'!$C:$C,MATCH($A46,'ZIP Coordinates'!$A:$A,0))))+COS(RADIANS('ZIP Coordinates'!$C$2))*COS(RADIANS(INDEX('ZIP Coordinates'!$C:$C,MATCH($A46,'ZIP Coordinates'!$A:$A,0))))*COS(RADIANS(INDEX('ZIP Coordinates'!$D:$D,MATCH($A46,'ZIP Coordinates'!$A:$A,0))-'ZIP Coordinates'!$D$2))))),"N/A")</f>
        <v>N/A</v>
      </c>
      <c r="G46" s="3" t="str">
        <f t="shared" si="0"/>
        <v>Unknown</v>
      </c>
      <c r="H46" s="27">
        <f>IF(RIGHT($B46,1)="P",1,IF(ISNUMBER(SEARCH("HALF GALLON",$C46)),Assumptions!$B$4,IF(ISNUMBER(SEARCH("GALLON",$C46)),Assumptions!$B$3,IF(ISNUMBER(SEARCH("QUART",$C46)),Assumptions!$B$5,IF(ISNUMBER(SEARCH("PINT",$C46)),Assumptions!$B$6,Assumptions!$B$7)))))</f>
        <v>1</v>
      </c>
      <c r="I46" s="27">
        <f t="shared" si="1"/>
        <v>6</v>
      </c>
    </row>
    <row r="47" spans="1:9" x14ac:dyDescent="0.2">
      <c r="A47" s="3" t="s">
        <v>4</v>
      </c>
      <c r="B47" s="3" t="s">
        <v>253</v>
      </c>
      <c r="C47" s="3" t="s">
        <v>254</v>
      </c>
      <c r="D47" s="3" t="s">
        <v>98</v>
      </c>
      <c r="E47" s="4">
        <v>4</v>
      </c>
      <c r="F47" s="5" t="str">
        <f>IFERROR(3958.8*ACOS(MIN(1,MAX(-1,SIN(RADIANS('ZIP Coordinates'!$C$2))*SIN(RADIANS(INDEX('ZIP Coordinates'!$C:$C,MATCH($A47,'ZIP Coordinates'!$A:$A,0))))+COS(RADIANS('ZIP Coordinates'!$C$2))*COS(RADIANS(INDEX('ZIP Coordinates'!$C:$C,MATCH($A47,'ZIP Coordinates'!$A:$A,0))))*COS(RADIANS(INDEX('ZIP Coordinates'!$D:$D,MATCH($A47,'ZIP Coordinates'!$A:$A,0))-'ZIP Coordinates'!$D$2))))),"N/A")</f>
        <v>N/A</v>
      </c>
      <c r="G47" s="3" t="str">
        <f t="shared" si="0"/>
        <v>Unknown</v>
      </c>
      <c r="H47" s="27">
        <f>IF(RIGHT($B47,1)="P",1,IF(ISNUMBER(SEARCH("HALF GALLON",$C47)),Assumptions!$B$4,IF(ISNUMBER(SEARCH("GALLON",$C47)),Assumptions!$B$3,IF(ISNUMBER(SEARCH("QUART",$C47)),Assumptions!$B$5,IF(ISNUMBER(SEARCH("PINT",$C47)),Assumptions!$B$6,Assumptions!$B$7)))))</f>
        <v>1</v>
      </c>
      <c r="I47" s="27">
        <f t="shared" si="1"/>
        <v>4</v>
      </c>
    </row>
    <row r="48" spans="1:9" x14ac:dyDescent="0.2">
      <c r="A48" s="3" t="s">
        <v>4</v>
      </c>
      <c r="B48" s="3" t="s">
        <v>253</v>
      </c>
      <c r="C48" s="3" t="s">
        <v>254</v>
      </c>
      <c r="D48" s="3" t="s">
        <v>98</v>
      </c>
      <c r="E48" s="4">
        <v>4</v>
      </c>
      <c r="F48" s="5" t="str">
        <f>IFERROR(3958.8*ACOS(MIN(1,MAX(-1,SIN(RADIANS('ZIP Coordinates'!$C$2))*SIN(RADIANS(INDEX('ZIP Coordinates'!$C:$C,MATCH($A48,'ZIP Coordinates'!$A:$A,0))))+COS(RADIANS('ZIP Coordinates'!$C$2))*COS(RADIANS(INDEX('ZIP Coordinates'!$C:$C,MATCH($A48,'ZIP Coordinates'!$A:$A,0))))*COS(RADIANS(INDEX('ZIP Coordinates'!$D:$D,MATCH($A48,'ZIP Coordinates'!$A:$A,0))-'ZIP Coordinates'!$D$2))))),"N/A")</f>
        <v>N/A</v>
      </c>
      <c r="G48" s="3" t="str">
        <f t="shared" si="0"/>
        <v>Unknown</v>
      </c>
      <c r="H48" s="27">
        <f>IF(RIGHT($B48,1)="P",1,IF(ISNUMBER(SEARCH("HALF GALLON",$C48)),Assumptions!$B$4,IF(ISNUMBER(SEARCH("GALLON",$C48)),Assumptions!$B$3,IF(ISNUMBER(SEARCH("QUART",$C48)),Assumptions!$B$5,IF(ISNUMBER(SEARCH("PINT",$C48)),Assumptions!$B$6,Assumptions!$B$7)))))</f>
        <v>1</v>
      </c>
      <c r="I48" s="27">
        <f t="shared" si="1"/>
        <v>4</v>
      </c>
    </row>
    <row r="49" spans="1:9" x14ac:dyDescent="0.2">
      <c r="A49" s="3" t="s">
        <v>4</v>
      </c>
      <c r="B49" s="3" t="s">
        <v>253</v>
      </c>
      <c r="C49" s="3" t="s">
        <v>254</v>
      </c>
      <c r="D49" s="3" t="s">
        <v>98</v>
      </c>
      <c r="E49" s="4">
        <v>9</v>
      </c>
      <c r="F49" s="5" t="str">
        <f>IFERROR(3958.8*ACOS(MIN(1,MAX(-1,SIN(RADIANS('ZIP Coordinates'!$C$2))*SIN(RADIANS(INDEX('ZIP Coordinates'!$C:$C,MATCH($A49,'ZIP Coordinates'!$A:$A,0))))+COS(RADIANS('ZIP Coordinates'!$C$2))*COS(RADIANS(INDEX('ZIP Coordinates'!$C:$C,MATCH($A49,'ZIP Coordinates'!$A:$A,0))))*COS(RADIANS(INDEX('ZIP Coordinates'!$D:$D,MATCH($A49,'ZIP Coordinates'!$A:$A,0))-'ZIP Coordinates'!$D$2))))),"N/A")</f>
        <v>N/A</v>
      </c>
      <c r="G49" s="3" t="str">
        <f t="shared" si="0"/>
        <v>Unknown</v>
      </c>
      <c r="H49" s="27">
        <f>IF(RIGHT($B49,1)="P",1,IF(ISNUMBER(SEARCH("HALF GALLON",$C49)),Assumptions!$B$4,IF(ISNUMBER(SEARCH("GALLON",$C49)),Assumptions!$B$3,IF(ISNUMBER(SEARCH("QUART",$C49)),Assumptions!$B$5,IF(ISNUMBER(SEARCH("PINT",$C49)),Assumptions!$B$6,Assumptions!$B$7)))))</f>
        <v>1</v>
      </c>
      <c r="I49" s="27">
        <f t="shared" si="1"/>
        <v>9</v>
      </c>
    </row>
    <row r="50" spans="1:9" x14ac:dyDescent="0.2">
      <c r="A50" s="3" t="s">
        <v>4</v>
      </c>
      <c r="B50" s="3" t="s">
        <v>253</v>
      </c>
      <c r="C50" s="3" t="s">
        <v>254</v>
      </c>
      <c r="D50" s="3" t="s">
        <v>98</v>
      </c>
      <c r="E50" s="4">
        <v>4</v>
      </c>
      <c r="F50" s="5" t="str">
        <f>IFERROR(3958.8*ACOS(MIN(1,MAX(-1,SIN(RADIANS('ZIP Coordinates'!$C$2))*SIN(RADIANS(INDEX('ZIP Coordinates'!$C:$C,MATCH($A50,'ZIP Coordinates'!$A:$A,0))))+COS(RADIANS('ZIP Coordinates'!$C$2))*COS(RADIANS(INDEX('ZIP Coordinates'!$C:$C,MATCH($A50,'ZIP Coordinates'!$A:$A,0))))*COS(RADIANS(INDEX('ZIP Coordinates'!$D:$D,MATCH($A50,'ZIP Coordinates'!$A:$A,0))-'ZIP Coordinates'!$D$2))))),"N/A")</f>
        <v>N/A</v>
      </c>
      <c r="G50" s="3" t="str">
        <f t="shared" si="0"/>
        <v>Unknown</v>
      </c>
      <c r="H50" s="27">
        <f>IF(RIGHT($B50,1)="P",1,IF(ISNUMBER(SEARCH("HALF GALLON",$C50)),Assumptions!$B$4,IF(ISNUMBER(SEARCH("GALLON",$C50)),Assumptions!$B$3,IF(ISNUMBER(SEARCH("QUART",$C50)),Assumptions!$B$5,IF(ISNUMBER(SEARCH("PINT",$C50)),Assumptions!$B$6,Assumptions!$B$7)))))</f>
        <v>1</v>
      </c>
      <c r="I50" s="27">
        <f t="shared" si="1"/>
        <v>4</v>
      </c>
    </row>
    <row r="51" spans="1:9" x14ac:dyDescent="0.2">
      <c r="A51" s="3" t="s">
        <v>4</v>
      </c>
      <c r="B51" s="3" t="s">
        <v>253</v>
      </c>
      <c r="C51" s="3" t="s">
        <v>254</v>
      </c>
      <c r="D51" s="3" t="s">
        <v>98</v>
      </c>
      <c r="E51" s="4">
        <v>5</v>
      </c>
      <c r="F51" s="5" t="str">
        <f>IFERROR(3958.8*ACOS(MIN(1,MAX(-1,SIN(RADIANS('ZIP Coordinates'!$C$2))*SIN(RADIANS(INDEX('ZIP Coordinates'!$C:$C,MATCH($A51,'ZIP Coordinates'!$A:$A,0))))+COS(RADIANS('ZIP Coordinates'!$C$2))*COS(RADIANS(INDEX('ZIP Coordinates'!$C:$C,MATCH($A51,'ZIP Coordinates'!$A:$A,0))))*COS(RADIANS(INDEX('ZIP Coordinates'!$D:$D,MATCH($A51,'ZIP Coordinates'!$A:$A,0))-'ZIP Coordinates'!$D$2))))),"N/A")</f>
        <v>N/A</v>
      </c>
      <c r="G51" s="3" t="str">
        <f t="shared" si="0"/>
        <v>Unknown</v>
      </c>
      <c r="H51" s="27">
        <f>IF(RIGHT($B51,1)="P",1,IF(ISNUMBER(SEARCH("HALF GALLON",$C51)),Assumptions!$B$4,IF(ISNUMBER(SEARCH("GALLON",$C51)),Assumptions!$B$3,IF(ISNUMBER(SEARCH("QUART",$C51)),Assumptions!$B$5,IF(ISNUMBER(SEARCH("PINT",$C51)),Assumptions!$B$6,Assumptions!$B$7)))))</f>
        <v>1</v>
      </c>
      <c r="I51" s="27">
        <f t="shared" si="1"/>
        <v>5</v>
      </c>
    </row>
    <row r="52" spans="1:9" x14ac:dyDescent="0.2">
      <c r="A52" s="3" t="s">
        <v>4</v>
      </c>
      <c r="B52" s="3" t="s">
        <v>253</v>
      </c>
      <c r="C52" s="3" t="s">
        <v>254</v>
      </c>
      <c r="D52" s="3" t="s">
        <v>98</v>
      </c>
      <c r="E52" s="4">
        <v>4</v>
      </c>
      <c r="F52" s="5" t="str">
        <f>IFERROR(3958.8*ACOS(MIN(1,MAX(-1,SIN(RADIANS('ZIP Coordinates'!$C$2))*SIN(RADIANS(INDEX('ZIP Coordinates'!$C:$C,MATCH($A52,'ZIP Coordinates'!$A:$A,0))))+COS(RADIANS('ZIP Coordinates'!$C$2))*COS(RADIANS(INDEX('ZIP Coordinates'!$C:$C,MATCH($A52,'ZIP Coordinates'!$A:$A,0))))*COS(RADIANS(INDEX('ZIP Coordinates'!$D:$D,MATCH($A52,'ZIP Coordinates'!$A:$A,0))-'ZIP Coordinates'!$D$2))))),"N/A")</f>
        <v>N/A</v>
      </c>
      <c r="G52" s="3" t="str">
        <f t="shared" si="0"/>
        <v>Unknown</v>
      </c>
      <c r="H52" s="27">
        <f>IF(RIGHT($B52,1)="P",1,IF(ISNUMBER(SEARCH("HALF GALLON",$C52)),Assumptions!$B$4,IF(ISNUMBER(SEARCH("GALLON",$C52)),Assumptions!$B$3,IF(ISNUMBER(SEARCH("QUART",$C52)),Assumptions!$B$5,IF(ISNUMBER(SEARCH("PINT",$C52)),Assumptions!$B$6,Assumptions!$B$7)))))</f>
        <v>1</v>
      </c>
      <c r="I52" s="27">
        <f t="shared" si="1"/>
        <v>4</v>
      </c>
    </row>
    <row r="53" spans="1:9" x14ac:dyDescent="0.2">
      <c r="A53" s="3" t="s">
        <v>4</v>
      </c>
      <c r="B53" s="3" t="s">
        <v>253</v>
      </c>
      <c r="C53" s="3" t="s">
        <v>254</v>
      </c>
      <c r="D53" s="3" t="s">
        <v>98</v>
      </c>
      <c r="E53" s="4">
        <v>2</v>
      </c>
      <c r="F53" s="5" t="str">
        <f>IFERROR(3958.8*ACOS(MIN(1,MAX(-1,SIN(RADIANS('ZIP Coordinates'!$C$2))*SIN(RADIANS(INDEX('ZIP Coordinates'!$C:$C,MATCH($A53,'ZIP Coordinates'!$A:$A,0))))+COS(RADIANS('ZIP Coordinates'!$C$2))*COS(RADIANS(INDEX('ZIP Coordinates'!$C:$C,MATCH($A53,'ZIP Coordinates'!$A:$A,0))))*COS(RADIANS(INDEX('ZIP Coordinates'!$D:$D,MATCH($A53,'ZIP Coordinates'!$A:$A,0))-'ZIP Coordinates'!$D$2))))),"N/A")</f>
        <v>N/A</v>
      </c>
      <c r="G53" s="3" t="str">
        <f t="shared" si="0"/>
        <v>Unknown</v>
      </c>
      <c r="H53" s="27">
        <f>IF(RIGHT($B53,1)="P",1,IF(ISNUMBER(SEARCH("HALF GALLON",$C53)),Assumptions!$B$4,IF(ISNUMBER(SEARCH("GALLON",$C53)),Assumptions!$B$3,IF(ISNUMBER(SEARCH("QUART",$C53)),Assumptions!$B$5,IF(ISNUMBER(SEARCH("PINT",$C53)),Assumptions!$B$6,Assumptions!$B$7)))))</f>
        <v>1</v>
      </c>
      <c r="I53" s="27">
        <f t="shared" si="1"/>
        <v>2</v>
      </c>
    </row>
    <row r="54" spans="1:9" x14ac:dyDescent="0.2">
      <c r="A54" s="3" t="s">
        <v>4</v>
      </c>
      <c r="B54" s="3" t="s">
        <v>253</v>
      </c>
      <c r="C54" s="3" t="s">
        <v>254</v>
      </c>
      <c r="D54" s="3" t="s">
        <v>98</v>
      </c>
      <c r="E54" s="4">
        <v>6</v>
      </c>
      <c r="F54" s="5" t="str">
        <f>IFERROR(3958.8*ACOS(MIN(1,MAX(-1,SIN(RADIANS('ZIP Coordinates'!$C$2))*SIN(RADIANS(INDEX('ZIP Coordinates'!$C:$C,MATCH($A54,'ZIP Coordinates'!$A:$A,0))))+COS(RADIANS('ZIP Coordinates'!$C$2))*COS(RADIANS(INDEX('ZIP Coordinates'!$C:$C,MATCH($A54,'ZIP Coordinates'!$A:$A,0))))*COS(RADIANS(INDEX('ZIP Coordinates'!$D:$D,MATCH($A54,'ZIP Coordinates'!$A:$A,0))-'ZIP Coordinates'!$D$2))))),"N/A")</f>
        <v>N/A</v>
      </c>
      <c r="G54" s="3" t="str">
        <f t="shared" si="0"/>
        <v>Unknown</v>
      </c>
      <c r="H54" s="27">
        <f>IF(RIGHT($B54,1)="P",1,IF(ISNUMBER(SEARCH("HALF GALLON",$C54)),Assumptions!$B$4,IF(ISNUMBER(SEARCH("GALLON",$C54)),Assumptions!$B$3,IF(ISNUMBER(SEARCH("QUART",$C54)),Assumptions!$B$5,IF(ISNUMBER(SEARCH("PINT",$C54)),Assumptions!$B$6,Assumptions!$B$7)))))</f>
        <v>1</v>
      </c>
      <c r="I54" s="27">
        <f t="shared" si="1"/>
        <v>6</v>
      </c>
    </row>
    <row r="55" spans="1:9" x14ac:dyDescent="0.2">
      <c r="A55" s="3" t="s">
        <v>4</v>
      </c>
      <c r="B55" s="3" t="s">
        <v>253</v>
      </c>
      <c r="C55" s="3" t="s">
        <v>254</v>
      </c>
      <c r="D55" s="3" t="s">
        <v>98</v>
      </c>
      <c r="E55" s="4">
        <v>7</v>
      </c>
      <c r="F55" s="5" t="str">
        <f>IFERROR(3958.8*ACOS(MIN(1,MAX(-1,SIN(RADIANS('ZIP Coordinates'!$C$2))*SIN(RADIANS(INDEX('ZIP Coordinates'!$C:$C,MATCH($A55,'ZIP Coordinates'!$A:$A,0))))+COS(RADIANS('ZIP Coordinates'!$C$2))*COS(RADIANS(INDEX('ZIP Coordinates'!$C:$C,MATCH($A55,'ZIP Coordinates'!$A:$A,0))))*COS(RADIANS(INDEX('ZIP Coordinates'!$D:$D,MATCH($A55,'ZIP Coordinates'!$A:$A,0))-'ZIP Coordinates'!$D$2))))),"N/A")</f>
        <v>N/A</v>
      </c>
      <c r="G55" s="3" t="str">
        <f t="shared" si="0"/>
        <v>Unknown</v>
      </c>
      <c r="H55" s="27">
        <f>IF(RIGHT($B55,1)="P",1,IF(ISNUMBER(SEARCH("HALF GALLON",$C55)),Assumptions!$B$4,IF(ISNUMBER(SEARCH("GALLON",$C55)),Assumptions!$B$3,IF(ISNUMBER(SEARCH("QUART",$C55)),Assumptions!$B$5,IF(ISNUMBER(SEARCH("PINT",$C55)),Assumptions!$B$6,Assumptions!$B$7)))))</f>
        <v>1</v>
      </c>
      <c r="I55" s="27">
        <f t="shared" si="1"/>
        <v>7</v>
      </c>
    </row>
    <row r="56" spans="1:9" x14ac:dyDescent="0.2">
      <c r="A56" s="3" t="s">
        <v>4</v>
      </c>
      <c r="B56" s="3" t="s">
        <v>253</v>
      </c>
      <c r="C56" s="3" t="s">
        <v>254</v>
      </c>
      <c r="D56" s="3" t="s">
        <v>98</v>
      </c>
      <c r="E56" s="4">
        <v>8</v>
      </c>
      <c r="F56" s="5" t="str">
        <f>IFERROR(3958.8*ACOS(MIN(1,MAX(-1,SIN(RADIANS('ZIP Coordinates'!$C$2))*SIN(RADIANS(INDEX('ZIP Coordinates'!$C:$C,MATCH($A56,'ZIP Coordinates'!$A:$A,0))))+COS(RADIANS('ZIP Coordinates'!$C$2))*COS(RADIANS(INDEX('ZIP Coordinates'!$C:$C,MATCH($A56,'ZIP Coordinates'!$A:$A,0))))*COS(RADIANS(INDEX('ZIP Coordinates'!$D:$D,MATCH($A56,'ZIP Coordinates'!$A:$A,0))-'ZIP Coordinates'!$D$2))))),"N/A")</f>
        <v>N/A</v>
      </c>
      <c r="G56" s="3" t="str">
        <f t="shared" si="0"/>
        <v>Unknown</v>
      </c>
      <c r="H56" s="27">
        <f>IF(RIGHT($B56,1)="P",1,IF(ISNUMBER(SEARCH("HALF GALLON",$C56)),Assumptions!$B$4,IF(ISNUMBER(SEARCH("GALLON",$C56)),Assumptions!$B$3,IF(ISNUMBER(SEARCH("QUART",$C56)),Assumptions!$B$5,IF(ISNUMBER(SEARCH("PINT",$C56)),Assumptions!$B$6,Assumptions!$B$7)))))</f>
        <v>1</v>
      </c>
      <c r="I56" s="27">
        <f t="shared" si="1"/>
        <v>8</v>
      </c>
    </row>
    <row r="57" spans="1:9" x14ac:dyDescent="0.2">
      <c r="A57" s="3" t="s">
        <v>4</v>
      </c>
      <c r="B57" s="3" t="s">
        <v>253</v>
      </c>
      <c r="C57" s="3" t="s">
        <v>254</v>
      </c>
      <c r="D57" s="3" t="s">
        <v>98</v>
      </c>
      <c r="E57" s="4">
        <v>3</v>
      </c>
      <c r="F57" s="5" t="str">
        <f>IFERROR(3958.8*ACOS(MIN(1,MAX(-1,SIN(RADIANS('ZIP Coordinates'!$C$2))*SIN(RADIANS(INDEX('ZIP Coordinates'!$C:$C,MATCH($A57,'ZIP Coordinates'!$A:$A,0))))+COS(RADIANS('ZIP Coordinates'!$C$2))*COS(RADIANS(INDEX('ZIP Coordinates'!$C:$C,MATCH($A57,'ZIP Coordinates'!$A:$A,0))))*COS(RADIANS(INDEX('ZIP Coordinates'!$D:$D,MATCH($A57,'ZIP Coordinates'!$A:$A,0))-'ZIP Coordinates'!$D$2))))),"N/A")</f>
        <v>N/A</v>
      </c>
      <c r="G57" s="3" t="str">
        <f t="shared" si="0"/>
        <v>Unknown</v>
      </c>
      <c r="H57" s="27">
        <f>IF(RIGHT($B57,1)="P",1,IF(ISNUMBER(SEARCH("HALF GALLON",$C57)),Assumptions!$B$4,IF(ISNUMBER(SEARCH("GALLON",$C57)),Assumptions!$B$3,IF(ISNUMBER(SEARCH("QUART",$C57)),Assumptions!$B$5,IF(ISNUMBER(SEARCH("PINT",$C57)),Assumptions!$B$6,Assumptions!$B$7)))))</f>
        <v>1</v>
      </c>
      <c r="I57" s="27">
        <f t="shared" si="1"/>
        <v>3</v>
      </c>
    </row>
    <row r="58" spans="1:9" x14ac:dyDescent="0.2">
      <c r="A58" s="3" t="s">
        <v>4</v>
      </c>
      <c r="B58" s="3" t="s">
        <v>253</v>
      </c>
      <c r="C58" s="3" t="s">
        <v>254</v>
      </c>
      <c r="D58" s="3" t="s">
        <v>98</v>
      </c>
      <c r="E58" s="4">
        <v>6</v>
      </c>
      <c r="F58" s="5" t="str">
        <f>IFERROR(3958.8*ACOS(MIN(1,MAX(-1,SIN(RADIANS('ZIP Coordinates'!$C$2))*SIN(RADIANS(INDEX('ZIP Coordinates'!$C:$C,MATCH($A58,'ZIP Coordinates'!$A:$A,0))))+COS(RADIANS('ZIP Coordinates'!$C$2))*COS(RADIANS(INDEX('ZIP Coordinates'!$C:$C,MATCH($A58,'ZIP Coordinates'!$A:$A,0))))*COS(RADIANS(INDEX('ZIP Coordinates'!$D:$D,MATCH($A58,'ZIP Coordinates'!$A:$A,0))-'ZIP Coordinates'!$D$2))))),"N/A")</f>
        <v>N/A</v>
      </c>
      <c r="G58" s="3" t="str">
        <f t="shared" si="0"/>
        <v>Unknown</v>
      </c>
      <c r="H58" s="27">
        <f>IF(RIGHT($B58,1)="P",1,IF(ISNUMBER(SEARCH("HALF GALLON",$C58)),Assumptions!$B$4,IF(ISNUMBER(SEARCH("GALLON",$C58)),Assumptions!$B$3,IF(ISNUMBER(SEARCH("QUART",$C58)),Assumptions!$B$5,IF(ISNUMBER(SEARCH("PINT",$C58)),Assumptions!$B$6,Assumptions!$B$7)))))</f>
        <v>1</v>
      </c>
      <c r="I58" s="27">
        <f t="shared" si="1"/>
        <v>6</v>
      </c>
    </row>
    <row r="59" spans="1:9" x14ac:dyDescent="0.2">
      <c r="A59" s="3" t="s">
        <v>4</v>
      </c>
      <c r="B59" s="3" t="s">
        <v>253</v>
      </c>
      <c r="C59" s="3" t="s">
        <v>254</v>
      </c>
      <c r="D59" s="3" t="s">
        <v>98</v>
      </c>
      <c r="E59" s="4">
        <v>2</v>
      </c>
      <c r="F59" s="5" t="str">
        <f>IFERROR(3958.8*ACOS(MIN(1,MAX(-1,SIN(RADIANS('ZIP Coordinates'!$C$2))*SIN(RADIANS(INDEX('ZIP Coordinates'!$C:$C,MATCH($A59,'ZIP Coordinates'!$A:$A,0))))+COS(RADIANS('ZIP Coordinates'!$C$2))*COS(RADIANS(INDEX('ZIP Coordinates'!$C:$C,MATCH($A59,'ZIP Coordinates'!$A:$A,0))))*COS(RADIANS(INDEX('ZIP Coordinates'!$D:$D,MATCH($A59,'ZIP Coordinates'!$A:$A,0))-'ZIP Coordinates'!$D$2))))),"N/A")</f>
        <v>N/A</v>
      </c>
      <c r="G59" s="3" t="str">
        <f t="shared" si="0"/>
        <v>Unknown</v>
      </c>
      <c r="H59" s="27">
        <f>IF(RIGHT($B59,1)="P",1,IF(ISNUMBER(SEARCH("HALF GALLON",$C59)),Assumptions!$B$4,IF(ISNUMBER(SEARCH("GALLON",$C59)),Assumptions!$B$3,IF(ISNUMBER(SEARCH("QUART",$C59)),Assumptions!$B$5,IF(ISNUMBER(SEARCH("PINT",$C59)),Assumptions!$B$6,Assumptions!$B$7)))))</f>
        <v>1</v>
      </c>
      <c r="I59" s="27">
        <f t="shared" si="1"/>
        <v>2</v>
      </c>
    </row>
    <row r="60" spans="1:9" x14ac:dyDescent="0.2">
      <c r="A60" s="3" t="s">
        <v>4</v>
      </c>
      <c r="B60" s="3" t="s">
        <v>253</v>
      </c>
      <c r="C60" s="3" t="s">
        <v>254</v>
      </c>
      <c r="D60" s="3" t="s">
        <v>98</v>
      </c>
      <c r="E60" s="4">
        <v>6</v>
      </c>
      <c r="F60" s="5" t="str">
        <f>IFERROR(3958.8*ACOS(MIN(1,MAX(-1,SIN(RADIANS('ZIP Coordinates'!$C$2))*SIN(RADIANS(INDEX('ZIP Coordinates'!$C:$C,MATCH($A60,'ZIP Coordinates'!$A:$A,0))))+COS(RADIANS('ZIP Coordinates'!$C$2))*COS(RADIANS(INDEX('ZIP Coordinates'!$C:$C,MATCH($A60,'ZIP Coordinates'!$A:$A,0))))*COS(RADIANS(INDEX('ZIP Coordinates'!$D:$D,MATCH($A60,'ZIP Coordinates'!$A:$A,0))-'ZIP Coordinates'!$D$2))))),"N/A")</f>
        <v>N/A</v>
      </c>
      <c r="G60" s="3" t="str">
        <f t="shared" si="0"/>
        <v>Unknown</v>
      </c>
      <c r="H60" s="27">
        <f>IF(RIGHT($B60,1)="P",1,IF(ISNUMBER(SEARCH("HALF GALLON",$C60)),Assumptions!$B$4,IF(ISNUMBER(SEARCH("GALLON",$C60)),Assumptions!$B$3,IF(ISNUMBER(SEARCH("QUART",$C60)),Assumptions!$B$5,IF(ISNUMBER(SEARCH("PINT",$C60)),Assumptions!$B$6,Assumptions!$B$7)))))</f>
        <v>1</v>
      </c>
      <c r="I60" s="27">
        <f t="shared" si="1"/>
        <v>6</v>
      </c>
    </row>
    <row r="61" spans="1:9" x14ac:dyDescent="0.2">
      <c r="A61" s="3" t="s">
        <v>4</v>
      </c>
      <c r="B61" s="3" t="s">
        <v>253</v>
      </c>
      <c r="C61" s="3" t="s">
        <v>254</v>
      </c>
      <c r="D61" s="3" t="s">
        <v>98</v>
      </c>
      <c r="E61" s="4">
        <v>3</v>
      </c>
      <c r="F61" s="5" t="str">
        <f>IFERROR(3958.8*ACOS(MIN(1,MAX(-1,SIN(RADIANS('ZIP Coordinates'!$C$2))*SIN(RADIANS(INDEX('ZIP Coordinates'!$C:$C,MATCH($A61,'ZIP Coordinates'!$A:$A,0))))+COS(RADIANS('ZIP Coordinates'!$C$2))*COS(RADIANS(INDEX('ZIP Coordinates'!$C:$C,MATCH($A61,'ZIP Coordinates'!$A:$A,0))))*COS(RADIANS(INDEX('ZIP Coordinates'!$D:$D,MATCH($A61,'ZIP Coordinates'!$A:$A,0))-'ZIP Coordinates'!$D$2))))),"N/A")</f>
        <v>N/A</v>
      </c>
      <c r="G61" s="3" t="str">
        <f t="shared" si="0"/>
        <v>Unknown</v>
      </c>
      <c r="H61" s="27">
        <f>IF(RIGHT($B61,1)="P",1,IF(ISNUMBER(SEARCH("HALF GALLON",$C61)),Assumptions!$B$4,IF(ISNUMBER(SEARCH("GALLON",$C61)),Assumptions!$B$3,IF(ISNUMBER(SEARCH("QUART",$C61)),Assumptions!$B$5,IF(ISNUMBER(SEARCH("PINT",$C61)),Assumptions!$B$6,Assumptions!$B$7)))))</f>
        <v>1</v>
      </c>
      <c r="I61" s="27">
        <f t="shared" si="1"/>
        <v>3</v>
      </c>
    </row>
    <row r="62" spans="1:9" x14ac:dyDescent="0.2">
      <c r="A62" s="3" t="s">
        <v>4</v>
      </c>
      <c r="B62" s="3" t="s">
        <v>255</v>
      </c>
      <c r="C62" s="3" t="s">
        <v>256</v>
      </c>
      <c r="D62" s="3" t="s">
        <v>132</v>
      </c>
      <c r="E62" s="4">
        <v>2</v>
      </c>
      <c r="F62" s="5" t="str">
        <f>IFERROR(3958.8*ACOS(MIN(1,MAX(-1,SIN(RADIANS('ZIP Coordinates'!$C$2))*SIN(RADIANS(INDEX('ZIP Coordinates'!$C:$C,MATCH($A62,'ZIP Coordinates'!$A:$A,0))))+COS(RADIANS('ZIP Coordinates'!$C$2))*COS(RADIANS(INDEX('ZIP Coordinates'!$C:$C,MATCH($A62,'ZIP Coordinates'!$A:$A,0))))*COS(RADIANS(INDEX('ZIP Coordinates'!$D:$D,MATCH($A62,'ZIP Coordinates'!$A:$A,0))-'ZIP Coordinates'!$D$2))))),"N/A")</f>
        <v>N/A</v>
      </c>
      <c r="G62" s="3" t="str">
        <f t="shared" si="0"/>
        <v>Unknown</v>
      </c>
      <c r="H62" s="27">
        <f>IF(RIGHT($B62,1)="P",1,IF(ISNUMBER(SEARCH("HALF GALLON",$C62)),Assumptions!$B$4,IF(ISNUMBER(SEARCH("GALLON",$C62)),Assumptions!$B$3,IF(ISNUMBER(SEARCH("QUART",$C62)),Assumptions!$B$5,IF(ISNUMBER(SEARCH("PINT",$C62)),Assumptions!$B$6,Assumptions!$B$7)))))</f>
        <v>20</v>
      </c>
      <c r="I62" s="27">
        <f t="shared" si="1"/>
        <v>40</v>
      </c>
    </row>
    <row r="63" spans="1:9" x14ac:dyDescent="0.2">
      <c r="A63" s="3" t="s">
        <v>4</v>
      </c>
      <c r="B63" s="3" t="s">
        <v>255</v>
      </c>
      <c r="C63" s="3" t="s">
        <v>256</v>
      </c>
      <c r="D63" s="3" t="s">
        <v>116</v>
      </c>
      <c r="E63" s="4">
        <v>1</v>
      </c>
      <c r="F63" s="5" t="str">
        <f>IFERROR(3958.8*ACOS(MIN(1,MAX(-1,SIN(RADIANS('ZIP Coordinates'!$C$2))*SIN(RADIANS(INDEX('ZIP Coordinates'!$C:$C,MATCH($A63,'ZIP Coordinates'!$A:$A,0))))+COS(RADIANS('ZIP Coordinates'!$C$2))*COS(RADIANS(INDEX('ZIP Coordinates'!$C:$C,MATCH($A63,'ZIP Coordinates'!$A:$A,0))))*COS(RADIANS(INDEX('ZIP Coordinates'!$D:$D,MATCH($A63,'ZIP Coordinates'!$A:$A,0))-'ZIP Coordinates'!$D$2))))),"N/A")</f>
        <v>N/A</v>
      </c>
      <c r="G63" s="3" t="str">
        <f t="shared" si="0"/>
        <v>Unknown</v>
      </c>
      <c r="H63" s="27">
        <f>IF(RIGHT($B63,1)="P",1,IF(ISNUMBER(SEARCH("HALF GALLON",$C63)),Assumptions!$B$4,IF(ISNUMBER(SEARCH("GALLON",$C63)),Assumptions!$B$3,IF(ISNUMBER(SEARCH("QUART",$C63)),Assumptions!$B$5,IF(ISNUMBER(SEARCH("PINT",$C63)),Assumptions!$B$6,Assumptions!$B$7)))))</f>
        <v>20</v>
      </c>
      <c r="I63" s="27">
        <f t="shared" si="1"/>
        <v>20</v>
      </c>
    </row>
    <row r="64" spans="1:9" x14ac:dyDescent="0.2">
      <c r="A64" s="3" t="s">
        <v>4</v>
      </c>
      <c r="B64" s="3" t="s">
        <v>255</v>
      </c>
      <c r="C64" s="3" t="s">
        <v>256</v>
      </c>
      <c r="D64" s="3" t="s">
        <v>207</v>
      </c>
      <c r="E64" s="4">
        <v>4</v>
      </c>
      <c r="F64" s="5" t="str">
        <f>IFERROR(3958.8*ACOS(MIN(1,MAX(-1,SIN(RADIANS('ZIP Coordinates'!$C$2))*SIN(RADIANS(INDEX('ZIP Coordinates'!$C:$C,MATCH($A64,'ZIP Coordinates'!$A:$A,0))))+COS(RADIANS('ZIP Coordinates'!$C$2))*COS(RADIANS(INDEX('ZIP Coordinates'!$C:$C,MATCH($A64,'ZIP Coordinates'!$A:$A,0))))*COS(RADIANS(INDEX('ZIP Coordinates'!$D:$D,MATCH($A64,'ZIP Coordinates'!$A:$A,0))-'ZIP Coordinates'!$D$2))))),"N/A")</f>
        <v>N/A</v>
      </c>
      <c r="G64" s="3" t="str">
        <f t="shared" si="0"/>
        <v>Unknown</v>
      </c>
      <c r="H64" s="27">
        <f>IF(RIGHT($B64,1)="P",1,IF(ISNUMBER(SEARCH("HALF GALLON",$C64)),Assumptions!$B$4,IF(ISNUMBER(SEARCH("GALLON",$C64)),Assumptions!$B$3,IF(ISNUMBER(SEARCH("QUART",$C64)),Assumptions!$B$5,IF(ISNUMBER(SEARCH("PINT",$C64)),Assumptions!$B$6,Assumptions!$B$7)))))</f>
        <v>20</v>
      </c>
      <c r="I64" s="27">
        <f t="shared" si="1"/>
        <v>80</v>
      </c>
    </row>
    <row r="65" spans="1:9" x14ac:dyDescent="0.2">
      <c r="A65" s="3" t="s">
        <v>4</v>
      </c>
      <c r="B65" s="3" t="s">
        <v>257</v>
      </c>
      <c r="C65" s="3" t="s">
        <v>256</v>
      </c>
      <c r="D65" s="3" t="s">
        <v>98</v>
      </c>
      <c r="E65" s="4">
        <v>8</v>
      </c>
      <c r="F65" s="5" t="str">
        <f>IFERROR(3958.8*ACOS(MIN(1,MAX(-1,SIN(RADIANS('ZIP Coordinates'!$C$2))*SIN(RADIANS(INDEX('ZIP Coordinates'!$C:$C,MATCH($A65,'ZIP Coordinates'!$A:$A,0))))+COS(RADIANS('ZIP Coordinates'!$C$2))*COS(RADIANS(INDEX('ZIP Coordinates'!$C:$C,MATCH($A65,'ZIP Coordinates'!$A:$A,0))))*COS(RADIANS(INDEX('ZIP Coordinates'!$D:$D,MATCH($A65,'ZIP Coordinates'!$A:$A,0))-'ZIP Coordinates'!$D$2))))),"N/A")</f>
        <v>N/A</v>
      </c>
      <c r="G65" s="3" t="str">
        <f t="shared" si="0"/>
        <v>Unknown</v>
      </c>
      <c r="H65" s="27">
        <f>IF(RIGHT($B65,1)="P",1,IF(ISNUMBER(SEARCH("HALF GALLON",$C65)),Assumptions!$B$4,IF(ISNUMBER(SEARCH("GALLON",$C65)),Assumptions!$B$3,IF(ISNUMBER(SEARCH("QUART",$C65)),Assumptions!$B$5,IF(ISNUMBER(SEARCH("PINT",$C65)),Assumptions!$B$6,Assumptions!$B$7)))))</f>
        <v>1</v>
      </c>
      <c r="I65" s="27">
        <f t="shared" si="1"/>
        <v>8</v>
      </c>
    </row>
    <row r="66" spans="1:9" x14ac:dyDescent="0.2">
      <c r="A66" s="3" t="s">
        <v>4</v>
      </c>
      <c r="B66" s="3" t="s">
        <v>257</v>
      </c>
      <c r="C66" s="3" t="s">
        <v>256</v>
      </c>
      <c r="D66" s="3" t="s">
        <v>98</v>
      </c>
      <c r="E66" s="4">
        <v>47</v>
      </c>
      <c r="F66" s="5" t="str">
        <f>IFERROR(3958.8*ACOS(MIN(1,MAX(-1,SIN(RADIANS('ZIP Coordinates'!$C$2))*SIN(RADIANS(INDEX('ZIP Coordinates'!$C:$C,MATCH($A66,'ZIP Coordinates'!$A:$A,0))))+COS(RADIANS('ZIP Coordinates'!$C$2))*COS(RADIANS(INDEX('ZIP Coordinates'!$C:$C,MATCH($A66,'ZIP Coordinates'!$A:$A,0))))*COS(RADIANS(INDEX('ZIP Coordinates'!$D:$D,MATCH($A66,'ZIP Coordinates'!$A:$A,0))-'ZIP Coordinates'!$D$2))))),"N/A")</f>
        <v>N/A</v>
      </c>
      <c r="G66" s="3" t="str">
        <f t="shared" ref="G66:G129" si="2">IF($F66="N/A","Unknown",IF($F66&lt;50,"0-49 mi",IF($F66&lt;100,"50-99 mi",IF($F66&lt;150,"100-149 mi",IF($F66&lt;200,"150-199 mi","200+ mi")))))</f>
        <v>Unknown</v>
      </c>
      <c r="H66" s="27">
        <f>IF(RIGHT($B66,1)="P",1,IF(ISNUMBER(SEARCH("HALF GALLON",$C66)),Assumptions!$B$4,IF(ISNUMBER(SEARCH("GALLON",$C66)),Assumptions!$B$3,IF(ISNUMBER(SEARCH("QUART",$C66)),Assumptions!$B$5,IF(ISNUMBER(SEARCH("PINT",$C66)),Assumptions!$B$6,Assumptions!$B$7)))))</f>
        <v>1</v>
      </c>
      <c r="I66" s="27">
        <f t="shared" si="1"/>
        <v>47</v>
      </c>
    </row>
    <row r="67" spans="1:9" x14ac:dyDescent="0.2">
      <c r="A67" s="3" t="s">
        <v>4</v>
      </c>
      <c r="B67" s="3" t="s">
        <v>257</v>
      </c>
      <c r="C67" s="3" t="s">
        <v>256</v>
      </c>
      <c r="D67" s="3" t="s">
        <v>116</v>
      </c>
      <c r="E67" s="4">
        <v>5</v>
      </c>
      <c r="F67" s="5" t="str">
        <f>IFERROR(3958.8*ACOS(MIN(1,MAX(-1,SIN(RADIANS('ZIP Coordinates'!$C$2))*SIN(RADIANS(INDEX('ZIP Coordinates'!$C:$C,MATCH($A67,'ZIP Coordinates'!$A:$A,0))))+COS(RADIANS('ZIP Coordinates'!$C$2))*COS(RADIANS(INDEX('ZIP Coordinates'!$C:$C,MATCH($A67,'ZIP Coordinates'!$A:$A,0))))*COS(RADIANS(INDEX('ZIP Coordinates'!$D:$D,MATCH($A67,'ZIP Coordinates'!$A:$A,0))-'ZIP Coordinates'!$D$2))))),"N/A")</f>
        <v>N/A</v>
      </c>
      <c r="G67" s="3" t="str">
        <f t="shared" si="2"/>
        <v>Unknown</v>
      </c>
      <c r="H67" s="27">
        <f>IF(RIGHT($B67,1)="P",1,IF(ISNUMBER(SEARCH("HALF GALLON",$C67)),Assumptions!$B$4,IF(ISNUMBER(SEARCH("GALLON",$C67)),Assumptions!$B$3,IF(ISNUMBER(SEARCH("QUART",$C67)),Assumptions!$B$5,IF(ISNUMBER(SEARCH("PINT",$C67)),Assumptions!$B$6,Assumptions!$B$7)))))</f>
        <v>1</v>
      </c>
      <c r="I67" s="27">
        <f t="shared" ref="I67:I130" si="3">$E67*$H67</f>
        <v>5</v>
      </c>
    </row>
    <row r="68" spans="1:9" x14ac:dyDescent="0.2">
      <c r="A68" s="3" t="s">
        <v>4</v>
      </c>
      <c r="B68" s="3" t="s">
        <v>257</v>
      </c>
      <c r="C68" s="3" t="s">
        <v>256</v>
      </c>
      <c r="D68" s="3" t="s">
        <v>101</v>
      </c>
      <c r="E68" s="4">
        <v>125</v>
      </c>
      <c r="F68" s="5" t="str">
        <f>IFERROR(3958.8*ACOS(MIN(1,MAX(-1,SIN(RADIANS('ZIP Coordinates'!$C$2))*SIN(RADIANS(INDEX('ZIP Coordinates'!$C:$C,MATCH($A68,'ZIP Coordinates'!$A:$A,0))))+COS(RADIANS('ZIP Coordinates'!$C$2))*COS(RADIANS(INDEX('ZIP Coordinates'!$C:$C,MATCH($A68,'ZIP Coordinates'!$A:$A,0))))*COS(RADIANS(INDEX('ZIP Coordinates'!$D:$D,MATCH($A68,'ZIP Coordinates'!$A:$A,0))-'ZIP Coordinates'!$D$2))))),"N/A")</f>
        <v>N/A</v>
      </c>
      <c r="G68" s="3" t="str">
        <f t="shared" si="2"/>
        <v>Unknown</v>
      </c>
      <c r="H68" s="27">
        <f>IF(RIGHT($B68,1)="P",1,IF(ISNUMBER(SEARCH("HALF GALLON",$C68)),Assumptions!$B$4,IF(ISNUMBER(SEARCH("GALLON",$C68)),Assumptions!$B$3,IF(ISNUMBER(SEARCH("QUART",$C68)),Assumptions!$B$5,IF(ISNUMBER(SEARCH("PINT",$C68)),Assumptions!$B$6,Assumptions!$B$7)))))</f>
        <v>1</v>
      </c>
      <c r="I68" s="27">
        <f t="shared" si="3"/>
        <v>125</v>
      </c>
    </row>
    <row r="69" spans="1:9" x14ac:dyDescent="0.2">
      <c r="A69" s="3" t="s">
        <v>4</v>
      </c>
      <c r="B69" s="3" t="s">
        <v>257</v>
      </c>
      <c r="C69" s="3" t="s">
        <v>256</v>
      </c>
      <c r="D69" s="3" t="s">
        <v>98</v>
      </c>
      <c r="E69" s="4">
        <v>51</v>
      </c>
      <c r="F69" s="5" t="str">
        <f>IFERROR(3958.8*ACOS(MIN(1,MAX(-1,SIN(RADIANS('ZIP Coordinates'!$C$2))*SIN(RADIANS(INDEX('ZIP Coordinates'!$C:$C,MATCH($A69,'ZIP Coordinates'!$A:$A,0))))+COS(RADIANS('ZIP Coordinates'!$C$2))*COS(RADIANS(INDEX('ZIP Coordinates'!$C:$C,MATCH($A69,'ZIP Coordinates'!$A:$A,0))))*COS(RADIANS(INDEX('ZIP Coordinates'!$D:$D,MATCH($A69,'ZIP Coordinates'!$A:$A,0))-'ZIP Coordinates'!$D$2))))),"N/A")</f>
        <v>N/A</v>
      </c>
      <c r="G69" s="3" t="str">
        <f t="shared" si="2"/>
        <v>Unknown</v>
      </c>
      <c r="H69" s="27">
        <f>IF(RIGHT($B69,1)="P",1,IF(ISNUMBER(SEARCH("HALF GALLON",$C69)),Assumptions!$B$4,IF(ISNUMBER(SEARCH("GALLON",$C69)),Assumptions!$B$3,IF(ISNUMBER(SEARCH("QUART",$C69)),Assumptions!$B$5,IF(ISNUMBER(SEARCH("PINT",$C69)),Assumptions!$B$6,Assumptions!$B$7)))))</f>
        <v>1</v>
      </c>
      <c r="I69" s="27">
        <f t="shared" si="3"/>
        <v>51</v>
      </c>
    </row>
    <row r="70" spans="1:9" x14ac:dyDescent="0.2">
      <c r="A70" s="3" t="s">
        <v>4</v>
      </c>
      <c r="B70" s="3" t="s">
        <v>257</v>
      </c>
      <c r="C70" s="3" t="s">
        <v>256</v>
      </c>
      <c r="D70" s="3" t="s">
        <v>98</v>
      </c>
      <c r="E70" s="4">
        <v>50</v>
      </c>
      <c r="F70" s="5" t="str">
        <f>IFERROR(3958.8*ACOS(MIN(1,MAX(-1,SIN(RADIANS('ZIP Coordinates'!$C$2))*SIN(RADIANS(INDEX('ZIP Coordinates'!$C:$C,MATCH($A70,'ZIP Coordinates'!$A:$A,0))))+COS(RADIANS('ZIP Coordinates'!$C$2))*COS(RADIANS(INDEX('ZIP Coordinates'!$C:$C,MATCH($A70,'ZIP Coordinates'!$A:$A,0))))*COS(RADIANS(INDEX('ZIP Coordinates'!$D:$D,MATCH($A70,'ZIP Coordinates'!$A:$A,0))-'ZIP Coordinates'!$D$2))))),"N/A")</f>
        <v>N/A</v>
      </c>
      <c r="G70" s="3" t="str">
        <f t="shared" si="2"/>
        <v>Unknown</v>
      </c>
      <c r="H70" s="27">
        <f>IF(RIGHT($B70,1)="P",1,IF(ISNUMBER(SEARCH("HALF GALLON",$C70)),Assumptions!$B$4,IF(ISNUMBER(SEARCH("GALLON",$C70)),Assumptions!$B$3,IF(ISNUMBER(SEARCH("QUART",$C70)),Assumptions!$B$5,IF(ISNUMBER(SEARCH("PINT",$C70)),Assumptions!$B$6,Assumptions!$B$7)))))</f>
        <v>1</v>
      </c>
      <c r="I70" s="27">
        <f t="shared" si="3"/>
        <v>50</v>
      </c>
    </row>
    <row r="71" spans="1:9" x14ac:dyDescent="0.2">
      <c r="A71" s="3" t="s">
        <v>4</v>
      </c>
      <c r="B71" s="3" t="s">
        <v>257</v>
      </c>
      <c r="C71" s="3" t="s">
        <v>256</v>
      </c>
      <c r="D71" s="3" t="s">
        <v>98</v>
      </c>
      <c r="E71" s="4">
        <v>2</v>
      </c>
      <c r="F71" s="5" t="str">
        <f>IFERROR(3958.8*ACOS(MIN(1,MAX(-1,SIN(RADIANS('ZIP Coordinates'!$C$2))*SIN(RADIANS(INDEX('ZIP Coordinates'!$C:$C,MATCH($A71,'ZIP Coordinates'!$A:$A,0))))+COS(RADIANS('ZIP Coordinates'!$C$2))*COS(RADIANS(INDEX('ZIP Coordinates'!$C:$C,MATCH($A71,'ZIP Coordinates'!$A:$A,0))))*COS(RADIANS(INDEX('ZIP Coordinates'!$D:$D,MATCH($A71,'ZIP Coordinates'!$A:$A,0))-'ZIP Coordinates'!$D$2))))),"N/A")</f>
        <v>N/A</v>
      </c>
      <c r="G71" s="3" t="str">
        <f t="shared" si="2"/>
        <v>Unknown</v>
      </c>
      <c r="H71" s="27">
        <f>IF(RIGHT($B71,1)="P",1,IF(ISNUMBER(SEARCH("HALF GALLON",$C71)),Assumptions!$B$4,IF(ISNUMBER(SEARCH("GALLON",$C71)),Assumptions!$B$3,IF(ISNUMBER(SEARCH("QUART",$C71)),Assumptions!$B$5,IF(ISNUMBER(SEARCH("PINT",$C71)),Assumptions!$B$6,Assumptions!$B$7)))))</f>
        <v>1</v>
      </c>
      <c r="I71" s="27">
        <f t="shared" si="3"/>
        <v>2</v>
      </c>
    </row>
    <row r="72" spans="1:9" x14ac:dyDescent="0.2">
      <c r="A72" s="3" t="s">
        <v>4</v>
      </c>
      <c r="B72" s="3" t="s">
        <v>257</v>
      </c>
      <c r="C72" s="3" t="s">
        <v>256</v>
      </c>
      <c r="D72" s="3" t="s">
        <v>98</v>
      </c>
      <c r="E72" s="4">
        <v>97</v>
      </c>
      <c r="F72" s="5" t="str">
        <f>IFERROR(3958.8*ACOS(MIN(1,MAX(-1,SIN(RADIANS('ZIP Coordinates'!$C$2))*SIN(RADIANS(INDEX('ZIP Coordinates'!$C:$C,MATCH($A72,'ZIP Coordinates'!$A:$A,0))))+COS(RADIANS('ZIP Coordinates'!$C$2))*COS(RADIANS(INDEX('ZIP Coordinates'!$C:$C,MATCH($A72,'ZIP Coordinates'!$A:$A,0))))*COS(RADIANS(INDEX('ZIP Coordinates'!$D:$D,MATCH($A72,'ZIP Coordinates'!$A:$A,0))-'ZIP Coordinates'!$D$2))))),"N/A")</f>
        <v>N/A</v>
      </c>
      <c r="G72" s="3" t="str">
        <f t="shared" si="2"/>
        <v>Unknown</v>
      </c>
      <c r="H72" s="27">
        <f>IF(RIGHT($B72,1)="P",1,IF(ISNUMBER(SEARCH("HALF GALLON",$C72)),Assumptions!$B$4,IF(ISNUMBER(SEARCH("GALLON",$C72)),Assumptions!$B$3,IF(ISNUMBER(SEARCH("QUART",$C72)),Assumptions!$B$5,IF(ISNUMBER(SEARCH("PINT",$C72)),Assumptions!$B$6,Assumptions!$B$7)))))</f>
        <v>1</v>
      </c>
      <c r="I72" s="27">
        <f t="shared" si="3"/>
        <v>97</v>
      </c>
    </row>
    <row r="73" spans="1:9" x14ac:dyDescent="0.2">
      <c r="A73" s="3" t="s">
        <v>4</v>
      </c>
      <c r="B73" s="3" t="s">
        <v>257</v>
      </c>
      <c r="C73" s="3" t="s">
        <v>256</v>
      </c>
      <c r="D73" s="3" t="s">
        <v>98</v>
      </c>
      <c r="E73" s="4">
        <v>87</v>
      </c>
      <c r="F73" s="5" t="str">
        <f>IFERROR(3958.8*ACOS(MIN(1,MAX(-1,SIN(RADIANS('ZIP Coordinates'!$C$2))*SIN(RADIANS(INDEX('ZIP Coordinates'!$C:$C,MATCH($A73,'ZIP Coordinates'!$A:$A,0))))+COS(RADIANS('ZIP Coordinates'!$C$2))*COS(RADIANS(INDEX('ZIP Coordinates'!$C:$C,MATCH($A73,'ZIP Coordinates'!$A:$A,0))))*COS(RADIANS(INDEX('ZIP Coordinates'!$D:$D,MATCH($A73,'ZIP Coordinates'!$A:$A,0))-'ZIP Coordinates'!$D$2))))),"N/A")</f>
        <v>N/A</v>
      </c>
      <c r="G73" s="3" t="str">
        <f t="shared" si="2"/>
        <v>Unknown</v>
      </c>
      <c r="H73" s="27">
        <f>IF(RIGHT($B73,1)="P",1,IF(ISNUMBER(SEARCH("HALF GALLON",$C73)),Assumptions!$B$4,IF(ISNUMBER(SEARCH("GALLON",$C73)),Assumptions!$B$3,IF(ISNUMBER(SEARCH("QUART",$C73)),Assumptions!$B$5,IF(ISNUMBER(SEARCH("PINT",$C73)),Assumptions!$B$6,Assumptions!$B$7)))))</f>
        <v>1</v>
      </c>
      <c r="I73" s="27">
        <f t="shared" si="3"/>
        <v>87</v>
      </c>
    </row>
    <row r="74" spans="1:9" x14ac:dyDescent="0.2">
      <c r="A74" s="3" t="s">
        <v>4</v>
      </c>
      <c r="B74" s="3" t="s">
        <v>257</v>
      </c>
      <c r="C74" s="3" t="s">
        <v>256</v>
      </c>
      <c r="D74" s="3" t="s">
        <v>98</v>
      </c>
      <c r="E74" s="4">
        <v>41</v>
      </c>
      <c r="F74" s="5" t="str">
        <f>IFERROR(3958.8*ACOS(MIN(1,MAX(-1,SIN(RADIANS('ZIP Coordinates'!$C$2))*SIN(RADIANS(INDEX('ZIP Coordinates'!$C:$C,MATCH($A74,'ZIP Coordinates'!$A:$A,0))))+COS(RADIANS('ZIP Coordinates'!$C$2))*COS(RADIANS(INDEX('ZIP Coordinates'!$C:$C,MATCH($A74,'ZIP Coordinates'!$A:$A,0))))*COS(RADIANS(INDEX('ZIP Coordinates'!$D:$D,MATCH($A74,'ZIP Coordinates'!$A:$A,0))-'ZIP Coordinates'!$D$2))))),"N/A")</f>
        <v>N/A</v>
      </c>
      <c r="G74" s="3" t="str">
        <f t="shared" si="2"/>
        <v>Unknown</v>
      </c>
      <c r="H74" s="27">
        <f>IF(RIGHT($B74,1)="P",1,IF(ISNUMBER(SEARCH("HALF GALLON",$C74)),Assumptions!$B$4,IF(ISNUMBER(SEARCH("GALLON",$C74)),Assumptions!$B$3,IF(ISNUMBER(SEARCH("QUART",$C74)),Assumptions!$B$5,IF(ISNUMBER(SEARCH("PINT",$C74)),Assumptions!$B$6,Assumptions!$B$7)))))</f>
        <v>1</v>
      </c>
      <c r="I74" s="27">
        <f t="shared" si="3"/>
        <v>41</v>
      </c>
    </row>
    <row r="75" spans="1:9" x14ac:dyDescent="0.2">
      <c r="A75" s="3" t="s">
        <v>4</v>
      </c>
      <c r="B75" s="3" t="s">
        <v>257</v>
      </c>
      <c r="C75" s="3" t="s">
        <v>256</v>
      </c>
      <c r="D75" s="3" t="s">
        <v>98</v>
      </c>
      <c r="E75" s="4">
        <v>4</v>
      </c>
      <c r="F75" s="5" t="str">
        <f>IFERROR(3958.8*ACOS(MIN(1,MAX(-1,SIN(RADIANS('ZIP Coordinates'!$C$2))*SIN(RADIANS(INDEX('ZIP Coordinates'!$C:$C,MATCH($A75,'ZIP Coordinates'!$A:$A,0))))+COS(RADIANS('ZIP Coordinates'!$C$2))*COS(RADIANS(INDEX('ZIP Coordinates'!$C:$C,MATCH($A75,'ZIP Coordinates'!$A:$A,0))))*COS(RADIANS(INDEX('ZIP Coordinates'!$D:$D,MATCH($A75,'ZIP Coordinates'!$A:$A,0))-'ZIP Coordinates'!$D$2))))),"N/A")</f>
        <v>N/A</v>
      </c>
      <c r="G75" s="3" t="str">
        <f t="shared" si="2"/>
        <v>Unknown</v>
      </c>
      <c r="H75" s="27">
        <f>IF(RIGHT($B75,1)="P",1,IF(ISNUMBER(SEARCH("HALF GALLON",$C75)),Assumptions!$B$4,IF(ISNUMBER(SEARCH("GALLON",$C75)),Assumptions!$B$3,IF(ISNUMBER(SEARCH("QUART",$C75)),Assumptions!$B$5,IF(ISNUMBER(SEARCH("PINT",$C75)),Assumptions!$B$6,Assumptions!$B$7)))))</f>
        <v>1</v>
      </c>
      <c r="I75" s="27">
        <f t="shared" si="3"/>
        <v>4</v>
      </c>
    </row>
    <row r="76" spans="1:9" x14ac:dyDescent="0.2">
      <c r="A76" s="3" t="s">
        <v>4</v>
      </c>
      <c r="B76" s="3" t="s">
        <v>257</v>
      </c>
      <c r="C76" s="3" t="s">
        <v>256</v>
      </c>
      <c r="D76" s="3" t="s">
        <v>98</v>
      </c>
      <c r="E76" s="4">
        <v>64</v>
      </c>
      <c r="F76" s="5" t="str">
        <f>IFERROR(3958.8*ACOS(MIN(1,MAX(-1,SIN(RADIANS('ZIP Coordinates'!$C$2))*SIN(RADIANS(INDEX('ZIP Coordinates'!$C:$C,MATCH($A76,'ZIP Coordinates'!$A:$A,0))))+COS(RADIANS('ZIP Coordinates'!$C$2))*COS(RADIANS(INDEX('ZIP Coordinates'!$C:$C,MATCH($A76,'ZIP Coordinates'!$A:$A,0))))*COS(RADIANS(INDEX('ZIP Coordinates'!$D:$D,MATCH($A76,'ZIP Coordinates'!$A:$A,0))-'ZIP Coordinates'!$D$2))))),"N/A")</f>
        <v>N/A</v>
      </c>
      <c r="G76" s="3" t="str">
        <f t="shared" si="2"/>
        <v>Unknown</v>
      </c>
      <c r="H76" s="27">
        <f>IF(RIGHT($B76,1)="P",1,IF(ISNUMBER(SEARCH("HALF GALLON",$C76)),Assumptions!$B$4,IF(ISNUMBER(SEARCH("GALLON",$C76)),Assumptions!$B$3,IF(ISNUMBER(SEARCH("QUART",$C76)),Assumptions!$B$5,IF(ISNUMBER(SEARCH("PINT",$C76)),Assumptions!$B$6,Assumptions!$B$7)))))</f>
        <v>1</v>
      </c>
      <c r="I76" s="27">
        <f t="shared" si="3"/>
        <v>64</v>
      </c>
    </row>
    <row r="77" spans="1:9" x14ac:dyDescent="0.2">
      <c r="A77" s="3" t="s">
        <v>4</v>
      </c>
      <c r="B77" s="3" t="s">
        <v>257</v>
      </c>
      <c r="C77" s="3" t="s">
        <v>256</v>
      </c>
      <c r="D77" s="3" t="s">
        <v>101</v>
      </c>
      <c r="E77" s="4">
        <v>308</v>
      </c>
      <c r="F77" s="5" t="str">
        <f>IFERROR(3958.8*ACOS(MIN(1,MAX(-1,SIN(RADIANS('ZIP Coordinates'!$C$2))*SIN(RADIANS(INDEX('ZIP Coordinates'!$C:$C,MATCH($A77,'ZIP Coordinates'!$A:$A,0))))+COS(RADIANS('ZIP Coordinates'!$C$2))*COS(RADIANS(INDEX('ZIP Coordinates'!$C:$C,MATCH($A77,'ZIP Coordinates'!$A:$A,0))))*COS(RADIANS(INDEX('ZIP Coordinates'!$D:$D,MATCH($A77,'ZIP Coordinates'!$A:$A,0))-'ZIP Coordinates'!$D$2))))),"N/A")</f>
        <v>N/A</v>
      </c>
      <c r="G77" s="3" t="str">
        <f t="shared" si="2"/>
        <v>Unknown</v>
      </c>
      <c r="H77" s="27">
        <f>IF(RIGHT($B77,1)="P",1,IF(ISNUMBER(SEARCH("HALF GALLON",$C77)),Assumptions!$B$4,IF(ISNUMBER(SEARCH("GALLON",$C77)),Assumptions!$B$3,IF(ISNUMBER(SEARCH("QUART",$C77)),Assumptions!$B$5,IF(ISNUMBER(SEARCH("PINT",$C77)),Assumptions!$B$6,Assumptions!$B$7)))))</f>
        <v>1</v>
      </c>
      <c r="I77" s="27">
        <f t="shared" si="3"/>
        <v>308</v>
      </c>
    </row>
    <row r="78" spans="1:9" x14ac:dyDescent="0.2">
      <c r="A78" s="3" t="s">
        <v>4</v>
      </c>
      <c r="B78" s="3" t="s">
        <v>257</v>
      </c>
      <c r="C78" s="3" t="s">
        <v>256</v>
      </c>
      <c r="D78" s="3" t="s">
        <v>98</v>
      </c>
      <c r="E78" s="4">
        <v>5</v>
      </c>
      <c r="F78" s="5" t="str">
        <f>IFERROR(3958.8*ACOS(MIN(1,MAX(-1,SIN(RADIANS('ZIP Coordinates'!$C$2))*SIN(RADIANS(INDEX('ZIP Coordinates'!$C:$C,MATCH($A78,'ZIP Coordinates'!$A:$A,0))))+COS(RADIANS('ZIP Coordinates'!$C$2))*COS(RADIANS(INDEX('ZIP Coordinates'!$C:$C,MATCH($A78,'ZIP Coordinates'!$A:$A,0))))*COS(RADIANS(INDEX('ZIP Coordinates'!$D:$D,MATCH($A78,'ZIP Coordinates'!$A:$A,0))-'ZIP Coordinates'!$D$2))))),"N/A")</f>
        <v>N/A</v>
      </c>
      <c r="G78" s="3" t="str">
        <f t="shared" si="2"/>
        <v>Unknown</v>
      </c>
      <c r="H78" s="27">
        <f>IF(RIGHT($B78,1)="P",1,IF(ISNUMBER(SEARCH("HALF GALLON",$C78)),Assumptions!$B$4,IF(ISNUMBER(SEARCH("GALLON",$C78)),Assumptions!$B$3,IF(ISNUMBER(SEARCH("QUART",$C78)),Assumptions!$B$5,IF(ISNUMBER(SEARCH("PINT",$C78)),Assumptions!$B$6,Assumptions!$B$7)))))</f>
        <v>1</v>
      </c>
      <c r="I78" s="27">
        <f t="shared" si="3"/>
        <v>5</v>
      </c>
    </row>
    <row r="79" spans="1:9" x14ac:dyDescent="0.2">
      <c r="A79" s="3" t="s">
        <v>4</v>
      </c>
      <c r="B79" s="3" t="s">
        <v>257</v>
      </c>
      <c r="C79" s="3" t="s">
        <v>256</v>
      </c>
      <c r="D79" s="3" t="s">
        <v>98</v>
      </c>
      <c r="E79" s="4">
        <v>47</v>
      </c>
      <c r="F79" s="5" t="str">
        <f>IFERROR(3958.8*ACOS(MIN(1,MAX(-1,SIN(RADIANS('ZIP Coordinates'!$C$2))*SIN(RADIANS(INDEX('ZIP Coordinates'!$C:$C,MATCH($A79,'ZIP Coordinates'!$A:$A,0))))+COS(RADIANS('ZIP Coordinates'!$C$2))*COS(RADIANS(INDEX('ZIP Coordinates'!$C:$C,MATCH($A79,'ZIP Coordinates'!$A:$A,0))))*COS(RADIANS(INDEX('ZIP Coordinates'!$D:$D,MATCH($A79,'ZIP Coordinates'!$A:$A,0))-'ZIP Coordinates'!$D$2))))),"N/A")</f>
        <v>N/A</v>
      </c>
      <c r="G79" s="3" t="str">
        <f t="shared" si="2"/>
        <v>Unknown</v>
      </c>
      <c r="H79" s="27">
        <f>IF(RIGHT($B79,1)="P",1,IF(ISNUMBER(SEARCH("HALF GALLON",$C79)),Assumptions!$B$4,IF(ISNUMBER(SEARCH("GALLON",$C79)),Assumptions!$B$3,IF(ISNUMBER(SEARCH("QUART",$C79)),Assumptions!$B$5,IF(ISNUMBER(SEARCH("PINT",$C79)),Assumptions!$B$6,Assumptions!$B$7)))))</f>
        <v>1</v>
      </c>
      <c r="I79" s="27">
        <f t="shared" si="3"/>
        <v>47</v>
      </c>
    </row>
    <row r="80" spans="1:9" x14ac:dyDescent="0.2">
      <c r="A80" s="3" t="s">
        <v>4</v>
      </c>
      <c r="B80" s="3" t="s">
        <v>257</v>
      </c>
      <c r="C80" s="3" t="s">
        <v>256</v>
      </c>
      <c r="D80" s="3" t="s">
        <v>98</v>
      </c>
      <c r="E80" s="4">
        <v>8</v>
      </c>
      <c r="F80" s="5" t="str">
        <f>IFERROR(3958.8*ACOS(MIN(1,MAX(-1,SIN(RADIANS('ZIP Coordinates'!$C$2))*SIN(RADIANS(INDEX('ZIP Coordinates'!$C:$C,MATCH($A80,'ZIP Coordinates'!$A:$A,0))))+COS(RADIANS('ZIP Coordinates'!$C$2))*COS(RADIANS(INDEX('ZIP Coordinates'!$C:$C,MATCH($A80,'ZIP Coordinates'!$A:$A,0))))*COS(RADIANS(INDEX('ZIP Coordinates'!$D:$D,MATCH($A80,'ZIP Coordinates'!$A:$A,0))-'ZIP Coordinates'!$D$2))))),"N/A")</f>
        <v>N/A</v>
      </c>
      <c r="G80" s="3" t="str">
        <f t="shared" si="2"/>
        <v>Unknown</v>
      </c>
      <c r="H80" s="27">
        <f>IF(RIGHT($B80,1)="P",1,IF(ISNUMBER(SEARCH("HALF GALLON",$C80)),Assumptions!$B$4,IF(ISNUMBER(SEARCH("GALLON",$C80)),Assumptions!$B$3,IF(ISNUMBER(SEARCH("QUART",$C80)),Assumptions!$B$5,IF(ISNUMBER(SEARCH("PINT",$C80)),Assumptions!$B$6,Assumptions!$B$7)))))</f>
        <v>1</v>
      </c>
      <c r="I80" s="27">
        <f t="shared" si="3"/>
        <v>8</v>
      </c>
    </row>
    <row r="81" spans="1:9" x14ac:dyDescent="0.2">
      <c r="A81" s="3" t="s">
        <v>4</v>
      </c>
      <c r="B81" s="3" t="s">
        <v>257</v>
      </c>
      <c r="C81" s="3" t="s">
        <v>256</v>
      </c>
      <c r="D81" s="3" t="s">
        <v>98</v>
      </c>
      <c r="E81" s="4">
        <v>74</v>
      </c>
      <c r="F81" s="5" t="str">
        <f>IFERROR(3958.8*ACOS(MIN(1,MAX(-1,SIN(RADIANS('ZIP Coordinates'!$C$2))*SIN(RADIANS(INDEX('ZIP Coordinates'!$C:$C,MATCH($A81,'ZIP Coordinates'!$A:$A,0))))+COS(RADIANS('ZIP Coordinates'!$C$2))*COS(RADIANS(INDEX('ZIP Coordinates'!$C:$C,MATCH($A81,'ZIP Coordinates'!$A:$A,0))))*COS(RADIANS(INDEX('ZIP Coordinates'!$D:$D,MATCH($A81,'ZIP Coordinates'!$A:$A,0))-'ZIP Coordinates'!$D$2))))),"N/A")</f>
        <v>N/A</v>
      </c>
      <c r="G81" s="3" t="str">
        <f t="shared" si="2"/>
        <v>Unknown</v>
      </c>
      <c r="H81" s="27">
        <f>IF(RIGHT($B81,1)="P",1,IF(ISNUMBER(SEARCH("HALF GALLON",$C81)),Assumptions!$B$4,IF(ISNUMBER(SEARCH("GALLON",$C81)),Assumptions!$B$3,IF(ISNUMBER(SEARCH("QUART",$C81)),Assumptions!$B$5,IF(ISNUMBER(SEARCH("PINT",$C81)),Assumptions!$B$6,Assumptions!$B$7)))))</f>
        <v>1</v>
      </c>
      <c r="I81" s="27">
        <f t="shared" si="3"/>
        <v>74</v>
      </c>
    </row>
    <row r="82" spans="1:9" x14ac:dyDescent="0.2">
      <c r="A82" s="3" t="s">
        <v>4</v>
      </c>
      <c r="B82" s="3" t="s">
        <v>257</v>
      </c>
      <c r="C82" s="3" t="s">
        <v>256</v>
      </c>
      <c r="D82" s="3" t="s">
        <v>98</v>
      </c>
      <c r="E82" s="4">
        <v>48</v>
      </c>
      <c r="F82" s="5" t="str">
        <f>IFERROR(3958.8*ACOS(MIN(1,MAX(-1,SIN(RADIANS('ZIP Coordinates'!$C$2))*SIN(RADIANS(INDEX('ZIP Coordinates'!$C:$C,MATCH($A82,'ZIP Coordinates'!$A:$A,0))))+COS(RADIANS('ZIP Coordinates'!$C$2))*COS(RADIANS(INDEX('ZIP Coordinates'!$C:$C,MATCH($A82,'ZIP Coordinates'!$A:$A,0))))*COS(RADIANS(INDEX('ZIP Coordinates'!$D:$D,MATCH($A82,'ZIP Coordinates'!$A:$A,0))-'ZIP Coordinates'!$D$2))))),"N/A")</f>
        <v>N/A</v>
      </c>
      <c r="G82" s="3" t="str">
        <f t="shared" si="2"/>
        <v>Unknown</v>
      </c>
      <c r="H82" s="27">
        <f>IF(RIGHT($B82,1)="P",1,IF(ISNUMBER(SEARCH("HALF GALLON",$C82)),Assumptions!$B$4,IF(ISNUMBER(SEARCH("GALLON",$C82)),Assumptions!$B$3,IF(ISNUMBER(SEARCH("QUART",$C82)),Assumptions!$B$5,IF(ISNUMBER(SEARCH("PINT",$C82)),Assumptions!$B$6,Assumptions!$B$7)))))</f>
        <v>1</v>
      </c>
      <c r="I82" s="27">
        <f t="shared" si="3"/>
        <v>48</v>
      </c>
    </row>
    <row r="83" spans="1:9" x14ac:dyDescent="0.2">
      <c r="A83" s="3" t="s">
        <v>4</v>
      </c>
      <c r="B83" s="3" t="s">
        <v>257</v>
      </c>
      <c r="C83" s="3" t="s">
        <v>256</v>
      </c>
      <c r="D83" s="3" t="s">
        <v>98</v>
      </c>
      <c r="E83" s="4">
        <v>39</v>
      </c>
      <c r="F83" s="5" t="str">
        <f>IFERROR(3958.8*ACOS(MIN(1,MAX(-1,SIN(RADIANS('ZIP Coordinates'!$C$2))*SIN(RADIANS(INDEX('ZIP Coordinates'!$C:$C,MATCH($A83,'ZIP Coordinates'!$A:$A,0))))+COS(RADIANS('ZIP Coordinates'!$C$2))*COS(RADIANS(INDEX('ZIP Coordinates'!$C:$C,MATCH($A83,'ZIP Coordinates'!$A:$A,0))))*COS(RADIANS(INDEX('ZIP Coordinates'!$D:$D,MATCH($A83,'ZIP Coordinates'!$A:$A,0))-'ZIP Coordinates'!$D$2))))),"N/A")</f>
        <v>N/A</v>
      </c>
      <c r="G83" s="3" t="str">
        <f t="shared" si="2"/>
        <v>Unknown</v>
      </c>
      <c r="H83" s="27">
        <f>IF(RIGHT($B83,1)="P",1,IF(ISNUMBER(SEARCH("HALF GALLON",$C83)),Assumptions!$B$4,IF(ISNUMBER(SEARCH("GALLON",$C83)),Assumptions!$B$3,IF(ISNUMBER(SEARCH("QUART",$C83)),Assumptions!$B$5,IF(ISNUMBER(SEARCH("PINT",$C83)),Assumptions!$B$6,Assumptions!$B$7)))))</f>
        <v>1</v>
      </c>
      <c r="I83" s="27">
        <f t="shared" si="3"/>
        <v>39</v>
      </c>
    </row>
    <row r="84" spans="1:9" x14ac:dyDescent="0.2">
      <c r="A84" s="3" t="s">
        <v>4</v>
      </c>
      <c r="B84" s="3" t="s">
        <v>257</v>
      </c>
      <c r="C84" s="3" t="s">
        <v>256</v>
      </c>
      <c r="D84" s="3" t="s">
        <v>98</v>
      </c>
      <c r="E84" s="4">
        <v>44</v>
      </c>
      <c r="F84" s="5" t="str">
        <f>IFERROR(3958.8*ACOS(MIN(1,MAX(-1,SIN(RADIANS('ZIP Coordinates'!$C$2))*SIN(RADIANS(INDEX('ZIP Coordinates'!$C:$C,MATCH($A84,'ZIP Coordinates'!$A:$A,0))))+COS(RADIANS('ZIP Coordinates'!$C$2))*COS(RADIANS(INDEX('ZIP Coordinates'!$C:$C,MATCH($A84,'ZIP Coordinates'!$A:$A,0))))*COS(RADIANS(INDEX('ZIP Coordinates'!$D:$D,MATCH($A84,'ZIP Coordinates'!$A:$A,0))-'ZIP Coordinates'!$D$2))))),"N/A")</f>
        <v>N/A</v>
      </c>
      <c r="G84" s="3" t="str">
        <f t="shared" si="2"/>
        <v>Unknown</v>
      </c>
      <c r="H84" s="27">
        <f>IF(RIGHT($B84,1)="P",1,IF(ISNUMBER(SEARCH("HALF GALLON",$C84)),Assumptions!$B$4,IF(ISNUMBER(SEARCH("GALLON",$C84)),Assumptions!$B$3,IF(ISNUMBER(SEARCH("QUART",$C84)),Assumptions!$B$5,IF(ISNUMBER(SEARCH("PINT",$C84)),Assumptions!$B$6,Assumptions!$B$7)))))</f>
        <v>1</v>
      </c>
      <c r="I84" s="27">
        <f t="shared" si="3"/>
        <v>44</v>
      </c>
    </row>
    <row r="85" spans="1:9" x14ac:dyDescent="0.2">
      <c r="A85" s="3" t="s">
        <v>5</v>
      </c>
      <c r="B85" s="3" t="s">
        <v>258</v>
      </c>
      <c r="C85" s="3" t="s">
        <v>240</v>
      </c>
      <c r="D85" s="3" t="s">
        <v>112</v>
      </c>
      <c r="E85" s="4">
        <v>22</v>
      </c>
      <c r="F85" s="5">
        <f>IFERROR(3958.8*ACOS(MIN(1,MAX(-1,SIN(RADIANS('ZIP Coordinates'!$C$2))*SIN(RADIANS(INDEX('ZIP Coordinates'!$C:$C,MATCH($A85,'ZIP Coordinates'!$A:$A,0))))+COS(RADIANS('ZIP Coordinates'!$C$2))*COS(RADIANS(INDEX('ZIP Coordinates'!$C:$C,MATCH($A85,'ZIP Coordinates'!$A:$A,0))))*COS(RADIANS(INDEX('ZIP Coordinates'!$D:$D,MATCH($A85,'ZIP Coordinates'!$A:$A,0))-'ZIP Coordinates'!$D$2))))),"N/A")</f>
        <v>174.0800745988588</v>
      </c>
      <c r="G85" s="3" t="str">
        <f t="shared" si="2"/>
        <v>150-199 mi</v>
      </c>
      <c r="H85" s="27">
        <f>IF(RIGHT($B85,1)="P",1,IF(ISNUMBER(SEARCH("HALF GALLON",$C85)),Assumptions!$B$4,IF(ISNUMBER(SEARCH("GALLON",$C85)),Assumptions!$B$3,IF(ISNUMBER(SEARCH("QUART",$C85)),Assumptions!$B$5,IF(ISNUMBER(SEARCH("PINT",$C85)),Assumptions!$B$6,Assumptions!$B$7)))))</f>
        <v>4</v>
      </c>
      <c r="I85" s="27">
        <f t="shared" si="3"/>
        <v>88</v>
      </c>
    </row>
    <row r="86" spans="1:9" x14ac:dyDescent="0.2">
      <c r="A86" s="3" t="s">
        <v>5</v>
      </c>
      <c r="B86" s="3" t="s">
        <v>239</v>
      </c>
      <c r="C86" s="3" t="s">
        <v>240</v>
      </c>
      <c r="D86" s="3" t="s">
        <v>135</v>
      </c>
      <c r="E86" s="4">
        <v>16</v>
      </c>
      <c r="F86" s="5">
        <f>IFERROR(3958.8*ACOS(MIN(1,MAX(-1,SIN(RADIANS('ZIP Coordinates'!$C$2))*SIN(RADIANS(INDEX('ZIP Coordinates'!$C:$C,MATCH($A86,'ZIP Coordinates'!$A:$A,0))))+COS(RADIANS('ZIP Coordinates'!$C$2))*COS(RADIANS(INDEX('ZIP Coordinates'!$C:$C,MATCH($A86,'ZIP Coordinates'!$A:$A,0))))*COS(RADIANS(INDEX('ZIP Coordinates'!$D:$D,MATCH($A86,'ZIP Coordinates'!$A:$A,0))-'ZIP Coordinates'!$D$2))))),"N/A")</f>
        <v>174.0800745988588</v>
      </c>
      <c r="G86" s="3" t="str">
        <f t="shared" si="2"/>
        <v>150-199 mi</v>
      </c>
      <c r="H86" s="27">
        <f>IF(RIGHT($B86,1)="P",1,IF(ISNUMBER(SEARCH("HALF GALLON",$C86)),Assumptions!$B$4,IF(ISNUMBER(SEARCH("GALLON",$C86)),Assumptions!$B$3,IF(ISNUMBER(SEARCH("QUART",$C86)),Assumptions!$B$5,IF(ISNUMBER(SEARCH("PINT",$C86)),Assumptions!$B$6,Assumptions!$B$7)))))</f>
        <v>1</v>
      </c>
      <c r="I86" s="27">
        <f t="shared" si="3"/>
        <v>16</v>
      </c>
    </row>
    <row r="87" spans="1:9" x14ac:dyDescent="0.2">
      <c r="A87" s="3" t="s">
        <v>5</v>
      </c>
      <c r="B87" s="3" t="s">
        <v>259</v>
      </c>
      <c r="C87" s="3" t="s">
        <v>260</v>
      </c>
      <c r="D87" s="3" t="s">
        <v>123</v>
      </c>
      <c r="E87" s="4">
        <v>248</v>
      </c>
      <c r="F87" s="5">
        <f>IFERROR(3958.8*ACOS(MIN(1,MAX(-1,SIN(RADIANS('ZIP Coordinates'!$C$2))*SIN(RADIANS(INDEX('ZIP Coordinates'!$C:$C,MATCH($A87,'ZIP Coordinates'!$A:$A,0))))+COS(RADIANS('ZIP Coordinates'!$C$2))*COS(RADIANS(INDEX('ZIP Coordinates'!$C:$C,MATCH($A87,'ZIP Coordinates'!$A:$A,0))))*COS(RADIANS(INDEX('ZIP Coordinates'!$D:$D,MATCH($A87,'ZIP Coordinates'!$A:$A,0))-'ZIP Coordinates'!$D$2))))),"N/A")</f>
        <v>174.0800745988588</v>
      </c>
      <c r="G87" s="3" t="str">
        <f t="shared" si="2"/>
        <v>150-199 mi</v>
      </c>
      <c r="H87" s="27">
        <f>IF(RIGHT($B87,1)="P",1,IF(ISNUMBER(SEARCH("HALF GALLON",$C87)),Assumptions!$B$4,IF(ISNUMBER(SEARCH("GALLON",$C87)),Assumptions!$B$3,IF(ISNUMBER(SEARCH("QUART",$C87)),Assumptions!$B$5,IF(ISNUMBER(SEARCH("PINT",$C87)),Assumptions!$B$6,Assumptions!$B$7)))))</f>
        <v>4</v>
      </c>
      <c r="I87" s="27">
        <f t="shared" si="3"/>
        <v>992</v>
      </c>
    </row>
    <row r="88" spans="1:9" x14ac:dyDescent="0.2">
      <c r="A88" s="3" t="s">
        <v>5</v>
      </c>
      <c r="B88" s="3" t="s">
        <v>261</v>
      </c>
      <c r="C88" s="3" t="s">
        <v>260</v>
      </c>
      <c r="D88" s="3" t="s">
        <v>112</v>
      </c>
      <c r="E88" s="4">
        <v>2</v>
      </c>
      <c r="F88" s="5">
        <f>IFERROR(3958.8*ACOS(MIN(1,MAX(-1,SIN(RADIANS('ZIP Coordinates'!$C$2))*SIN(RADIANS(INDEX('ZIP Coordinates'!$C:$C,MATCH($A88,'ZIP Coordinates'!$A:$A,0))))+COS(RADIANS('ZIP Coordinates'!$C$2))*COS(RADIANS(INDEX('ZIP Coordinates'!$C:$C,MATCH($A88,'ZIP Coordinates'!$A:$A,0))))*COS(RADIANS(INDEX('ZIP Coordinates'!$D:$D,MATCH($A88,'ZIP Coordinates'!$A:$A,0))-'ZIP Coordinates'!$D$2))))),"N/A")</f>
        <v>174.0800745988588</v>
      </c>
      <c r="G88" s="3" t="str">
        <f t="shared" si="2"/>
        <v>150-199 mi</v>
      </c>
      <c r="H88" s="27">
        <f>IF(RIGHT($B88,1)="P",1,IF(ISNUMBER(SEARCH("HALF GALLON",$C88)),Assumptions!$B$4,IF(ISNUMBER(SEARCH("GALLON",$C88)),Assumptions!$B$3,IF(ISNUMBER(SEARCH("QUART",$C88)),Assumptions!$B$5,IF(ISNUMBER(SEARCH("PINT",$C88)),Assumptions!$B$6,Assumptions!$B$7)))))</f>
        <v>1</v>
      </c>
      <c r="I88" s="27">
        <f t="shared" si="3"/>
        <v>2</v>
      </c>
    </row>
    <row r="89" spans="1:9" x14ac:dyDescent="0.2">
      <c r="A89" s="3" t="s">
        <v>5</v>
      </c>
      <c r="B89" s="3" t="s">
        <v>262</v>
      </c>
      <c r="C89" s="3" t="s">
        <v>263</v>
      </c>
      <c r="D89" s="3" t="s">
        <v>135</v>
      </c>
      <c r="E89" s="4">
        <v>6</v>
      </c>
      <c r="F89" s="5">
        <f>IFERROR(3958.8*ACOS(MIN(1,MAX(-1,SIN(RADIANS('ZIP Coordinates'!$C$2))*SIN(RADIANS(INDEX('ZIP Coordinates'!$C:$C,MATCH($A89,'ZIP Coordinates'!$A:$A,0))))+COS(RADIANS('ZIP Coordinates'!$C$2))*COS(RADIANS(INDEX('ZIP Coordinates'!$C:$C,MATCH($A89,'ZIP Coordinates'!$A:$A,0))))*COS(RADIANS(INDEX('ZIP Coordinates'!$D:$D,MATCH($A89,'ZIP Coordinates'!$A:$A,0))-'ZIP Coordinates'!$D$2))))),"N/A")</f>
        <v>174.0800745988588</v>
      </c>
      <c r="G89" s="3" t="str">
        <f t="shared" si="2"/>
        <v>150-199 mi</v>
      </c>
      <c r="H89" s="27">
        <f>IF(RIGHT($B89,1)="P",1,IF(ISNUMBER(SEARCH("HALF GALLON",$C89)),Assumptions!$B$4,IF(ISNUMBER(SEARCH("GALLON",$C89)),Assumptions!$B$3,IF(ISNUMBER(SEARCH("QUART",$C89)),Assumptions!$B$5,IF(ISNUMBER(SEARCH("PINT",$C89)),Assumptions!$B$6,Assumptions!$B$7)))))</f>
        <v>4</v>
      </c>
      <c r="I89" s="27">
        <f t="shared" si="3"/>
        <v>24</v>
      </c>
    </row>
    <row r="90" spans="1:9" x14ac:dyDescent="0.2">
      <c r="A90" s="3" t="s">
        <v>5</v>
      </c>
      <c r="B90" s="3" t="s">
        <v>264</v>
      </c>
      <c r="C90" s="3" t="s">
        <v>263</v>
      </c>
      <c r="D90" s="3" t="s">
        <v>135</v>
      </c>
      <c r="E90" s="4">
        <v>27</v>
      </c>
      <c r="F90" s="5">
        <f>IFERROR(3958.8*ACOS(MIN(1,MAX(-1,SIN(RADIANS('ZIP Coordinates'!$C$2))*SIN(RADIANS(INDEX('ZIP Coordinates'!$C:$C,MATCH($A90,'ZIP Coordinates'!$A:$A,0))))+COS(RADIANS('ZIP Coordinates'!$C$2))*COS(RADIANS(INDEX('ZIP Coordinates'!$C:$C,MATCH($A90,'ZIP Coordinates'!$A:$A,0))))*COS(RADIANS(INDEX('ZIP Coordinates'!$D:$D,MATCH($A90,'ZIP Coordinates'!$A:$A,0))-'ZIP Coordinates'!$D$2))))),"N/A")</f>
        <v>174.0800745988588</v>
      </c>
      <c r="G90" s="3" t="str">
        <f t="shared" si="2"/>
        <v>150-199 mi</v>
      </c>
      <c r="H90" s="27">
        <f>IF(RIGHT($B90,1)="P",1,IF(ISNUMBER(SEARCH("HALF GALLON",$C90)),Assumptions!$B$4,IF(ISNUMBER(SEARCH("GALLON",$C90)),Assumptions!$B$3,IF(ISNUMBER(SEARCH("QUART",$C90)),Assumptions!$B$5,IF(ISNUMBER(SEARCH("PINT",$C90)),Assumptions!$B$6,Assumptions!$B$7)))))</f>
        <v>1</v>
      </c>
      <c r="I90" s="27">
        <f t="shared" si="3"/>
        <v>27</v>
      </c>
    </row>
    <row r="91" spans="1:9" x14ac:dyDescent="0.2">
      <c r="A91" s="3" t="s">
        <v>5</v>
      </c>
      <c r="B91" s="3" t="s">
        <v>265</v>
      </c>
      <c r="C91" s="3" t="s">
        <v>266</v>
      </c>
      <c r="D91" s="3" t="s">
        <v>112</v>
      </c>
      <c r="E91" s="4">
        <v>13</v>
      </c>
      <c r="F91" s="5">
        <f>IFERROR(3958.8*ACOS(MIN(1,MAX(-1,SIN(RADIANS('ZIP Coordinates'!$C$2))*SIN(RADIANS(INDEX('ZIP Coordinates'!$C:$C,MATCH($A91,'ZIP Coordinates'!$A:$A,0))))+COS(RADIANS('ZIP Coordinates'!$C$2))*COS(RADIANS(INDEX('ZIP Coordinates'!$C:$C,MATCH($A91,'ZIP Coordinates'!$A:$A,0))))*COS(RADIANS(INDEX('ZIP Coordinates'!$D:$D,MATCH($A91,'ZIP Coordinates'!$A:$A,0))-'ZIP Coordinates'!$D$2))))),"N/A")</f>
        <v>174.0800745988588</v>
      </c>
      <c r="G91" s="3" t="str">
        <f t="shared" si="2"/>
        <v>150-199 mi</v>
      </c>
      <c r="H91" s="27">
        <f>IF(RIGHT($B91,1)="P",1,IF(ISNUMBER(SEARCH("HALF GALLON",$C91)),Assumptions!$B$4,IF(ISNUMBER(SEARCH("GALLON",$C91)),Assumptions!$B$3,IF(ISNUMBER(SEARCH("QUART",$C91)),Assumptions!$B$5,IF(ISNUMBER(SEARCH("PINT",$C91)),Assumptions!$B$6,Assumptions!$B$7)))))</f>
        <v>1</v>
      </c>
      <c r="I91" s="27">
        <f t="shared" si="3"/>
        <v>13</v>
      </c>
    </row>
    <row r="92" spans="1:9" x14ac:dyDescent="0.2">
      <c r="A92" s="3" t="s">
        <v>5</v>
      </c>
      <c r="B92" s="3" t="s">
        <v>267</v>
      </c>
      <c r="C92" s="3" t="s">
        <v>268</v>
      </c>
      <c r="D92" s="3" t="s">
        <v>112</v>
      </c>
      <c r="E92" s="4">
        <v>12</v>
      </c>
      <c r="F92" s="5">
        <f>IFERROR(3958.8*ACOS(MIN(1,MAX(-1,SIN(RADIANS('ZIP Coordinates'!$C$2))*SIN(RADIANS(INDEX('ZIP Coordinates'!$C:$C,MATCH($A92,'ZIP Coordinates'!$A:$A,0))))+COS(RADIANS('ZIP Coordinates'!$C$2))*COS(RADIANS(INDEX('ZIP Coordinates'!$C:$C,MATCH($A92,'ZIP Coordinates'!$A:$A,0))))*COS(RADIANS(INDEX('ZIP Coordinates'!$D:$D,MATCH($A92,'ZIP Coordinates'!$A:$A,0))-'ZIP Coordinates'!$D$2))))),"N/A")</f>
        <v>174.0800745988588</v>
      </c>
      <c r="G92" s="3" t="str">
        <f t="shared" si="2"/>
        <v>150-199 mi</v>
      </c>
      <c r="H92" s="27">
        <f>IF(RIGHT($B92,1)="P",1,IF(ISNUMBER(SEARCH("HALF GALLON",$C92)),Assumptions!$B$4,IF(ISNUMBER(SEARCH("GALLON",$C92)),Assumptions!$B$3,IF(ISNUMBER(SEARCH("QUART",$C92)),Assumptions!$B$5,IF(ISNUMBER(SEARCH("PINT",$C92)),Assumptions!$B$6,Assumptions!$B$7)))))</f>
        <v>4</v>
      </c>
      <c r="I92" s="27">
        <f t="shared" si="3"/>
        <v>48</v>
      </c>
    </row>
    <row r="93" spans="1:9" x14ac:dyDescent="0.2">
      <c r="A93" s="3" t="s">
        <v>5</v>
      </c>
      <c r="B93" s="3" t="s">
        <v>269</v>
      </c>
      <c r="C93" s="3" t="s">
        <v>268</v>
      </c>
      <c r="D93" s="3" t="s">
        <v>112</v>
      </c>
      <c r="E93" s="4">
        <v>6</v>
      </c>
      <c r="F93" s="5">
        <f>IFERROR(3958.8*ACOS(MIN(1,MAX(-1,SIN(RADIANS('ZIP Coordinates'!$C$2))*SIN(RADIANS(INDEX('ZIP Coordinates'!$C:$C,MATCH($A93,'ZIP Coordinates'!$A:$A,0))))+COS(RADIANS('ZIP Coordinates'!$C$2))*COS(RADIANS(INDEX('ZIP Coordinates'!$C:$C,MATCH($A93,'ZIP Coordinates'!$A:$A,0))))*COS(RADIANS(INDEX('ZIP Coordinates'!$D:$D,MATCH($A93,'ZIP Coordinates'!$A:$A,0))-'ZIP Coordinates'!$D$2))))),"N/A")</f>
        <v>174.0800745988588</v>
      </c>
      <c r="G93" s="3" t="str">
        <f t="shared" si="2"/>
        <v>150-199 mi</v>
      </c>
      <c r="H93" s="27">
        <f>IF(RIGHT($B93,1)="P",1,IF(ISNUMBER(SEARCH("HALF GALLON",$C93)),Assumptions!$B$4,IF(ISNUMBER(SEARCH("GALLON",$C93)),Assumptions!$B$3,IF(ISNUMBER(SEARCH("QUART",$C93)),Assumptions!$B$5,IF(ISNUMBER(SEARCH("PINT",$C93)),Assumptions!$B$6,Assumptions!$B$7)))))</f>
        <v>1</v>
      </c>
      <c r="I93" s="27">
        <f t="shared" si="3"/>
        <v>6</v>
      </c>
    </row>
    <row r="94" spans="1:9" x14ac:dyDescent="0.2">
      <c r="A94" s="3" t="s">
        <v>5</v>
      </c>
      <c r="B94" s="3" t="s">
        <v>270</v>
      </c>
      <c r="C94" s="3" t="s">
        <v>242</v>
      </c>
      <c r="D94" s="3" t="s">
        <v>112</v>
      </c>
      <c r="E94" s="4">
        <v>3</v>
      </c>
      <c r="F94" s="5">
        <f>IFERROR(3958.8*ACOS(MIN(1,MAX(-1,SIN(RADIANS('ZIP Coordinates'!$C$2))*SIN(RADIANS(INDEX('ZIP Coordinates'!$C:$C,MATCH($A94,'ZIP Coordinates'!$A:$A,0))))+COS(RADIANS('ZIP Coordinates'!$C$2))*COS(RADIANS(INDEX('ZIP Coordinates'!$C:$C,MATCH($A94,'ZIP Coordinates'!$A:$A,0))))*COS(RADIANS(INDEX('ZIP Coordinates'!$D:$D,MATCH($A94,'ZIP Coordinates'!$A:$A,0))-'ZIP Coordinates'!$D$2))))),"N/A")</f>
        <v>174.0800745988588</v>
      </c>
      <c r="G94" s="3" t="str">
        <f t="shared" si="2"/>
        <v>150-199 mi</v>
      </c>
      <c r="H94" s="27">
        <f>IF(RIGHT($B94,1)="P",1,IF(ISNUMBER(SEARCH("HALF GALLON",$C94)),Assumptions!$B$4,IF(ISNUMBER(SEARCH("GALLON",$C94)),Assumptions!$B$3,IF(ISNUMBER(SEARCH("QUART",$C94)),Assumptions!$B$5,IF(ISNUMBER(SEARCH("PINT",$C94)),Assumptions!$B$6,Assumptions!$B$7)))))</f>
        <v>9</v>
      </c>
      <c r="I94" s="27">
        <f t="shared" si="3"/>
        <v>27</v>
      </c>
    </row>
    <row r="95" spans="1:9" x14ac:dyDescent="0.2">
      <c r="A95" s="3" t="s">
        <v>5</v>
      </c>
      <c r="B95" s="3" t="s">
        <v>241</v>
      </c>
      <c r="C95" s="3" t="s">
        <v>242</v>
      </c>
      <c r="D95" s="3" t="s">
        <v>112</v>
      </c>
      <c r="E95" s="4">
        <v>34</v>
      </c>
      <c r="F95" s="5">
        <f>IFERROR(3958.8*ACOS(MIN(1,MAX(-1,SIN(RADIANS('ZIP Coordinates'!$C$2))*SIN(RADIANS(INDEX('ZIP Coordinates'!$C:$C,MATCH($A95,'ZIP Coordinates'!$A:$A,0))))+COS(RADIANS('ZIP Coordinates'!$C$2))*COS(RADIANS(INDEX('ZIP Coordinates'!$C:$C,MATCH($A95,'ZIP Coordinates'!$A:$A,0))))*COS(RADIANS(INDEX('ZIP Coordinates'!$D:$D,MATCH($A95,'ZIP Coordinates'!$A:$A,0))-'ZIP Coordinates'!$D$2))))),"N/A")</f>
        <v>174.0800745988588</v>
      </c>
      <c r="G95" s="3" t="str">
        <f t="shared" si="2"/>
        <v>150-199 mi</v>
      </c>
      <c r="H95" s="27">
        <f>IF(RIGHT($B95,1)="P",1,IF(ISNUMBER(SEARCH("HALF GALLON",$C95)),Assumptions!$B$4,IF(ISNUMBER(SEARCH("GALLON",$C95)),Assumptions!$B$3,IF(ISNUMBER(SEARCH("QUART",$C95)),Assumptions!$B$5,IF(ISNUMBER(SEARCH("PINT",$C95)),Assumptions!$B$6,Assumptions!$B$7)))))</f>
        <v>1</v>
      </c>
      <c r="I95" s="27">
        <f t="shared" si="3"/>
        <v>34</v>
      </c>
    </row>
    <row r="96" spans="1:9" x14ac:dyDescent="0.2">
      <c r="A96" s="3" t="s">
        <v>5</v>
      </c>
      <c r="B96" s="3" t="s">
        <v>271</v>
      </c>
      <c r="C96" s="3" t="s">
        <v>244</v>
      </c>
      <c r="D96" s="3" t="s">
        <v>112</v>
      </c>
      <c r="E96" s="4">
        <v>3</v>
      </c>
      <c r="F96" s="5">
        <f>IFERROR(3958.8*ACOS(MIN(1,MAX(-1,SIN(RADIANS('ZIP Coordinates'!$C$2))*SIN(RADIANS(INDEX('ZIP Coordinates'!$C:$C,MATCH($A96,'ZIP Coordinates'!$A:$A,0))))+COS(RADIANS('ZIP Coordinates'!$C$2))*COS(RADIANS(INDEX('ZIP Coordinates'!$C:$C,MATCH($A96,'ZIP Coordinates'!$A:$A,0))))*COS(RADIANS(INDEX('ZIP Coordinates'!$D:$D,MATCH($A96,'ZIP Coordinates'!$A:$A,0))-'ZIP Coordinates'!$D$2))))),"N/A")</f>
        <v>174.0800745988588</v>
      </c>
      <c r="G96" s="3" t="str">
        <f t="shared" si="2"/>
        <v>150-199 mi</v>
      </c>
      <c r="H96" s="27">
        <f>IF(RIGHT($B96,1)="P",1,IF(ISNUMBER(SEARCH("HALF GALLON",$C96)),Assumptions!$B$4,IF(ISNUMBER(SEARCH("GALLON",$C96)),Assumptions!$B$3,IF(ISNUMBER(SEARCH("QUART",$C96)),Assumptions!$B$5,IF(ISNUMBER(SEARCH("PINT",$C96)),Assumptions!$B$6,Assumptions!$B$7)))))</f>
        <v>9</v>
      </c>
      <c r="I96" s="27">
        <f t="shared" si="3"/>
        <v>27</v>
      </c>
    </row>
    <row r="97" spans="1:9" x14ac:dyDescent="0.2">
      <c r="A97" s="3" t="s">
        <v>5</v>
      </c>
      <c r="B97" s="3" t="s">
        <v>243</v>
      </c>
      <c r="C97" s="3" t="s">
        <v>244</v>
      </c>
      <c r="D97" s="3" t="s">
        <v>112</v>
      </c>
      <c r="E97" s="4">
        <v>35</v>
      </c>
      <c r="F97" s="5">
        <f>IFERROR(3958.8*ACOS(MIN(1,MAX(-1,SIN(RADIANS('ZIP Coordinates'!$C$2))*SIN(RADIANS(INDEX('ZIP Coordinates'!$C:$C,MATCH($A97,'ZIP Coordinates'!$A:$A,0))))+COS(RADIANS('ZIP Coordinates'!$C$2))*COS(RADIANS(INDEX('ZIP Coordinates'!$C:$C,MATCH($A97,'ZIP Coordinates'!$A:$A,0))))*COS(RADIANS(INDEX('ZIP Coordinates'!$D:$D,MATCH($A97,'ZIP Coordinates'!$A:$A,0))-'ZIP Coordinates'!$D$2))))),"N/A")</f>
        <v>174.0800745988588</v>
      </c>
      <c r="G97" s="3" t="str">
        <f t="shared" si="2"/>
        <v>150-199 mi</v>
      </c>
      <c r="H97" s="27">
        <f>IF(RIGHT($B97,1)="P",1,IF(ISNUMBER(SEARCH("HALF GALLON",$C97)),Assumptions!$B$4,IF(ISNUMBER(SEARCH("GALLON",$C97)),Assumptions!$B$3,IF(ISNUMBER(SEARCH("QUART",$C97)),Assumptions!$B$5,IF(ISNUMBER(SEARCH("PINT",$C97)),Assumptions!$B$6,Assumptions!$B$7)))))</f>
        <v>1</v>
      </c>
      <c r="I97" s="27">
        <f t="shared" si="3"/>
        <v>35</v>
      </c>
    </row>
    <row r="98" spans="1:9" x14ac:dyDescent="0.2">
      <c r="A98" s="3" t="s">
        <v>5</v>
      </c>
      <c r="B98" s="3" t="s">
        <v>272</v>
      </c>
      <c r="C98" s="3" t="s">
        <v>273</v>
      </c>
      <c r="D98" s="3" t="s">
        <v>112</v>
      </c>
      <c r="E98" s="4">
        <v>18</v>
      </c>
      <c r="F98" s="5">
        <f>IFERROR(3958.8*ACOS(MIN(1,MAX(-1,SIN(RADIANS('ZIP Coordinates'!$C$2))*SIN(RADIANS(INDEX('ZIP Coordinates'!$C:$C,MATCH($A98,'ZIP Coordinates'!$A:$A,0))))+COS(RADIANS('ZIP Coordinates'!$C$2))*COS(RADIANS(INDEX('ZIP Coordinates'!$C:$C,MATCH($A98,'ZIP Coordinates'!$A:$A,0))))*COS(RADIANS(INDEX('ZIP Coordinates'!$D:$D,MATCH($A98,'ZIP Coordinates'!$A:$A,0))-'ZIP Coordinates'!$D$2))))),"N/A")</f>
        <v>174.0800745988588</v>
      </c>
      <c r="G98" s="3" t="str">
        <f t="shared" si="2"/>
        <v>150-199 mi</v>
      </c>
      <c r="H98" s="27">
        <f>IF(RIGHT($B98,1)="P",1,IF(ISNUMBER(SEARCH("HALF GALLON",$C98)),Assumptions!$B$4,IF(ISNUMBER(SEARCH("GALLON",$C98)),Assumptions!$B$3,IF(ISNUMBER(SEARCH("QUART",$C98)),Assumptions!$B$5,IF(ISNUMBER(SEARCH("PINT",$C98)),Assumptions!$B$6,Assumptions!$B$7)))))</f>
        <v>1</v>
      </c>
      <c r="I98" s="27">
        <f t="shared" si="3"/>
        <v>18</v>
      </c>
    </row>
    <row r="99" spans="1:9" x14ac:dyDescent="0.2">
      <c r="A99" s="3" t="s">
        <v>5</v>
      </c>
      <c r="B99" s="3" t="s">
        <v>274</v>
      </c>
      <c r="C99" s="3" t="s">
        <v>275</v>
      </c>
      <c r="D99" s="3" t="s">
        <v>112</v>
      </c>
      <c r="E99" s="4">
        <v>5</v>
      </c>
      <c r="F99" s="5">
        <f>IFERROR(3958.8*ACOS(MIN(1,MAX(-1,SIN(RADIANS('ZIP Coordinates'!$C$2))*SIN(RADIANS(INDEX('ZIP Coordinates'!$C:$C,MATCH($A99,'ZIP Coordinates'!$A:$A,0))))+COS(RADIANS('ZIP Coordinates'!$C$2))*COS(RADIANS(INDEX('ZIP Coordinates'!$C:$C,MATCH($A99,'ZIP Coordinates'!$A:$A,0))))*COS(RADIANS(INDEX('ZIP Coordinates'!$D:$D,MATCH($A99,'ZIP Coordinates'!$A:$A,0))-'ZIP Coordinates'!$D$2))))),"N/A")</f>
        <v>174.0800745988588</v>
      </c>
      <c r="G99" s="3" t="str">
        <f t="shared" si="2"/>
        <v>150-199 mi</v>
      </c>
      <c r="H99" s="27">
        <f>IF(RIGHT($B99,1)="P",1,IF(ISNUMBER(SEARCH("HALF GALLON",$C99)),Assumptions!$B$4,IF(ISNUMBER(SEARCH("GALLON",$C99)),Assumptions!$B$3,IF(ISNUMBER(SEARCH("QUART",$C99)),Assumptions!$B$5,IF(ISNUMBER(SEARCH("PINT",$C99)),Assumptions!$B$6,Assumptions!$B$7)))))</f>
        <v>9</v>
      </c>
      <c r="I99" s="27">
        <f t="shared" si="3"/>
        <v>45</v>
      </c>
    </row>
    <row r="100" spans="1:9" x14ac:dyDescent="0.2">
      <c r="A100" s="3" t="s">
        <v>5</v>
      </c>
      <c r="B100" s="3" t="s">
        <v>276</v>
      </c>
      <c r="C100" s="3" t="s">
        <v>275</v>
      </c>
      <c r="D100" s="3" t="s">
        <v>123</v>
      </c>
      <c r="E100" s="4">
        <v>85</v>
      </c>
      <c r="F100" s="5">
        <f>IFERROR(3958.8*ACOS(MIN(1,MAX(-1,SIN(RADIANS('ZIP Coordinates'!$C$2))*SIN(RADIANS(INDEX('ZIP Coordinates'!$C:$C,MATCH($A100,'ZIP Coordinates'!$A:$A,0))))+COS(RADIANS('ZIP Coordinates'!$C$2))*COS(RADIANS(INDEX('ZIP Coordinates'!$C:$C,MATCH($A100,'ZIP Coordinates'!$A:$A,0))))*COS(RADIANS(INDEX('ZIP Coordinates'!$D:$D,MATCH($A100,'ZIP Coordinates'!$A:$A,0))-'ZIP Coordinates'!$D$2))))),"N/A")</f>
        <v>174.0800745988588</v>
      </c>
      <c r="G100" s="3" t="str">
        <f t="shared" si="2"/>
        <v>150-199 mi</v>
      </c>
      <c r="H100" s="27">
        <f>IF(RIGHT($B100,1)="P",1,IF(ISNUMBER(SEARCH("HALF GALLON",$C100)),Assumptions!$B$4,IF(ISNUMBER(SEARCH("GALLON",$C100)),Assumptions!$B$3,IF(ISNUMBER(SEARCH("QUART",$C100)),Assumptions!$B$5,IF(ISNUMBER(SEARCH("PINT",$C100)),Assumptions!$B$6,Assumptions!$B$7)))))</f>
        <v>1</v>
      </c>
      <c r="I100" s="27">
        <f t="shared" si="3"/>
        <v>85</v>
      </c>
    </row>
    <row r="101" spans="1:9" x14ac:dyDescent="0.2">
      <c r="A101" s="3" t="s">
        <v>5</v>
      </c>
      <c r="B101" s="3" t="s">
        <v>277</v>
      </c>
      <c r="C101" s="3" t="s">
        <v>278</v>
      </c>
      <c r="D101" s="3" t="s">
        <v>112</v>
      </c>
      <c r="E101" s="4">
        <v>51</v>
      </c>
      <c r="F101" s="5">
        <f>IFERROR(3958.8*ACOS(MIN(1,MAX(-1,SIN(RADIANS('ZIP Coordinates'!$C$2))*SIN(RADIANS(INDEX('ZIP Coordinates'!$C:$C,MATCH($A101,'ZIP Coordinates'!$A:$A,0))))+COS(RADIANS('ZIP Coordinates'!$C$2))*COS(RADIANS(INDEX('ZIP Coordinates'!$C:$C,MATCH($A101,'ZIP Coordinates'!$A:$A,0))))*COS(RADIANS(INDEX('ZIP Coordinates'!$D:$D,MATCH($A101,'ZIP Coordinates'!$A:$A,0))-'ZIP Coordinates'!$D$2))))),"N/A")</f>
        <v>174.0800745988588</v>
      </c>
      <c r="G101" s="3" t="str">
        <f t="shared" si="2"/>
        <v>150-199 mi</v>
      </c>
      <c r="H101" s="27">
        <f>IF(RIGHT($B101,1)="P",1,IF(ISNUMBER(SEARCH("HALF GALLON",$C101)),Assumptions!$B$4,IF(ISNUMBER(SEARCH("GALLON",$C101)),Assumptions!$B$3,IF(ISNUMBER(SEARCH("QUART",$C101)),Assumptions!$B$5,IF(ISNUMBER(SEARCH("PINT",$C101)),Assumptions!$B$6,Assumptions!$B$7)))))</f>
        <v>1</v>
      </c>
      <c r="I101" s="27">
        <f t="shared" si="3"/>
        <v>51</v>
      </c>
    </row>
    <row r="102" spans="1:9" x14ac:dyDescent="0.2">
      <c r="A102" s="3" t="s">
        <v>5</v>
      </c>
      <c r="B102" s="3" t="s">
        <v>279</v>
      </c>
      <c r="C102" s="3" t="s">
        <v>280</v>
      </c>
      <c r="D102" s="3" t="s">
        <v>112</v>
      </c>
      <c r="E102" s="4">
        <v>41</v>
      </c>
      <c r="F102" s="5">
        <f>IFERROR(3958.8*ACOS(MIN(1,MAX(-1,SIN(RADIANS('ZIP Coordinates'!$C$2))*SIN(RADIANS(INDEX('ZIP Coordinates'!$C:$C,MATCH($A102,'ZIP Coordinates'!$A:$A,0))))+COS(RADIANS('ZIP Coordinates'!$C$2))*COS(RADIANS(INDEX('ZIP Coordinates'!$C:$C,MATCH($A102,'ZIP Coordinates'!$A:$A,0))))*COS(RADIANS(INDEX('ZIP Coordinates'!$D:$D,MATCH($A102,'ZIP Coordinates'!$A:$A,0))-'ZIP Coordinates'!$D$2))))),"N/A")</f>
        <v>174.0800745988588</v>
      </c>
      <c r="G102" s="3" t="str">
        <f t="shared" si="2"/>
        <v>150-199 mi</v>
      </c>
      <c r="H102" s="27">
        <f>IF(RIGHT($B102,1)="P",1,IF(ISNUMBER(SEARCH("HALF GALLON",$C102)),Assumptions!$B$4,IF(ISNUMBER(SEARCH("GALLON",$C102)),Assumptions!$B$3,IF(ISNUMBER(SEARCH("QUART",$C102)),Assumptions!$B$5,IF(ISNUMBER(SEARCH("PINT",$C102)),Assumptions!$B$6,Assumptions!$B$7)))))</f>
        <v>1</v>
      </c>
      <c r="I102" s="27">
        <f t="shared" si="3"/>
        <v>41</v>
      </c>
    </row>
    <row r="103" spans="1:9" x14ac:dyDescent="0.2">
      <c r="A103" s="3" t="s">
        <v>5</v>
      </c>
      <c r="B103" s="3" t="s">
        <v>247</v>
      </c>
      <c r="C103" s="3" t="s">
        <v>246</v>
      </c>
      <c r="D103" s="3" t="s">
        <v>112</v>
      </c>
      <c r="E103" s="4">
        <v>75</v>
      </c>
      <c r="F103" s="5">
        <f>IFERROR(3958.8*ACOS(MIN(1,MAX(-1,SIN(RADIANS('ZIP Coordinates'!$C$2))*SIN(RADIANS(INDEX('ZIP Coordinates'!$C:$C,MATCH($A103,'ZIP Coordinates'!$A:$A,0))))+COS(RADIANS('ZIP Coordinates'!$C$2))*COS(RADIANS(INDEX('ZIP Coordinates'!$C:$C,MATCH($A103,'ZIP Coordinates'!$A:$A,0))))*COS(RADIANS(INDEX('ZIP Coordinates'!$D:$D,MATCH($A103,'ZIP Coordinates'!$A:$A,0))-'ZIP Coordinates'!$D$2))))),"N/A")</f>
        <v>174.0800745988588</v>
      </c>
      <c r="G103" s="3" t="str">
        <f t="shared" si="2"/>
        <v>150-199 mi</v>
      </c>
      <c r="H103" s="27">
        <f>IF(RIGHT($B103,1)="P",1,IF(ISNUMBER(SEARCH("HALF GALLON",$C103)),Assumptions!$B$4,IF(ISNUMBER(SEARCH("GALLON",$C103)),Assumptions!$B$3,IF(ISNUMBER(SEARCH("QUART",$C103)),Assumptions!$B$5,IF(ISNUMBER(SEARCH("PINT",$C103)),Assumptions!$B$6,Assumptions!$B$7)))))</f>
        <v>1</v>
      </c>
      <c r="I103" s="27">
        <f t="shared" si="3"/>
        <v>75</v>
      </c>
    </row>
    <row r="104" spans="1:9" x14ac:dyDescent="0.2">
      <c r="A104" s="3" t="s">
        <v>5</v>
      </c>
      <c r="B104" s="3" t="s">
        <v>248</v>
      </c>
      <c r="C104" s="3" t="s">
        <v>249</v>
      </c>
      <c r="D104" s="3" t="s">
        <v>135</v>
      </c>
      <c r="E104" s="4">
        <v>18</v>
      </c>
      <c r="F104" s="5">
        <f>IFERROR(3958.8*ACOS(MIN(1,MAX(-1,SIN(RADIANS('ZIP Coordinates'!$C$2))*SIN(RADIANS(INDEX('ZIP Coordinates'!$C:$C,MATCH($A104,'ZIP Coordinates'!$A:$A,0))))+COS(RADIANS('ZIP Coordinates'!$C$2))*COS(RADIANS(INDEX('ZIP Coordinates'!$C:$C,MATCH($A104,'ZIP Coordinates'!$A:$A,0))))*COS(RADIANS(INDEX('ZIP Coordinates'!$D:$D,MATCH($A104,'ZIP Coordinates'!$A:$A,0))-'ZIP Coordinates'!$D$2))))),"N/A")</f>
        <v>174.0800745988588</v>
      </c>
      <c r="G104" s="3" t="str">
        <f t="shared" si="2"/>
        <v>150-199 mi</v>
      </c>
      <c r="H104" s="27">
        <f>IF(RIGHT($B104,1)="P",1,IF(ISNUMBER(SEARCH("HALF GALLON",$C104)),Assumptions!$B$4,IF(ISNUMBER(SEARCH("GALLON",$C104)),Assumptions!$B$3,IF(ISNUMBER(SEARCH("QUART",$C104)),Assumptions!$B$5,IF(ISNUMBER(SEARCH("PINT",$C104)),Assumptions!$B$6,Assumptions!$B$7)))))</f>
        <v>20</v>
      </c>
      <c r="I104" s="27">
        <f t="shared" si="3"/>
        <v>360</v>
      </c>
    </row>
    <row r="105" spans="1:9" x14ac:dyDescent="0.2">
      <c r="A105" s="3" t="s">
        <v>5</v>
      </c>
      <c r="B105" s="3" t="s">
        <v>250</v>
      </c>
      <c r="C105" s="3" t="s">
        <v>249</v>
      </c>
      <c r="D105" s="3" t="s">
        <v>112</v>
      </c>
      <c r="E105" s="4">
        <v>81</v>
      </c>
      <c r="F105" s="5">
        <f>IFERROR(3958.8*ACOS(MIN(1,MAX(-1,SIN(RADIANS('ZIP Coordinates'!$C$2))*SIN(RADIANS(INDEX('ZIP Coordinates'!$C:$C,MATCH($A105,'ZIP Coordinates'!$A:$A,0))))+COS(RADIANS('ZIP Coordinates'!$C$2))*COS(RADIANS(INDEX('ZIP Coordinates'!$C:$C,MATCH($A105,'ZIP Coordinates'!$A:$A,0))))*COS(RADIANS(INDEX('ZIP Coordinates'!$D:$D,MATCH($A105,'ZIP Coordinates'!$A:$A,0))-'ZIP Coordinates'!$D$2))))),"N/A")</f>
        <v>174.0800745988588</v>
      </c>
      <c r="G105" s="3" t="str">
        <f t="shared" si="2"/>
        <v>150-199 mi</v>
      </c>
      <c r="H105" s="27">
        <f>IF(RIGHT($B105,1)="P",1,IF(ISNUMBER(SEARCH("HALF GALLON",$C105)),Assumptions!$B$4,IF(ISNUMBER(SEARCH("GALLON",$C105)),Assumptions!$B$3,IF(ISNUMBER(SEARCH("QUART",$C105)),Assumptions!$B$5,IF(ISNUMBER(SEARCH("PINT",$C105)),Assumptions!$B$6,Assumptions!$B$7)))))</f>
        <v>1</v>
      </c>
      <c r="I105" s="27">
        <f t="shared" si="3"/>
        <v>81</v>
      </c>
    </row>
    <row r="106" spans="1:9" x14ac:dyDescent="0.2">
      <c r="A106" s="3" t="s">
        <v>5</v>
      </c>
      <c r="B106" s="3" t="s">
        <v>281</v>
      </c>
      <c r="C106" s="3" t="s">
        <v>252</v>
      </c>
      <c r="D106" s="3" t="s">
        <v>135</v>
      </c>
      <c r="E106" s="4">
        <v>1</v>
      </c>
      <c r="F106" s="5">
        <f>IFERROR(3958.8*ACOS(MIN(1,MAX(-1,SIN(RADIANS('ZIP Coordinates'!$C$2))*SIN(RADIANS(INDEX('ZIP Coordinates'!$C:$C,MATCH($A106,'ZIP Coordinates'!$A:$A,0))))+COS(RADIANS('ZIP Coordinates'!$C$2))*COS(RADIANS(INDEX('ZIP Coordinates'!$C:$C,MATCH($A106,'ZIP Coordinates'!$A:$A,0))))*COS(RADIANS(INDEX('ZIP Coordinates'!$D:$D,MATCH($A106,'ZIP Coordinates'!$A:$A,0))-'ZIP Coordinates'!$D$2))))),"N/A")</f>
        <v>174.0800745988588</v>
      </c>
      <c r="G106" s="3" t="str">
        <f t="shared" si="2"/>
        <v>150-199 mi</v>
      </c>
      <c r="H106" s="27">
        <f>IF(RIGHT($B106,1)="P",1,IF(ISNUMBER(SEARCH("HALF GALLON",$C106)),Assumptions!$B$4,IF(ISNUMBER(SEARCH("GALLON",$C106)),Assumptions!$B$3,IF(ISNUMBER(SEARCH("QUART",$C106)),Assumptions!$B$5,IF(ISNUMBER(SEARCH("PINT",$C106)),Assumptions!$B$6,Assumptions!$B$7)))))</f>
        <v>20</v>
      </c>
      <c r="I106" s="27">
        <f t="shared" si="3"/>
        <v>20</v>
      </c>
    </row>
    <row r="107" spans="1:9" x14ac:dyDescent="0.2">
      <c r="A107" s="3" t="s">
        <v>5</v>
      </c>
      <c r="B107" s="3" t="s">
        <v>251</v>
      </c>
      <c r="C107" s="3" t="s">
        <v>252</v>
      </c>
      <c r="D107" s="3" t="s">
        <v>112</v>
      </c>
      <c r="E107" s="4">
        <v>55</v>
      </c>
      <c r="F107" s="5">
        <f>IFERROR(3958.8*ACOS(MIN(1,MAX(-1,SIN(RADIANS('ZIP Coordinates'!$C$2))*SIN(RADIANS(INDEX('ZIP Coordinates'!$C:$C,MATCH($A107,'ZIP Coordinates'!$A:$A,0))))+COS(RADIANS('ZIP Coordinates'!$C$2))*COS(RADIANS(INDEX('ZIP Coordinates'!$C:$C,MATCH($A107,'ZIP Coordinates'!$A:$A,0))))*COS(RADIANS(INDEX('ZIP Coordinates'!$D:$D,MATCH($A107,'ZIP Coordinates'!$A:$A,0))-'ZIP Coordinates'!$D$2))))),"N/A")</f>
        <v>174.0800745988588</v>
      </c>
      <c r="G107" s="3" t="str">
        <f t="shared" si="2"/>
        <v>150-199 mi</v>
      </c>
      <c r="H107" s="27">
        <f>IF(RIGHT($B107,1)="P",1,IF(ISNUMBER(SEARCH("HALF GALLON",$C107)),Assumptions!$B$4,IF(ISNUMBER(SEARCH("GALLON",$C107)),Assumptions!$B$3,IF(ISNUMBER(SEARCH("QUART",$C107)),Assumptions!$B$5,IF(ISNUMBER(SEARCH("PINT",$C107)),Assumptions!$B$6,Assumptions!$B$7)))))</f>
        <v>1</v>
      </c>
      <c r="I107" s="27">
        <f t="shared" si="3"/>
        <v>55</v>
      </c>
    </row>
    <row r="108" spans="1:9" x14ac:dyDescent="0.2">
      <c r="A108" s="3" t="s">
        <v>5</v>
      </c>
      <c r="B108" s="3" t="s">
        <v>282</v>
      </c>
      <c r="C108" s="3" t="s">
        <v>283</v>
      </c>
      <c r="D108" s="3" t="s">
        <v>112</v>
      </c>
      <c r="E108" s="4">
        <v>8</v>
      </c>
      <c r="F108" s="5">
        <f>IFERROR(3958.8*ACOS(MIN(1,MAX(-1,SIN(RADIANS('ZIP Coordinates'!$C$2))*SIN(RADIANS(INDEX('ZIP Coordinates'!$C:$C,MATCH($A108,'ZIP Coordinates'!$A:$A,0))))+COS(RADIANS('ZIP Coordinates'!$C$2))*COS(RADIANS(INDEX('ZIP Coordinates'!$C:$C,MATCH($A108,'ZIP Coordinates'!$A:$A,0))))*COS(RADIANS(INDEX('ZIP Coordinates'!$D:$D,MATCH($A108,'ZIP Coordinates'!$A:$A,0))-'ZIP Coordinates'!$D$2))))),"N/A")</f>
        <v>174.0800745988588</v>
      </c>
      <c r="G108" s="3" t="str">
        <f t="shared" si="2"/>
        <v>150-199 mi</v>
      </c>
      <c r="H108" s="27">
        <f>IF(RIGHT($B108,1)="P",1,IF(ISNUMBER(SEARCH("HALF GALLON",$C108)),Assumptions!$B$4,IF(ISNUMBER(SEARCH("GALLON",$C108)),Assumptions!$B$3,IF(ISNUMBER(SEARCH("QUART",$C108)),Assumptions!$B$5,IF(ISNUMBER(SEARCH("PINT",$C108)),Assumptions!$B$6,Assumptions!$B$7)))))</f>
        <v>1</v>
      </c>
      <c r="I108" s="27">
        <f t="shared" si="3"/>
        <v>8</v>
      </c>
    </row>
    <row r="109" spans="1:9" x14ac:dyDescent="0.2">
      <c r="A109" s="3" t="s">
        <v>5</v>
      </c>
      <c r="B109" s="3" t="s">
        <v>284</v>
      </c>
      <c r="C109" s="3" t="s">
        <v>285</v>
      </c>
      <c r="D109" s="3" t="s">
        <v>112</v>
      </c>
      <c r="E109" s="4">
        <v>25</v>
      </c>
      <c r="F109" s="5">
        <f>IFERROR(3958.8*ACOS(MIN(1,MAX(-1,SIN(RADIANS('ZIP Coordinates'!$C$2))*SIN(RADIANS(INDEX('ZIP Coordinates'!$C:$C,MATCH($A109,'ZIP Coordinates'!$A:$A,0))))+COS(RADIANS('ZIP Coordinates'!$C$2))*COS(RADIANS(INDEX('ZIP Coordinates'!$C:$C,MATCH($A109,'ZIP Coordinates'!$A:$A,0))))*COS(RADIANS(INDEX('ZIP Coordinates'!$D:$D,MATCH($A109,'ZIP Coordinates'!$A:$A,0))-'ZIP Coordinates'!$D$2))))),"N/A")</f>
        <v>174.0800745988588</v>
      </c>
      <c r="G109" s="3" t="str">
        <f t="shared" si="2"/>
        <v>150-199 mi</v>
      </c>
      <c r="H109" s="27">
        <f>IF(RIGHT($B109,1)="P",1,IF(ISNUMBER(SEARCH("HALF GALLON",$C109)),Assumptions!$B$4,IF(ISNUMBER(SEARCH("GALLON",$C109)),Assumptions!$B$3,IF(ISNUMBER(SEARCH("QUART",$C109)),Assumptions!$B$5,IF(ISNUMBER(SEARCH("PINT",$C109)),Assumptions!$B$6,Assumptions!$B$7)))))</f>
        <v>1</v>
      </c>
      <c r="I109" s="27">
        <f t="shared" si="3"/>
        <v>25</v>
      </c>
    </row>
    <row r="110" spans="1:9" x14ac:dyDescent="0.2">
      <c r="A110" s="3" t="s">
        <v>5</v>
      </c>
      <c r="B110" s="3" t="s">
        <v>286</v>
      </c>
      <c r="C110" s="3" t="s">
        <v>287</v>
      </c>
      <c r="D110" s="3" t="s">
        <v>112</v>
      </c>
      <c r="E110" s="4">
        <v>21</v>
      </c>
      <c r="F110" s="5">
        <f>IFERROR(3958.8*ACOS(MIN(1,MAX(-1,SIN(RADIANS('ZIP Coordinates'!$C$2))*SIN(RADIANS(INDEX('ZIP Coordinates'!$C:$C,MATCH($A110,'ZIP Coordinates'!$A:$A,0))))+COS(RADIANS('ZIP Coordinates'!$C$2))*COS(RADIANS(INDEX('ZIP Coordinates'!$C:$C,MATCH($A110,'ZIP Coordinates'!$A:$A,0))))*COS(RADIANS(INDEX('ZIP Coordinates'!$D:$D,MATCH($A110,'ZIP Coordinates'!$A:$A,0))-'ZIP Coordinates'!$D$2))))),"N/A")</f>
        <v>174.0800745988588</v>
      </c>
      <c r="G110" s="3" t="str">
        <f t="shared" si="2"/>
        <v>150-199 mi</v>
      </c>
      <c r="H110" s="27">
        <f>IF(RIGHT($B110,1)="P",1,IF(ISNUMBER(SEARCH("HALF GALLON",$C110)),Assumptions!$B$4,IF(ISNUMBER(SEARCH("GALLON",$C110)),Assumptions!$B$3,IF(ISNUMBER(SEARCH("QUART",$C110)),Assumptions!$B$5,IF(ISNUMBER(SEARCH("PINT",$C110)),Assumptions!$B$6,Assumptions!$B$7)))))</f>
        <v>9</v>
      </c>
      <c r="I110" s="27">
        <f t="shared" si="3"/>
        <v>189</v>
      </c>
    </row>
    <row r="111" spans="1:9" x14ac:dyDescent="0.2">
      <c r="A111" s="3" t="s">
        <v>5</v>
      </c>
      <c r="B111" s="3" t="s">
        <v>288</v>
      </c>
      <c r="C111" s="3" t="s">
        <v>287</v>
      </c>
      <c r="D111" s="3" t="s">
        <v>112</v>
      </c>
      <c r="E111" s="4">
        <v>6</v>
      </c>
      <c r="F111" s="5">
        <f>IFERROR(3958.8*ACOS(MIN(1,MAX(-1,SIN(RADIANS('ZIP Coordinates'!$C$2))*SIN(RADIANS(INDEX('ZIP Coordinates'!$C:$C,MATCH($A111,'ZIP Coordinates'!$A:$A,0))))+COS(RADIANS('ZIP Coordinates'!$C$2))*COS(RADIANS(INDEX('ZIP Coordinates'!$C:$C,MATCH($A111,'ZIP Coordinates'!$A:$A,0))))*COS(RADIANS(INDEX('ZIP Coordinates'!$D:$D,MATCH($A111,'ZIP Coordinates'!$A:$A,0))-'ZIP Coordinates'!$D$2))))),"N/A")</f>
        <v>174.0800745988588</v>
      </c>
      <c r="G111" s="3" t="str">
        <f t="shared" si="2"/>
        <v>150-199 mi</v>
      </c>
      <c r="H111" s="27">
        <f>IF(RIGHT($B111,1)="P",1,IF(ISNUMBER(SEARCH("HALF GALLON",$C111)),Assumptions!$B$4,IF(ISNUMBER(SEARCH("GALLON",$C111)),Assumptions!$B$3,IF(ISNUMBER(SEARCH("QUART",$C111)),Assumptions!$B$5,IF(ISNUMBER(SEARCH("PINT",$C111)),Assumptions!$B$6,Assumptions!$B$7)))))</f>
        <v>1</v>
      </c>
      <c r="I111" s="27">
        <f t="shared" si="3"/>
        <v>6</v>
      </c>
    </row>
    <row r="112" spans="1:9" x14ac:dyDescent="0.2">
      <c r="A112" s="3" t="s">
        <v>5</v>
      </c>
      <c r="B112" s="3" t="s">
        <v>255</v>
      </c>
      <c r="C112" s="3" t="s">
        <v>256</v>
      </c>
      <c r="D112" s="3" t="s">
        <v>135</v>
      </c>
      <c r="E112" s="4">
        <v>104</v>
      </c>
      <c r="F112" s="5">
        <f>IFERROR(3958.8*ACOS(MIN(1,MAX(-1,SIN(RADIANS('ZIP Coordinates'!$C$2))*SIN(RADIANS(INDEX('ZIP Coordinates'!$C:$C,MATCH($A112,'ZIP Coordinates'!$A:$A,0))))+COS(RADIANS('ZIP Coordinates'!$C$2))*COS(RADIANS(INDEX('ZIP Coordinates'!$C:$C,MATCH($A112,'ZIP Coordinates'!$A:$A,0))))*COS(RADIANS(INDEX('ZIP Coordinates'!$D:$D,MATCH($A112,'ZIP Coordinates'!$A:$A,0))-'ZIP Coordinates'!$D$2))))),"N/A")</f>
        <v>174.0800745988588</v>
      </c>
      <c r="G112" s="3" t="str">
        <f t="shared" si="2"/>
        <v>150-199 mi</v>
      </c>
      <c r="H112" s="27">
        <f>IF(RIGHT($B112,1)="P",1,IF(ISNUMBER(SEARCH("HALF GALLON",$C112)),Assumptions!$B$4,IF(ISNUMBER(SEARCH("GALLON",$C112)),Assumptions!$B$3,IF(ISNUMBER(SEARCH("QUART",$C112)),Assumptions!$B$5,IF(ISNUMBER(SEARCH("PINT",$C112)),Assumptions!$B$6,Assumptions!$B$7)))))</f>
        <v>20</v>
      </c>
      <c r="I112" s="27">
        <f t="shared" si="3"/>
        <v>2080</v>
      </c>
    </row>
    <row r="113" spans="1:9" x14ac:dyDescent="0.2">
      <c r="A113" s="3" t="s">
        <v>6</v>
      </c>
      <c r="B113" s="3" t="s">
        <v>258</v>
      </c>
      <c r="C113" s="3" t="s">
        <v>240</v>
      </c>
      <c r="D113" s="3" t="s">
        <v>96</v>
      </c>
      <c r="E113" s="4">
        <v>32</v>
      </c>
      <c r="F113" s="5">
        <f>IFERROR(3958.8*ACOS(MIN(1,MAX(-1,SIN(RADIANS('ZIP Coordinates'!$C$2))*SIN(RADIANS(INDEX('ZIP Coordinates'!$C:$C,MATCH($A113,'ZIP Coordinates'!$A:$A,0))))+COS(RADIANS('ZIP Coordinates'!$C$2))*COS(RADIANS(INDEX('ZIP Coordinates'!$C:$C,MATCH($A113,'ZIP Coordinates'!$A:$A,0))))*COS(RADIANS(INDEX('ZIP Coordinates'!$D:$D,MATCH($A113,'ZIP Coordinates'!$A:$A,0))-'ZIP Coordinates'!$D$2))))),"N/A")</f>
        <v>170.00670451695677</v>
      </c>
      <c r="G113" s="3" t="str">
        <f t="shared" si="2"/>
        <v>150-199 mi</v>
      </c>
      <c r="H113" s="27">
        <f>IF(RIGHT($B113,1)="P",1,IF(ISNUMBER(SEARCH("HALF GALLON",$C113)),Assumptions!$B$4,IF(ISNUMBER(SEARCH("GALLON",$C113)),Assumptions!$B$3,IF(ISNUMBER(SEARCH("QUART",$C113)),Assumptions!$B$5,IF(ISNUMBER(SEARCH("PINT",$C113)),Assumptions!$B$6,Assumptions!$B$7)))))</f>
        <v>4</v>
      </c>
      <c r="I113" s="27">
        <f t="shared" si="3"/>
        <v>128</v>
      </c>
    </row>
    <row r="114" spans="1:9" x14ac:dyDescent="0.2">
      <c r="A114" s="3" t="s">
        <v>6</v>
      </c>
      <c r="B114" s="3" t="s">
        <v>239</v>
      </c>
      <c r="C114" s="3" t="s">
        <v>240</v>
      </c>
      <c r="D114" s="3" t="s">
        <v>96</v>
      </c>
      <c r="E114" s="4">
        <v>16</v>
      </c>
      <c r="F114" s="5">
        <f>IFERROR(3958.8*ACOS(MIN(1,MAX(-1,SIN(RADIANS('ZIP Coordinates'!$C$2))*SIN(RADIANS(INDEX('ZIP Coordinates'!$C:$C,MATCH($A114,'ZIP Coordinates'!$A:$A,0))))+COS(RADIANS('ZIP Coordinates'!$C$2))*COS(RADIANS(INDEX('ZIP Coordinates'!$C:$C,MATCH($A114,'ZIP Coordinates'!$A:$A,0))))*COS(RADIANS(INDEX('ZIP Coordinates'!$D:$D,MATCH($A114,'ZIP Coordinates'!$A:$A,0))-'ZIP Coordinates'!$D$2))))),"N/A")</f>
        <v>170.00670451695677</v>
      </c>
      <c r="G114" s="3" t="str">
        <f t="shared" si="2"/>
        <v>150-199 mi</v>
      </c>
      <c r="H114" s="27">
        <f>IF(RIGHT($B114,1)="P",1,IF(ISNUMBER(SEARCH("HALF GALLON",$C114)),Assumptions!$B$4,IF(ISNUMBER(SEARCH("GALLON",$C114)),Assumptions!$B$3,IF(ISNUMBER(SEARCH("QUART",$C114)),Assumptions!$B$5,IF(ISNUMBER(SEARCH("PINT",$C114)),Assumptions!$B$6,Assumptions!$B$7)))))</f>
        <v>1</v>
      </c>
      <c r="I114" s="27">
        <f t="shared" si="3"/>
        <v>16</v>
      </c>
    </row>
    <row r="115" spans="1:9" x14ac:dyDescent="0.2">
      <c r="A115" s="3" t="s">
        <v>6</v>
      </c>
      <c r="B115" s="3" t="s">
        <v>259</v>
      </c>
      <c r="C115" s="3" t="s">
        <v>260</v>
      </c>
      <c r="D115" s="3" t="s">
        <v>173</v>
      </c>
      <c r="E115" s="4">
        <v>34</v>
      </c>
      <c r="F115" s="5">
        <f>IFERROR(3958.8*ACOS(MIN(1,MAX(-1,SIN(RADIANS('ZIP Coordinates'!$C$2))*SIN(RADIANS(INDEX('ZIP Coordinates'!$C:$C,MATCH($A115,'ZIP Coordinates'!$A:$A,0))))+COS(RADIANS('ZIP Coordinates'!$C$2))*COS(RADIANS(INDEX('ZIP Coordinates'!$C:$C,MATCH($A115,'ZIP Coordinates'!$A:$A,0))))*COS(RADIANS(INDEX('ZIP Coordinates'!$D:$D,MATCH($A115,'ZIP Coordinates'!$A:$A,0))-'ZIP Coordinates'!$D$2))))),"N/A")</f>
        <v>170.00670451695677</v>
      </c>
      <c r="G115" s="3" t="str">
        <f t="shared" si="2"/>
        <v>150-199 mi</v>
      </c>
      <c r="H115" s="27">
        <f>IF(RIGHT($B115,1)="P",1,IF(ISNUMBER(SEARCH("HALF GALLON",$C115)),Assumptions!$B$4,IF(ISNUMBER(SEARCH("GALLON",$C115)),Assumptions!$B$3,IF(ISNUMBER(SEARCH("QUART",$C115)),Assumptions!$B$5,IF(ISNUMBER(SEARCH("PINT",$C115)),Assumptions!$B$6,Assumptions!$B$7)))))</f>
        <v>4</v>
      </c>
      <c r="I115" s="27">
        <f t="shared" si="3"/>
        <v>136</v>
      </c>
    </row>
    <row r="116" spans="1:9" x14ac:dyDescent="0.2">
      <c r="A116" s="3" t="s">
        <v>6</v>
      </c>
      <c r="B116" s="3" t="s">
        <v>261</v>
      </c>
      <c r="C116" s="3" t="s">
        <v>260</v>
      </c>
      <c r="D116" s="3" t="s">
        <v>96</v>
      </c>
      <c r="E116" s="4">
        <v>16</v>
      </c>
      <c r="F116" s="5">
        <f>IFERROR(3958.8*ACOS(MIN(1,MAX(-1,SIN(RADIANS('ZIP Coordinates'!$C$2))*SIN(RADIANS(INDEX('ZIP Coordinates'!$C:$C,MATCH($A116,'ZIP Coordinates'!$A:$A,0))))+COS(RADIANS('ZIP Coordinates'!$C$2))*COS(RADIANS(INDEX('ZIP Coordinates'!$C:$C,MATCH($A116,'ZIP Coordinates'!$A:$A,0))))*COS(RADIANS(INDEX('ZIP Coordinates'!$D:$D,MATCH($A116,'ZIP Coordinates'!$A:$A,0))-'ZIP Coordinates'!$D$2))))),"N/A")</f>
        <v>170.00670451695677</v>
      </c>
      <c r="G116" s="3" t="str">
        <f t="shared" si="2"/>
        <v>150-199 mi</v>
      </c>
      <c r="H116" s="27">
        <f>IF(RIGHT($B116,1)="P",1,IF(ISNUMBER(SEARCH("HALF GALLON",$C116)),Assumptions!$B$4,IF(ISNUMBER(SEARCH("GALLON",$C116)),Assumptions!$B$3,IF(ISNUMBER(SEARCH("QUART",$C116)),Assumptions!$B$5,IF(ISNUMBER(SEARCH("PINT",$C116)),Assumptions!$B$6,Assumptions!$B$7)))))</f>
        <v>1</v>
      </c>
      <c r="I116" s="27">
        <f t="shared" si="3"/>
        <v>16</v>
      </c>
    </row>
    <row r="117" spans="1:9" x14ac:dyDescent="0.2">
      <c r="A117" s="3" t="s">
        <v>6</v>
      </c>
      <c r="B117" s="3" t="s">
        <v>265</v>
      </c>
      <c r="C117" s="3" t="s">
        <v>266</v>
      </c>
      <c r="D117" s="3" t="s">
        <v>173</v>
      </c>
      <c r="E117" s="4">
        <v>1</v>
      </c>
      <c r="F117" s="5">
        <f>IFERROR(3958.8*ACOS(MIN(1,MAX(-1,SIN(RADIANS('ZIP Coordinates'!$C$2))*SIN(RADIANS(INDEX('ZIP Coordinates'!$C:$C,MATCH($A117,'ZIP Coordinates'!$A:$A,0))))+COS(RADIANS('ZIP Coordinates'!$C$2))*COS(RADIANS(INDEX('ZIP Coordinates'!$C:$C,MATCH($A117,'ZIP Coordinates'!$A:$A,0))))*COS(RADIANS(INDEX('ZIP Coordinates'!$D:$D,MATCH($A117,'ZIP Coordinates'!$A:$A,0))-'ZIP Coordinates'!$D$2))))),"N/A")</f>
        <v>170.00670451695677</v>
      </c>
      <c r="G117" s="3" t="str">
        <f t="shared" si="2"/>
        <v>150-199 mi</v>
      </c>
      <c r="H117" s="27">
        <f>IF(RIGHT($B117,1)="P",1,IF(ISNUMBER(SEARCH("HALF GALLON",$C117)),Assumptions!$B$4,IF(ISNUMBER(SEARCH("GALLON",$C117)),Assumptions!$B$3,IF(ISNUMBER(SEARCH("QUART",$C117)),Assumptions!$B$5,IF(ISNUMBER(SEARCH("PINT",$C117)),Assumptions!$B$6,Assumptions!$B$7)))))</f>
        <v>1</v>
      </c>
      <c r="I117" s="27">
        <f t="shared" si="3"/>
        <v>1</v>
      </c>
    </row>
    <row r="118" spans="1:9" x14ac:dyDescent="0.2">
      <c r="A118" s="3" t="s">
        <v>6</v>
      </c>
      <c r="B118" s="3" t="s">
        <v>267</v>
      </c>
      <c r="C118" s="3" t="s">
        <v>268</v>
      </c>
      <c r="D118" s="3" t="s">
        <v>96</v>
      </c>
      <c r="E118" s="4">
        <v>11</v>
      </c>
      <c r="F118" s="5">
        <f>IFERROR(3958.8*ACOS(MIN(1,MAX(-1,SIN(RADIANS('ZIP Coordinates'!$C$2))*SIN(RADIANS(INDEX('ZIP Coordinates'!$C:$C,MATCH($A118,'ZIP Coordinates'!$A:$A,0))))+COS(RADIANS('ZIP Coordinates'!$C$2))*COS(RADIANS(INDEX('ZIP Coordinates'!$C:$C,MATCH($A118,'ZIP Coordinates'!$A:$A,0))))*COS(RADIANS(INDEX('ZIP Coordinates'!$D:$D,MATCH($A118,'ZIP Coordinates'!$A:$A,0))-'ZIP Coordinates'!$D$2))))),"N/A")</f>
        <v>170.00670451695677</v>
      </c>
      <c r="G118" s="3" t="str">
        <f t="shared" si="2"/>
        <v>150-199 mi</v>
      </c>
      <c r="H118" s="27">
        <f>IF(RIGHT($B118,1)="P",1,IF(ISNUMBER(SEARCH("HALF GALLON",$C118)),Assumptions!$B$4,IF(ISNUMBER(SEARCH("GALLON",$C118)),Assumptions!$B$3,IF(ISNUMBER(SEARCH("QUART",$C118)),Assumptions!$B$5,IF(ISNUMBER(SEARCH("PINT",$C118)),Assumptions!$B$6,Assumptions!$B$7)))))</f>
        <v>4</v>
      </c>
      <c r="I118" s="27">
        <f t="shared" si="3"/>
        <v>44</v>
      </c>
    </row>
    <row r="119" spans="1:9" x14ac:dyDescent="0.2">
      <c r="A119" s="3" t="s">
        <v>6</v>
      </c>
      <c r="B119" s="3" t="s">
        <v>269</v>
      </c>
      <c r="C119" s="3" t="s">
        <v>268</v>
      </c>
      <c r="D119" s="3" t="s">
        <v>171</v>
      </c>
      <c r="E119" s="4">
        <v>20</v>
      </c>
      <c r="F119" s="5">
        <f>IFERROR(3958.8*ACOS(MIN(1,MAX(-1,SIN(RADIANS('ZIP Coordinates'!$C$2))*SIN(RADIANS(INDEX('ZIP Coordinates'!$C:$C,MATCH($A119,'ZIP Coordinates'!$A:$A,0))))+COS(RADIANS('ZIP Coordinates'!$C$2))*COS(RADIANS(INDEX('ZIP Coordinates'!$C:$C,MATCH($A119,'ZIP Coordinates'!$A:$A,0))))*COS(RADIANS(INDEX('ZIP Coordinates'!$D:$D,MATCH($A119,'ZIP Coordinates'!$A:$A,0))-'ZIP Coordinates'!$D$2))))),"N/A")</f>
        <v>170.00670451695677</v>
      </c>
      <c r="G119" s="3" t="str">
        <f t="shared" si="2"/>
        <v>150-199 mi</v>
      </c>
      <c r="H119" s="27">
        <f>IF(RIGHT($B119,1)="P",1,IF(ISNUMBER(SEARCH("HALF GALLON",$C119)),Assumptions!$B$4,IF(ISNUMBER(SEARCH("GALLON",$C119)),Assumptions!$B$3,IF(ISNUMBER(SEARCH("QUART",$C119)),Assumptions!$B$5,IF(ISNUMBER(SEARCH("PINT",$C119)),Assumptions!$B$6,Assumptions!$B$7)))))</f>
        <v>1</v>
      </c>
      <c r="I119" s="27">
        <f t="shared" si="3"/>
        <v>20</v>
      </c>
    </row>
    <row r="120" spans="1:9" x14ac:dyDescent="0.2">
      <c r="A120" s="3" t="s">
        <v>6</v>
      </c>
      <c r="B120" s="3" t="s">
        <v>270</v>
      </c>
      <c r="C120" s="3" t="s">
        <v>242</v>
      </c>
      <c r="D120" s="3" t="s">
        <v>96</v>
      </c>
      <c r="E120" s="4">
        <v>3</v>
      </c>
      <c r="F120" s="5">
        <f>IFERROR(3958.8*ACOS(MIN(1,MAX(-1,SIN(RADIANS('ZIP Coordinates'!$C$2))*SIN(RADIANS(INDEX('ZIP Coordinates'!$C:$C,MATCH($A120,'ZIP Coordinates'!$A:$A,0))))+COS(RADIANS('ZIP Coordinates'!$C$2))*COS(RADIANS(INDEX('ZIP Coordinates'!$C:$C,MATCH($A120,'ZIP Coordinates'!$A:$A,0))))*COS(RADIANS(INDEX('ZIP Coordinates'!$D:$D,MATCH($A120,'ZIP Coordinates'!$A:$A,0))-'ZIP Coordinates'!$D$2))))),"N/A")</f>
        <v>170.00670451695677</v>
      </c>
      <c r="G120" s="3" t="str">
        <f t="shared" si="2"/>
        <v>150-199 mi</v>
      </c>
      <c r="H120" s="27">
        <f>IF(RIGHT($B120,1)="P",1,IF(ISNUMBER(SEARCH("HALF GALLON",$C120)),Assumptions!$B$4,IF(ISNUMBER(SEARCH("GALLON",$C120)),Assumptions!$B$3,IF(ISNUMBER(SEARCH("QUART",$C120)),Assumptions!$B$5,IF(ISNUMBER(SEARCH("PINT",$C120)),Assumptions!$B$6,Assumptions!$B$7)))))</f>
        <v>9</v>
      </c>
      <c r="I120" s="27">
        <f t="shared" si="3"/>
        <v>27</v>
      </c>
    </row>
    <row r="121" spans="1:9" x14ac:dyDescent="0.2">
      <c r="A121" s="3" t="s">
        <v>6</v>
      </c>
      <c r="B121" s="3" t="s">
        <v>241</v>
      </c>
      <c r="C121" s="3" t="s">
        <v>242</v>
      </c>
      <c r="D121" s="3" t="s">
        <v>96</v>
      </c>
      <c r="E121" s="4">
        <v>94</v>
      </c>
      <c r="F121" s="5">
        <f>IFERROR(3958.8*ACOS(MIN(1,MAX(-1,SIN(RADIANS('ZIP Coordinates'!$C$2))*SIN(RADIANS(INDEX('ZIP Coordinates'!$C:$C,MATCH($A121,'ZIP Coordinates'!$A:$A,0))))+COS(RADIANS('ZIP Coordinates'!$C$2))*COS(RADIANS(INDEX('ZIP Coordinates'!$C:$C,MATCH($A121,'ZIP Coordinates'!$A:$A,0))))*COS(RADIANS(INDEX('ZIP Coordinates'!$D:$D,MATCH($A121,'ZIP Coordinates'!$A:$A,0))-'ZIP Coordinates'!$D$2))))),"N/A")</f>
        <v>170.00670451695677</v>
      </c>
      <c r="G121" s="3" t="str">
        <f t="shared" si="2"/>
        <v>150-199 mi</v>
      </c>
      <c r="H121" s="27">
        <f>IF(RIGHT($B121,1)="P",1,IF(ISNUMBER(SEARCH("HALF GALLON",$C121)),Assumptions!$B$4,IF(ISNUMBER(SEARCH("GALLON",$C121)),Assumptions!$B$3,IF(ISNUMBER(SEARCH("QUART",$C121)),Assumptions!$B$5,IF(ISNUMBER(SEARCH("PINT",$C121)),Assumptions!$B$6,Assumptions!$B$7)))))</f>
        <v>1</v>
      </c>
      <c r="I121" s="27">
        <f t="shared" si="3"/>
        <v>94</v>
      </c>
    </row>
    <row r="122" spans="1:9" x14ac:dyDescent="0.2">
      <c r="A122" s="3" t="s">
        <v>6</v>
      </c>
      <c r="B122" s="3" t="s">
        <v>271</v>
      </c>
      <c r="C122" s="3" t="s">
        <v>244</v>
      </c>
      <c r="D122" s="3" t="s">
        <v>96</v>
      </c>
      <c r="E122" s="4">
        <v>1</v>
      </c>
      <c r="F122" s="5">
        <f>IFERROR(3958.8*ACOS(MIN(1,MAX(-1,SIN(RADIANS('ZIP Coordinates'!$C$2))*SIN(RADIANS(INDEX('ZIP Coordinates'!$C:$C,MATCH($A122,'ZIP Coordinates'!$A:$A,0))))+COS(RADIANS('ZIP Coordinates'!$C$2))*COS(RADIANS(INDEX('ZIP Coordinates'!$C:$C,MATCH($A122,'ZIP Coordinates'!$A:$A,0))))*COS(RADIANS(INDEX('ZIP Coordinates'!$D:$D,MATCH($A122,'ZIP Coordinates'!$A:$A,0))-'ZIP Coordinates'!$D$2))))),"N/A")</f>
        <v>170.00670451695677</v>
      </c>
      <c r="G122" s="3" t="str">
        <f t="shared" si="2"/>
        <v>150-199 mi</v>
      </c>
      <c r="H122" s="27">
        <f>IF(RIGHT($B122,1)="P",1,IF(ISNUMBER(SEARCH("HALF GALLON",$C122)),Assumptions!$B$4,IF(ISNUMBER(SEARCH("GALLON",$C122)),Assumptions!$B$3,IF(ISNUMBER(SEARCH("QUART",$C122)),Assumptions!$B$5,IF(ISNUMBER(SEARCH("PINT",$C122)),Assumptions!$B$6,Assumptions!$B$7)))))</f>
        <v>9</v>
      </c>
      <c r="I122" s="27">
        <f t="shared" si="3"/>
        <v>9</v>
      </c>
    </row>
    <row r="123" spans="1:9" x14ac:dyDescent="0.2">
      <c r="A123" s="3" t="s">
        <v>6</v>
      </c>
      <c r="B123" s="3" t="s">
        <v>243</v>
      </c>
      <c r="C123" s="3" t="s">
        <v>244</v>
      </c>
      <c r="D123" s="3" t="s">
        <v>96</v>
      </c>
      <c r="E123" s="4">
        <v>90</v>
      </c>
      <c r="F123" s="5">
        <f>IFERROR(3958.8*ACOS(MIN(1,MAX(-1,SIN(RADIANS('ZIP Coordinates'!$C$2))*SIN(RADIANS(INDEX('ZIP Coordinates'!$C:$C,MATCH($A123,'ZIP Coordinates'!$A:$A,0))))+COS(RADIANS('ZIP Coordinates'!$C$2))*COS(RADIANS(INDEX('ZIP Coordinates'!$C:$C,MATCH($A123,'ZIP Coordinates'!$A:$A,0))))*COS(RADIANS(INDEX('ZIP Coordinates'!$D:$D,MATCH($A123,'ZIP Coordinates'!$A:$A,0))-'ZIP Coordinates'!$D$2))))),"N/A")</f>
        <v>170.00670451695677</v>
      </c>
      <c r="G123" s="3" t="str">
        <f t="shared" si="2"/>
        <v>150-199 mi</v>
      </c>
      <c r="H123" s="27">
        <f>IF(RIGHT($B123,1)="P",1,IF(ISNUMBER(SEARCH("HALF GALLON",$C123)),Assumptions!$B$4,IF(ISNUMBER(SEARCH("GALLON",$C123)),Assumptions!$B$3,IF(ISNUMBER(SEARCH("QUART",$C123)),Assumptions!$B$5,IF(ISNUMBER(SEARCH("PINT",$C123)),Assumptions!$B$6,Assumptions!$B$7)))))</f>
        <v>1</v>
      </c>
      <c r="I123" s="27">
        <f t="shared" si="3"/>
        <v>90</v>
      </c>
    </row>
    <row r="124" spans="1:9" x14ac:dyDescent="0.2">
      <c r="A124" s="3" t="s">
        <v>6</v>
      </c>
      <c r="B124" s="3" t="s">
        <v>272</v>
      </c>
      <c r="C124" s="3" t="s">
        <v>273</v>
      </c>
      <c r="D124" s="3" t="s">
        <v>171</v>
      </c>
      <c r="E124" s="4">
        <v>9</v>
      </c>
      <c r="F124" s="5">
        <f>IFERROR(3958.8*ACOS(MIN(1,MAX(-1,SIN(RADIANS('ZIP Coordinates'!$C$2))*SIN(RADIANS(INDEX('ZIP Coordinates'!$C:$C,MATCH($A124,'ZIP Coordinates'!$A:$A,0))))+COS(RADIANS('ZIP Coordinates'!$C$2))*COS(RADIANS(INDEX('ZIP Coordinates'!$C:$C,MATCH($A124,'ZIP Coordinates'!$A:$A,0))))*COS(RADIANS(INDEX('ZIP Coordinates'!$D:$D,MATCH($A124,'ZIP Coordinates'!$A:$A,0))-'ZIP Coordinates'!$D$2))))),"N/A")</f>
        <v>170.00670451695677</v>
      </c>
      <c r="G124" s="3" t="str">
        <f t="shared" si="2"/>
        <v>150-199 mi</v>
      </c>
      <c r="H124" s="27">
        <f>IF(RIGHT($B124,1)="P",1,IF(ISNUMBER(SEARCH("HALF GALLON",$C124)),Assumptions!$B$4,IF(ISNUMBER(SEARCH("GALLON",$C124)),Assumptions!$B$3,IF(ISNUMBER(SEARCH("QUART",$C124)),Assumptions!$B$5,IF(ISNUMBER(SEARCH("PINT",$C124)),Assumptions!$B$6,Assumptions!$B$7)))))</f>
        <v>1</v>
      </c>
      <c r="I124" s="27">
        <f t="shared" si="3"/>
        <v>9</v>
      </c>
    </row>
    <row r="125" spans="1:9" x14ac:dyDescent="0.2">
      <c r="A125" s="3" t="s">
        <v>6</v>
      </c>
      <c r="B125" s="3" t="s">
        <v>276</v>
      </c>
      <c r="C125" s="3" t="s">
        <v>275</v>
      </c>
      <c r="D125" s="3" t="s">
        <v>96</v>
      </c>
      <c r="E125" s="4">
        <v>81</v>
      </c>
      <c r="F125" s="5">
        <f>IFERROR(3958.8*ACOS(MIN(1,MAX(-1,SIN(RADIANS('ZIP Coordinates'!$C$2))*SIN(RADIANS(INDEX('ZIP Coordinates'!$C:$C,MATCH($A125,'ZIP Coordinates'!$A:$A,0))))+COS(RADIANS('ZIP Coordinates'!$C$2))*COS(RADIANS(INDEX('ZIP Coordinates'!$C:$C,MATCH($A125,'ZIP Coordinates'!$A:$A,0))))*COS(RADIANS(INDEX('ZIP Coordinates'!$D:$D,MATCH($A125,'ZIP Coordinates'!$A:$A,0))-'ZIP Coordinates'!$D$2))))),"N/A")</f>
        <v>170.00670451695677</v>
      </c>
      <c r="G125" s="3" t="str">
        <f t="shared" si="2"/>
        <v>150-199 mi</v>
      </c>
      <c r="H125" s="27">
        <f>IF(RIGHT($B125,1)="P",1,IF(ISNUMBER(SEARCH("HALF GALLON",$C125)),Assumptions!$B$4,IF(ISNUMBER(SEARCH("GALLON",$C125)),Assumptions!$B$3,IF(ISNUMBER(SEARCH("QUART",$C125)),Assumptions!$B$5,IF(ISNUMBER(SEARCH("PINT",$C125)),Assumptions!$B$6,Assumptions!$B$7)))))</f>
        <v>1</v>
      </c>
      <c r="I125" s="27">
        <f t="shared" si="3"/>
        <v>81</v>
      </c>
    </row>
    <row r="126" spans="1:9" x14ac:dyDescent="0.2">
      <c r="A126" s="3" t="s">
        <v>6</v>
      </c>
      <c r="B126" s="3" t="s">
        <v>245</v>
      </c>
      <c r="C126" s="3" t="s">
        <v>246</v>
      </c>
      <c r="D126" s="3" t="s">
        <v>171</v>
      </c>
      <c r="E126" s="4">
        <v>5</v>
      </c>
      <c r="F126" s="5">
        <f>IFERROR(3958.8*ACOS(MIN(1,MAX(-1,SIN(RADIANS('ZIP Coordinates'!$C$2))*SIN(RADIANS(INDEX('ZIP Coordinates'!$C:$C,MATCH($A126,'ZIP Coordinates'!$A:$A,0))))+COS(RADIANS('ZIP Coordinates'!$C$2))*COS(RADIANS(INDEX('ZIP Coordinates'!$C:$C,MATCH($A126,'ZIP Coordinates'!$A:$A,0))))*COS(RADIANS(INDEX('ZIP Coordinates'!$D:$D,MATCH($A126,'ZIP Coordinates'!$A:$A,0))-'ZIP Coordinates'!$D$2))))),"N/A")</f>
        <v>170.00670451695677</v>
      </c>
      <c r="G126" s="3" t="str">
        <f t="shared" si="2"/>
        <v>150-199 mi</v>
      </c>
      <c r="H126" s="27">
        <f>IF(RIGHT($B126,1)="P",1,IF(ISNUMBER(SEARCH("HALF GALLON",$C126)),Assumptions!$B$4,IF(ISNUMBER(SEARCH("GALLON",$C126)),Assumptions!$B$3,IF(ISNUMBER(SEARCH("QUART",$C126)),Assumptions!$B$5,IF(ISNUMBER(SEARCH("PINT",$C126)),Assumptions!$B$6,Assumptions!$B$7)))))</f>
        <v>20</v>
      </c>
      <c r="I126" s="27">
        <f t="shared" si="3"/>
        <v>100</v>
      </c>
    </row>
    <row r="127" spans="1:9" x14ac:dyDescent="0.2">
      <c r="A127" s="3" t="s">
        <v>6</v>
      </c>
      <c r="B127" s="3" t="s">
        <v>247</v>
      </c>
      <c r="C127" s="3" t="s">
        <v>246</v>
      </c>
      <c r="D127" s="3" t="s">
        <v>96</v>
      </c>
      <c r="E127" s="4">
        <v>178</v>
      </c>
      <c r="F127" s="5">
        <f>IFERROR(3958.8*ACOS(MIN(1,MAX(-1,SIN(RADIANS('ZIP Coordinates'!$C$2))*SIN(RADIANS(INDEX('ZIP Coordinates'!$C:$C,MATCH($A127,'ZIP Coordinates'!$A:$A,0))))+COS(RADIANS('ZIP Coordinates'!$C$2))*COS(RADIANS(INDEX('ZIP Coordinates'!$C:$C,MATCH($A127,'ZIP Coordinates'!$A:$A,0))))*COS(RADIANS(INDEX('ZIP Coordinates'!$D:$D,MATCH($A127,'ZIP Coordinates'!$A:$A,0))-'ZIP Coordinates'!$D$2))))),"N/A")</f>
        <v>170.00670451695677</v>
      </c>
      <c r="G127" s="3" t="str">
        <f t="shared" si="2"/>
        <v>150-199 mi</v>
      </c>
      <c r="H127" s="27">
        <f>IF(RIGHT($B127,1)="P",1,IF(ISNUMBER(SEARCH("HALF GALLON",$C127)),Assumptions!$B$4,IF(ISNUMBER(SEARCH("GALLON",$C127)),Assumptions!$B$3,IF(ISNUMBER(SEARCH("QUART",$C127)),Assumptions!$B$5,IF(ISNUMBER(SEARCH("PINT",$C127)),Assumptions!$B$6,Assumptions!$B$7)))))</f>
        <v>1</v>
      </c>
      <c r="I127" s="27">
        <f t="shared" si="3"/>
        <v>178</v>
      </c>
    </row>
    <row r="128" spans="1:9" x14ac:dyDescent="0.2">
      <c r="A128" s="3" t="s">
        <v>6</v>
      </c>
      <c r="B128" s="3" t="s">
        <v>248</v>
      </c>
      <c r="C128" s="3" t="s">
        <v>249</v>
      </c>
      <c r="D128" s="3" t="s">
        <v>171</v>
      </c>
      <c r="E128" s="4">
        <v>15</v>
      </c>
      <c r="F128" s="5">
        <f>IFERROR(3958.8*ACOS(MIN(1,MAX(-1,SIN(RADIANS('ZIP Coordinates'!$C$2))*SIN(RADIANS(INDEX('ZIP Coordinates'!$C:$C,MATCH($A128,'ZIP Coordinates'!$A:$A,0))))+COS(RADIANS('ZIP Coordinates'!$C$2))*COS(RADIANS(INDEX('ZIP Coordinates'!$C:$C,MATCH($A128,'ZIP Coordinates'!$A:$A,0))))*COS(RADIANS(INDEX('ZIP Coordinates'!$D:$D,MATCH($A128,'ZIP Coordinates'!$A:$A,0))-'ZIP Coordinates'!$D$2))))),"N/A")</f>
        <v>170.00670451695677</v>
      </c>
      <c r="G128" s="3" t="str">
        <f t="shared" si="2"/>
        <v>150-199 mi</v>
      </c>
      <c r="H128" s="27">
        <f>IF(RIGHT($B128,1)="P",1,IF(ISNUMBER(SEARCH("HALF GALLON",$C128)),Assumptions!$B$4,IF(ISNUMBER(SEARCH("GALLON",$C128)),Assumptions!$B$3,IF(ISNUMBER(SEARCH("QUART",$C128)),Assumptions!$B$5,IF(ISNUMBER(SEARCH("PINT",$C128)),Assumptions!$B$6,Assumptions!$B$7)))))</f>
        <v>20</v>
      </c>
      <c r="I128" s="27">
        <f t="shared" si="3"/>
        <v>300</v>
      </c>
    </row>
    <row r="129" spans="1:9" x14ac:dyDescent="0.2">
      <c r="A129" s="3" t="s">
        <v>6</v>
      </c>
      <c r="B129" s="3" t="s">
        <v>250</v>
      </c>
      <c r="C129" s="3" t="s">
        <v>249</v>
      </c>
      <c r="D129" s="3" t="s">
        <v>96</v>
      </c>
      <c r="E129" s="4">
        <v>163</v>
      </c>
      <c r="F129" s="5">
        <f>IFERROR(3958.8*ACOS(MIN(1,MAX(-1,SIN(RADIANS('ZIP Coordinates'!$C$2))*SIN(RADIANS(INDEX('ZIP Coordinates'!$C:$C,MATCH($A129,'ZIP Coordinates'!$A:$A,0))))+COS(RADIANS('ZIP Coordinates'!$C$2))*COS(RADIANS(INDEX('ZIP Coordinates'!$C:$C,MATCH($A129,'ZIP Coordinates'!$A:$A,0))))*COS(RADIANS(INDEX('ZIP Coordinates'!$D:$D,MATCH($A129,'ZIP Coordinates'!$A:$A,0))-'ZIP Coordinates'!$D$2))))),"N/A")</f>
        <v>170.00670451695677</v>
      </c>
      <c r="G129" s="3" t="str">
        <f t="shared" si="2"/>
        <v>150-199 mi</v>
      </c>
      <c r="H129" s="27">
        <f>IF(RIGHT($B129,1)="P",1,IF(ISNUMBER(SEARCH("HALF GALLON",$C129)),Assumptions!$B$4,IF(ISNUMBER(SEARCH("GALLON",$C129)),Assumptions!$B$3,IF(ISNUMBER(SEARCH("QUART",$C129)),Assumptions!$B$5,IF(ISNUMBER(SEARCH("PINT",$C129)),Assumptions!$B$6,Assumptions!$B$7)))))</f>
        <v>1</v>
      </c>
      <c r="I129" s="27">
        <f t="shared" si="3"/>
        <v>163</v>
      </c>
    </row>
    <row r="130" spans="1:9" x14ac:dyDescent="0.2">
      <c r="A130" s="3" t="s">
        <v>6</v>
      </c>
      <c r="B130" s="3" t="s">
        <v>281</v>
      </c>
      <c r="C130" s="3" t="s">
        <v>252</v>
      </c>
      <c r="D130" s="3" t="s">
        <v>173</v>
      </c>
      <c r="E130" s="4">
        <v>1</v>
      </c>
      <c r="F130" s="5">
        <f>IFERROR(3958.8*ACOS(MIN(1,MAX(-1,SIN(RADIANS('ZIP Coordinates'!$C$2))*SIN(RADIANS(INDEX('ZIP Coordinates'!$C:$C,MATCH($A130,'ZIP Coordinates'!$A:$A,0))))+COS(RADIANS('ZIP Coordinates'!$C$2))*COS(RADIANS(INDEX('ZIP Coordinates'!$C:$C,MATCH($A130,'ZIP Coordinates'!$A:$A,0))))*COS(RADIANS(INDEX('ZIP Coordinates'!$D:$D,MATCH($A130,'ZIP Coordinates'!$A:$A,0))-'ZIP Coordinates'!$D$2))))),"N/A")</f>
        <v>170.00670451695677</v>
      </c>
      <c r="G130" s="3" t="str">
        <f t="shared" ref="G130:G193" si="4">IF($F130="N/A","Unknown",IF($F130&lt;50,"0-49 mi",IF($F130&lt;100,"50-99 mi",IF($F130&lt;150,"100-149 mi",IF($F130&lt;200,"150-199 mi","200+ mi")))))</f>
        <v>150-199 mi</v>
      </c>
      <c r="H130" s="27">
        <f>IF(RIGHT($B130,1)="P",1,IF(ISNUMBER(SEARCH("HALF GALLON",$C130)),Assumptions!$B$4,IF(ISNUMBER(SEARCH("GALLON",$C130)),Assumptions!$B$3,IF(ISNUMBER(SEARCH("QUART",$C130)),Assumptions!$B$5,IF(ISNUMBER(SEARCH("PINT",$C130)),Assumptions!$B$6,Assumptions!$B$7)))))</f>
        <v>20</v>
      </c>
      <c r="I130" s="27">
        <f t="shared" si="3"/>
        <v>20</v>
      </c>
    </row>
    <row r="131" spans="1:9" x14ac:dyDescent="0.2">
      <c r="A131" s="3" t="s">
        <v>6</v>
      </c>
      <c r="B131" s="3" t="s">
        <v>251</v>
      </c>
      <c r="C131" s="3" t="s">
        <v>252</v>
      </c>
      <c r="D131" s="3" t="s">
        <v>96</v>
      </c>
      <c r="E131" s="4">
        <v>145</v>
      </c>
      <c r="F131" s="5">
        <f>IFERROR(3958.8*ACOS(MIN(1,MAX(-1,SIN(RADIANS('ZIP Coordinates'!$C$2))*SIN(RADIANS(INDEX('ZIP Coordinates'!$C:$C,MATCH($A131,'ZIP Coordinates'!$A:$A,0))))+COS(RADIANS('ZIP Coordinates'!$C$2))*COS(RADIANS(INDEX('ZIP Coordinates'!$C:$C,MATCH($A131,'ZIP Coordinates'!$A:$A,0))))*COS(RADIANS(INDEX('ZIP Coordinates'!$D:$D,MATCH($A131,'ZIP Coordinates'!$A:$A,0))-'ZIP Coordinates'!$D$2))))),"N/A")</f>
        <v>170.00670451695677</v>
      </c>
      <c r="G131" s="3" t="str">
        <f t="shared" si="4"/>
        <v>150-199 mi</v>
      </c>
      <c r="H131" s="27">
        <f>IF(RIGHT($B131,1)="P",1,IF(ISNUMBER(SEARCH("HALF GALLON",$C131)),Assumptions!$B$4,IF(ISNUMBER(SEARCH("GALLON",$C131)),Assumptions!$B$3,IF(ISNUMBER(SEARCH("QUART",$C131)),Assumptions!$B$5,IF(ISNUMBER(SEARCH("PINT",$C131)),Assumptions!$B$6,Assumptions!$B$7)))))</f>
        <v>1</v>
      </c>
      <c r="I131" s="27">
        <f t="shared" ref="I131:I194" si="5">$E131*$H131</f>
        <v>145</v>
      </c>
    </row>
    <row r="132" spans="1:9" x14ac:dyDescent="0.2">
      <c r="A132" s="3" t="s">
        <v>6</v>
      </c>
      <c r="B132" s="3" t="s">
        <v>282</v>
      </c>
      <c r="C132" s="3" t="s">
        <v>283</v>
      </c>
      <c r="D132" s="3" t="s">
        <v>96</v>
      </c>
      <c r="E132" s="4">
        <v>18</v>
      </c>
      <c r="F132" s="5">
        <f>IFERROR(3958.8*ACOS(MIN(1,MAX(-1,SIN(RADIANS('ZIP Coordinates'!$C$2))*SIN(RADIANS(INDEX('ZIP Coordinates'!$C:$C,MATCH($A132,'ZIP Coordinates'!$A:$A,0))))+COS(RADIANS('ZIP Coordinates'!$C$2))*COS(RADIANS(INDEX('ZIP Coordinates'!$C:$C,MATCH($A132,'ZIP Coordinates'!$A:$A,0))))*COS(RADIANS(INDEX('ZIP Coordinates'!$D:$D,MATCH($A132,'ZIP Coordinates'!$A:$A,0))-'ZIP Coordinates'!$D$2))))),"N/A")</f>
        <v>170.00670451695677</v>
      </c>
      <c r="G132" s="3" t="str">
        <f t="shared" si="4"/>
        <v>150-199 mi</v>
      </c>
      <c r="H132" s="27">
        <f>IF(RIGHT($B132,1)="P",1,IF(ISNUMBER(SEARCH("HALF GALLON",$C132)),Assumptions!$B$4,IF(ISNUMBER(SEARCH("GALLON",$C132)),Assumptions!$B$3,IF(ISNUMBER(SEARCH("QUART",$C132)),Assumptions!$B$5,IF(ISNUMBER(SEARCH("PINT",$C132)),Assumptions!$B$6,Assumptions!$B$7)))))</f>
        <v>1</v>
      </c>
      <c r="I132" s="27">
        <f t="shared" si="5"/>
        <v>18</v>
      </c>
    </row>
    <row r="133" spans="1:9" x14ac:dyDescent="0.2">
      <c r="A133" s="3" t="s">
        <v>6</v>
      </c>
      <c r="B133" s="3" t="s">
        <v>284</v>
      </c>
      <c r="C133" s="3" t="s">
        <v>285</v>
      </c>
      <c r="D133" s="3" t="s">
        <v>173</v>
      </c>
      <c r="E133" s="4">
        <v>11</v>
      </c>
      <c r="F133" s="5">
        <f>IFERROR(3958.8*ACOS(MIN(1,MAX(-1,SIN(RADIANS('ZIP Coordinates'!$C$2))*SIN(RADIANS(INDEX('ZIP Coordinates'!$C:$C,MATCH($A133,'ZIP Coordinates'!$A:$A,0))))+COS(RADIANS('ZIP Coordinates'!$C$2))*COS(RADIANS(INDEX('ZIP Coordinates'!$C:$C,MATCH($A133,'ZIP Coordinates'!$A:$A,0))))*COS(RADIANS(INDEX('ZIP Coordinates'!$D:$D,MATCH($A133,'ZIP Coordinates'!$A:$A,0))-'ZIP Coordinates'!$D$2))))),"N/A")</f>
        <v>170.00670451695677</v>
      </c>
      <c r="G133" s="3" t="str">
        <f t="shared" si="4"/>
        <v>150-199 mi</v>
      </c>
      <c r="H133" s="27">
        <f>IF(RIGHT($B133,1)="P",1,IF(ISNUMBER(SEARCH("HALF GALLON",$C133)),Assumptions!$B$4,IF(ISNUMBER(SEARCH("GALLON",$C133)),Assumptions!$B$3,IF(ISNUMBER(SEARCH("QUART",$C133)),Assumptions!$B$5,IF(ISNUMBER(SEARCH("PINT",$C133)),Assumptions!$B$6,Assumptions!$B$7)))))</f>
        <v>1</v>
      </c>
      <c r="I133" s="27">
        <f t="shared" si="5"/>
        <v>11</v>
      </c>
    </row>
    <row r="134" spans="1:9" x14ac:dyDescent="0.2">
      <c r="A134" s="3" t="s">
        <v>6</v>
      </c>
      <c r="B134" s="3" t="s">
        <v>286</v>
      </c>
      <c r="C134" s="3" t="s">
        <v>287</v>
      </c>
      <c r="D134" s="3" t="s">
        <v>96</v>
      </c>
      <c r="E134" s="4">
        <v>41</v>
      </c>
      <c r="F134" s="5">
        <f>IFERROR(3958.8*ACOS(MIN(1,MAX(-1,SIN(RADIANS('ZIP Coordinates'!$C$2))*SIN(RADIANS(INDEX('ZIP Coordinates'!$C:$C,MATCH($A134,'ZIP Coordinates'!$A:$A,0))))+COS(RADIANS('ZIP Coordinates'!$C$2))*COS(RADIANS(INDEX('ZIP Coordinates'!$C:$C,MATCH($A134,'ZIP Coordinates'!$A:$A,0))))*COS(RADIANS(INDEX('ZIP Coordinates'!$D:$D,MATCH($A134,'ZIP Coordinates'!$A:$A,0))-'ZIP Coordinates'!$D$2))))),"N/A")</f>
        <v>170.00670451695677</v>
      </c>
      <c r="G134" s="3" t="str">
        <f t="shared" si="4"/>
        <v>150-199 mi</v>
      </c>
      <c r="H134" s="27">
        <f>IF(RIGHT($B134,1)="P",1,IF(ISNUMBER(SEARCH("HALF GALLON",$C134)),Assumptions!$B$4,IF(ISNUMBER(SEARCH("GALLON",$C134)),Assumptions!$B$3,IF(ISNUMBER(SEARCH("QUART",$C134)),Assumptions!$B$5,IF(ISNUMBER(SEARCH("PINT",$C134)),Assumptions!$B$6,Assumptions!$B$7)))))</f>
        <v>9</v>
      </c>
      <c r="I134" s="27">
        <f t="shared" si="5"/>
        <v>369</v>
      </c>
    </row>
    <row r="135" spans="1:9" x14ac:dyDescent="0.2">
      <c r="A135" s="3" t="s">
        <v>6</v>
      </c>
      <c r="B135" s="3" t="s">
        <v>288</v>
      </c>
      <c r="C135" s="3" t="s">
        <v>287</v>
      </c>
      <c r="D135" s="3" t="s">
        <v>96</v>
      </c>
      <c r="E135" s="4">
        <v>38</v>
      </c>
      <c r="F135" s="5">
        <f>IFERROR(3958.8*ACOS(MIN(1,MAX(-1,SIN(RADIANS('ZIP Coordinates'!$C$2))*SIN(RADIANS(INDEX('ZIP Coordinates'!$C:$C,MATCH($A135,'ZIP Coordinates'!$A:$A,0))))+COS(RADIANS('ZIP Coordinates'!$C$2))*COS(RADIANS(INDEX('ZIP Coordinates'!$C:$C,MATCH($A135,'ZIP Coordinates'!$A:$A,0))))*COS(RADIANS(INDEX('ZIP Coordinates'!$D:$D,MATCH($A135,'ZIP Coordinates'!$A:$A,0))-'ZIP Coordinates'!$D$2))))),"N/A")</f>
        <v>170.00670451695677</v>
      </c>
      <c r="G135" s="3" t="str">
        <f t="shared" si="4"/>
        <v>150-199 mi</v>
      </c>
      <c r="H135" s="27">
        <f>IF(RIGHT($B135,1)="P",1,IF(ISNUMBER(SEARCH("HALF GALLON",$C135)),Assumptions!$B$4,IF(ISNUMBER(SEARCH("GALLON",$C135)),Assumptions!$B$3,IF(ISNUMBER(SEARCH("QUART",$C135)),Assumptions!$B$5,IF(ISNUMBER(SEARCH("PINT",$C135)),Assumptions!$B$6,Assumptions!$B$7)))))</f>
        <v>1</v>
      </c>
      <c r="I135" s="27">
        <f t="shared" si="5"/>
        <v>38</v>
      </c>
    </row>
    <row r="136" spans="1:9" x14ac:dyDescent="0.2">
      <c r="A136" s="3" t="s">
        <v>6</v>
      </c>
      <c r="B136" s="3" t="s">
        <v>255</v>
      </c>
      <c r="C136" s="3" t="s">
        <v>256</v>
      </c>
      <c r="D136" s="3" t="s">
        <v>96</v>
      </c>
      <c r="E136" s="4">
        <v>83</v>
      </c>
      <c r="F136" s="5">
        <f>IFERROR(3958.8*ACOS(MIN(1,MAX(-1,SIN(RADIANS('ZIP Coordinates'!$C$2))*SIN(RADIANS(INDEX('ZIP Coordinates'!$C:$C,MATCH($A136,'ZIP Coordinates'!$A:$A,0))))+COS(RADIANS('ZIP Coordinates'!$C$2))*COS(RADIANS(INDEX('ZIP Coordinates'!$C:$C,MATCH($A136,'ZIP Coordinates'!$A:$A,0))))*COS(RADIANS(INDEX('ZIP Coordinates'!$D:$D,MATCH($A136,'ZIP Coordinates'!$A:$A,0))-'ZIP Coordinates'!$D$2))))),"N/A")</f>
        <v>170.00670451695677</v>
      </c>
      <c r="G136" s="3" t="str">
        <f t="shared" si="4"/>
        <v>150-199 mi</v>
      </c>
      <c r="H136" s="27">
        <f>IF(RIGHT($B136,1)="P",1,IF(ISNUMBER(SEARCH("HALF GALLON",$C136)),Assumptions!$B$4,IF(ISNUMBER(SEARCH("GALLON",$C136)),Assumptions!$B$3,IF(ISNUMBER(SEARCH("QUART",$C136)),Assumptions!$B$5,IF(ISNUMBER(SEARCH("PINT",$C136)),Assumptions!$B$6,Assumptions!$B$7)))))</f>
        <v>20</v>
      </c>
      <c r="I136" s="27">
        <f t="shared" si="5"/>
        <v>1660</v>
      </c>
    </row>
    <row r="137" spans="1:9" x14ac:dyDescent="0.2">
      <c r="A137" s="3" t="s">
        <v>6</v>
      </c>
      <c r="B137" s="3" t="s">
        <v>257</v>
      </c>
      <c r="C137" s="3" t="s">
        <v>256</v>
      </c>
      <c r="D137" s="3" t="s">
        <v>96</v>
      </c>
      <c r="E137" s="4">
        <v>73</v>
      </c>
      <c r="F137" s="5">
        <f>IFERROR(3958.8*ACOS(MIN(1,MAX(-1,SIN(RADIANS('ZIP Coordinates'!$C$2))*SIN(RADIANS(INDEX('ZIP Coordinates'!$C:$C,MATCH($A137,'ZIP Coordinates'!$A:$A,0))))+COS(RADIANS('ZIP Coordinates'!$C$2))*COS(RADIANS(INDEX('ZIP Coordinates'!$C:$C,MATCH($A137,'ZIP Coordinates'!$A:$A,0))))*COS(RADIANS(INDEX('ZIP Coordinates'!$D:$D,MATCH($A137,'ZIP Coordinates'!$A:$A,0))-'ZIP Coordinates'!$D$2))))),"N/A")</f>
        <v>170.00670451695677</v>
      </c>
      <c r="G137" s="3" t="str">
        <f t="shared" si="4"/>
        <v>150-199 mi</v>
      </c>
      <c r="H137" s="27">
        <f>IF(RIGHT($B137,1)="P",1,IF(ISNUMBER(SEARCH("HALF GALLON",$C137)),Assumptions!$B$4,IF(ISNUMBER(SEARCH("GALLON",$C137)),Assumptions!$B$3,IF(ISNUMBER(SEARCH("QUART",$C137)),Assumptions!$B$5,IF(ISNUMBER(SEARCH("PINT",$C137)),Assumptions!$B$6,Assumptions!$B$7)))))</f>
        <v>1</v>
      </c>
      <c r="I137" s="27">
        <f t="shared" si="5"/>
        <v>73</v>
      </c>
    </row>
    <row r="138" spans="1:9" x14ac:dyDescent="0.2">
      <c r="A138" s="3" t="s">
        <v>7</v>
      </c>
      <c r="B138" s="3" t="s">
        <v>258</v>
      </c>
      <c r="C138" s="3" t="s">
        <v>240</v>
      </c>
      <c r="D138" s="3" t="s">
        <v>121</v>
      </c>
      <c r="E138" s="4">
        <v>323</v>
      </c>
      <c r="F138" s="5">
        <f>IFERROR(3958.8*ACOS(MIN(1,MAX(-1,SIN(RADIANS('ZIP Coordinates'!$C$2))*SIN(RADIANS(INDEX('ZIP Coordinates'!$C:$C,MATCH($A138,'ZIP Coordinates'!$A:$A,0))))+COS(RADIANS('ZIP Coordinates'!$C$2))*COS(RADIANS(INDEX('ZIP Coordinates'!$C:$C,MATCH($A138,'ZIP Coordinates'!$A:$A,0))))*COS(RADIANS(INDEX('ZIP Coordinates'!$D:$D,MATCH($A138,'ZIP Coordinates'!$A:$A,0))-'ZIP Coordinates'!$D$2))))),"N/A")</f>
        <v>186.92635409257193</v>
      </c>
      <c r="G138" s="3" t="str">
        <f t="shared" si="4"/>
        <v>150-199 mi</v>
      </c>
      <c r="H138" s="27">
        <f>IF(RIGHT($B138,1)="P",1,IF(ISNUMBER(SEARCH("HALF GALLON",$C138)),Assumptions!$B$4,IF(ISNUMBER(SEARCH("GALLON",$C138)),Assumptions!$B$3,IF(ISNUMBER(SEARCH("QUART",$C138)),Assumptions!$B$5,IF(ISNUMBER(SEARCH("PINT",$C138)),Assumptions!$B$6,Assumptions!$B$7)))))</f>
        <v>4</v>
      </c>
      <c r="I138" s="27">
        <f t="shared" si="5"/>
        <v>1292</v>
      </c>
    </row>
    <row r="139" spans="1:9" x14ac:dyDescent="0.2">
      <c r="A139" s="3" t="s">
        <v>7</v>
      </c>
      <c r="B139" s="3" t="s">
        <v>258</v>
      </c>
      <c r="C139" s="3" t="s">
        <v>240</v>
      </c>
      <c r="D139" s="3" t="s">
        <v>220</v>
      </c>
      <c r="E139" s="4">
        <v>1</v>
      </c>
      <c r="F139" s="5">
        <f>IFERROR(3958.8*ACOS(MIN(1,MAX(-1,SIN(RADIANS('ZIP Coordinates'!$C$2))*SIN(RADIANS(INDEX('ZIP Coordinates'!$C:$C,MATCH($A139,'ZIP Coordinates'!$A:$A,0))))+COS(RADIANS('ZIP Coordinates'!$C$2))*COS(RADIANS(INDEX('ZIP Coordinates'!$C:$C,MATCH($A139,'ZIP Coordinates'!$A:$A,0))))*COS(RADIANS(INDEX('ZIP Coordinates'!$D:$D,MATCH($A139,'ZIP Coordinates'!$A:$A,0))-'ZIP Coordinates'!$D$2))))),"N/A")</f>
        <v>186.92635409257193</v>
      </c>
      <c r="G139" s="3" t="str">
        <f t="shared" si="4"/>
        <v>150-199 mi</v>
      </c>
      <c r="H139" s="27">
        <f>IF(RIGHT($B139,1)="P",1,IF(ISNUMBER(SEARCH("HALF GALLON",$C139)),Assumptions!$B$4,IF(ISNUMBER(SEARCH("GALLON",$C139)),Assumptions!$B$3,IF(ISNUMBER(SEARCH("QUART",$C139)),Assumptions!$B$5,IF(ISNUMBER(SEARCH("PINT",$C139)),Assumptions!$B$6,Assumptions!$B$7)))))</f>
        <v>4</v>
      </c>
      <c r="I139" s="27">
        <f t="shared" si="5"/>
        <v>4</v>
      </c>
    </row>
    <row r="140" spans="1:9" x14ac:dyDescent="0.2">
      <c r="A140" s="3" t="s">
        <v>7</v>
      </c>
      <c r="B140" s="3" t="s">
        <v>239</v>
      </c>
      <c r="C140" s="3" t="s">
        <v>240</v>
      </c>
      <c r="D140" s="3" t="s">
        <v>153</v>
      </c>
      <c r="E140" s="4">
        <v>9</v>
      </c>
      <c r="F140" s="5">
        <f>IFERROR(3958.8*ACOS(MIN(1,MAX(-1,SIN(RADIANS('ZIP Coordinates'!$C$2))*SIN(RADIANS(INDEX('ZIP Coordinates'!$C:$C,MATCH($A140,'ZIP Coordinates'!$A:$A,0))))+COS(RADIANS('ZIP Coordinates'!$C$2))*COS(RADIANS(INDEX('ZIP Coordinates'!$C:$C,MATCH($A140,'ZIP Coordinates'!$A:$A,0))))*COS(RADIANS(INDEX('ZIP Coordinates'!$D:$D,MATCH($A140,'ZIP Coordinates'!$A:$A,0))-'ZIP Coordinates'!$D$2))))),"N/A")</f>
        <v>186.92635409257193</v>
      </c>
      <c r="G140" s="3" t="str">
        <f t="shared" si="4"/>
        <v>150-199 mi</v>
      </c>
      <c r="H140" s="27">
        <f>IF(RIGHT($B140,1)="P",1,IF(ISNUMBER(SEARCH("HALF GALLON",$C140)),Assumptions!$B$4,IF(ISNUMBER(SEARCH("GALLON",$C140)),Assumptions!$B$3,IF(ISNUMBER(SEARCH("QUART",$C140)),Assumptions!$B$5,IF(ISNUMBER(SEARCH("PINT",$C140)),Assumptions!$B$6,Assumptions!$B$7)))))</f>
        <v>1</v>
      </c>
      <c r="I140" s="27">
        <f t="shared" si="5"/>
        <v>9</v>
      </c>
    </row>
    <row r="141" spans="1:9" x14ac:dyDescent="0.2">
      <c r="A141" s="3" t="s">
        <v>7</v>
      </c>
      <c r="B141" s="3" t="s">
        <v>259</v>
      </c>
      <c r="C141" s="3" t="s">
        <v>260</v>
      </c>
      <c r="D141" s="3" t="s">
        <v>153</v>
      </c>
      <c r="E141" s="4">
        <v>10</v>
      </c>
      <c r="F141" s="5">
        <f>IFERROR(3958.8*ACOS(MIN(1,MAX(-1,SIN(RADIANS('ZIP Coordinates'!$C$2))*SIN(RADIANS(INDEX('ZIP Coordinates'!$C:$C,MATCH($A141,'ZIP Coordinates'!$A:$A,0))))+COS(RADIANS('ZIP Coordinates'!$C$2))*COS(RADIANS(INDEX('ZIP Coordinates'!$C:$C,MATCH($A141,'ZIP Coordinates'!$A:$A,0))))*COS(RADIANS(INDEX('ZIP Coordinates'!$D:$D,MATCH($A141,'ZIP Coordinates'!$A:$A,0))-'ZIP Coordinates'!$D$2))))),"N/A")</f>
        <v>186.92635409257193</v>
      </c>
      <c r="G141" s="3" t="str">
        <f t="shared" si="4"/>
        <v>150-199 mi</v>
      </c>
      <c r="H141" s="27">
        <f>IF(RIGHT($B141,1)="P",1,IF(ISNUMBER(SEARCH("HALF GALLON",$C141)),Assumptions!$B$4,IF(ISNUMBER(SEARCH("GALLON",$C141)),Assumptions!$B$3,IF(ISNUMBER(SEARCH("QUART",$C141)),Assumptions!$B$5,IF(ISNUMBER(SEARCH("PINT",$C141)),Assumptions!$B$6,Assumptions!$B$7)))))</f>
        <v>4</v>
      </c>
      <c r="I141" s="27">
        <f t="shared" si="5"/>
        <v>40</v>
      </c>
    </row>
    <row r="142" spans="1:9" x14ac:dyDescent="0.2">
      <c r="A142" s="3" t="s">
        <v>7</v>
      </c>
      <c r="B142" s="3" t="s">
        <v>262</v>
      </c>
      <c r="C142" s="3" t="s">
        <v>263</v>
      </c>
      <c r="D142" s="3" t="s">
        <v>121</v>
      </c>
      <c r="E142" s="4">
        <v>42</v>
      </c>
      <c r="F142" s="5">
        <f>IFERROR(3958.8*ACOS(MIN(1,MAX(-1,SIN(RADIANS('ZIP Coordinates'!$C$2))*SIN(RADIANS(INDEX('ZIP Coordinates'!$C:$C,MATCH($A142,'ZIP Coordinates'!$A:$A,0))))+COS(RADIANS('ZIP Coordinates'!$C$2))*COS(RADIANS(INDEX('ZIP Coordinates'!$C:$C,MATCH($A142,'ZIP Coordinates'!$A:$A,0))))*COS(RADIANS(INDEX('ZIP Coordinates'!$D:$D,MATCH($A142,'ZIP Coordinates'!$A:$A,0))-'ZIP Coordinates'!$D$2))))),"N/A")</f>
        <v>186.92635409257193</v>
      </c>
      <c r="G142" s="3" t="str">
        <f t="shared" si="4"/>
        <v>150-199 mi</v>
      </c>
      <c r="H142" s="27">
        <f>IF(RIGHT($B142,1)="P",1,IF(ISNUMBER(SEARCH("HALF GALLON",$C142)),Assumptions!$B$4,IF(ISNUMBER(SEARCH("GALLON",$C142)),Assumptions!$B$3,IF(ISNUMBER(SEARCH("QUART",$C142)),Assumptions!$B$5,IF(ISNUMBER(SEARCH("PINT",$C142)),Assumptions!$B$6,Assumptions!$B$7)))))</f>
        <v>4</v>
      </c>
      <c r="I142" s="27">
        <f t="shared" si="5"/>
        <v>168</v>
      </c>
    </row>
    <row r="143" spans="1:9" x14ac:dyDescent="0.2">
      <c r="A143" s="3" t="s">
        <v>7</v>
      </c>
      <c r="B143" s="3" t="s">
        <v>267</v>
      </c>
      <c r="C143" s="3" t="s">
        <v>268</v>
      </c>
      <c r="D143" s="3" t="s">
        <v>211</v>
      </c>
      <c r="E143" s="4">
        <v>4</v>
      </c>
      <c r="F143" s="5">
        <f>IFERROR(3958.8*ACOS(MIN(1,MAX(-1,SIN(RADIANS('ZIP Coordinates'!$C$2))*SIN(RADIANS(INDEX('ZIP Coordinates'!$C:$C,MATCH($A143,'ZIP Coordinates'!$A:$A,0))))+COS(RADIANS('ZIP Coordinates'!$C$2))*COS(RADIANS(INDEX('ZIP Coordinates'!$C:$C,MATCH($A143,'ZIP Coordinates'!$A:$A,0))))*COS(RADIANS(INDEX('ZIP Coordinates'!$D:$D,MATCH($A143,'ZIP Coordinates'!$A:$A,0))-'ZIP Coordinates'!$D$2))))),"N/A")</f>
        <v>186.92635409257193</v>
      </c>
      <c r="G143" s="3" t="str">
        <f t="shared" si="4"/>
        <v>150-199 mi</v>
      </c>
      <c r="H143" s="27">
        <f>IF(RIGHT($B143,1)="P",1,IF(ISNUMBER(SEARCH("HALF GALLON",$C143)),Assumptions!$B$4,IF(ISNUMBER(SEARCH("GALLON",$C143)),Assumptions!$B$3,IF(ISNUMBER(SEARCH("QUART",$C143)),Assumptions!$B$5,IF(ISNUMBER(SEARCH("PINT",$C143)),Assumptions!$B$6,Assumptions!$B$7)))))</f>
        <v>4</v>
      </c>
      <c r="I143" s="27">
        <f t="shared" si="5"/>
        <v>16</v>
      </c>
    </row>
    <row r="144" spans="1:9" x14ac:dyDescent="0.2">
      <c r="A144" s="3" t="s">
        <v>7</v>
      </c>
      <c r="B144" s="3" t="s">
        <v>269</v>
      </c>
      <c r="C144" s="3" t="s">
        <v>268</v>
      </c>
      <c r="D144" s="3" t="s">
        <v>153</v>
      </c>
      <c r="E144" s="4">
        <v>2</v>
      </c>
      <c r="F144" s="5">
        <f>IFERROR(3958.8*ACOS(MIN(1,MAX(-1,SIN(RADIANS('ZIP Coordinates'!$C$2))*SIN(RADIANS(INDEX('ZIP Coordinates'!$C:$C,MATCH($A144,'ZIP Coordinates'!$A:$A,0))))+COS(RADIANS('ZIP Coordinates'!$C$2))*COS(RADIANS(INDEX('ZIP Coordinates'!$C:$C,MATCH($A144,'ZIP Coordinates'!$A:$A,0))))*COS(RADIANS(INDEX('ZIP Coordinates'!$D:$D,MATCH($A144,'ZIP Coordinates'!$A:$A,0))-'ZIP Coordinates'!$D$2))))),"N/A")</f>
        <v>186.92635409257193</v>
      </c>
      <c r="G144" s="3" t="str">
        <f t="shared" si="4"/>
        <v>150-199 mi</v>
      </c>
      <c r="H144" s="27">
        <f>IF(RIGHT($B144,1)="P",1,IF(ISNUMBER(SEARCH("HALF GALLON",$C144)),Assumptions!$B$4,IF(ISNUMBER(SEARCH("GALLON",$C144)),Assumptions!$B$3,IF(ISNUMBER(SEARCH("QUART",$C144)),Assumptions!$B$5,IF(ISNUMBER(SEARCH("PINT",$C144)),Assumptions!$B$6,Assumptions!$B$7)))))</f>
        <v>1</v>
      </c>
      <c r="I144" s="27">
        <f t="shared" si="5"/>
        <v>2</v>
      </c>
    </row>
    <row r="145" spans="1:9" x14ac:dyDescent="0.2">
      <c r="A145" s="3" t="s">
        <v>7</v>
      </c>
      <c r="B145" s="3" t="s">
        <v>271</v>
      </c>
      <c r="C145" s="3" t="s">
        <v>244</v>
      </c>
      <c r="D145" s="3" t="s">
        <v>145</v>
      </c>
      <c r="E145" s="4">
        <v>120</v>
      </c>
      <c r="F145" s="5">
        <f>IFERROR(3958.8*ACOS(MIN(1,MAX(-1,SIN(RADIANS('ZIP Coordinates'!$C$2))*SIN(RADIANS(INDEX('ZIP Coordinates'!$C:$C,MATCH($A145,'ZIP Coordinates'!$A:$A,0))))+COS(RADIANS('ZIP Coordinates'!$C$2))*COS(RADIANS(INDEX('ZIP Coordinates'!$C:$C,MATCH($A145,'ZIP Coordinates'!$A:$A,0))))*COS(RADIANS(INDEX('ZIP Coordinates'!$D:$D,MATCH($A145,'ZIP Coordinates'!$A:$A,0))-'ZIP Coordinates'!$D$2))))),"N/A")</f>
        <v>186.92635409257193</v>
      </c>
      <c r="G145" s="3" t="str">
        <f t="shared" si="4"/>
        <v>150-199 mi</v>
      </c>
      <c r="H145" s="27">
        <f>IF(RIGHT($B145,1)="P",1,IF(ISNUMBER(SEARCH("HALF GALLON",$C145)),Assumptions!$B$4,IF(ISNUMBER(SEARCH("GALLON",$C145)),Assumptions!$B$3,IF(ISNUMBER(SEARCH("QUART",$C145)),Assumptions!$B$5,IF(ISNUMBER(SEARCH("PINT",$C145)),Assumptions!$B$6,Assumptions!$B$7)))))</f>
        <v>9</v>
      </c>
      <c r="I145" s="27">
        <f t="shared" si="5"/>
        <v>1080</v>
      </c>
    </row>
    <row r="146" spans="1:9" x14ac:dyDescent="0.2">
      <c r="A146" s="3" t="s">
        <v>7</v>
      </c>
      <c r="B146" s="3" t="s">
        <v>243</v>
      </c>
      <c r="C146" s="3" t="s">
        <v>244</v>
      </c>
      <c r="D146" s="3" t="s">
        <v>153</v>
      </c>
      <c r="E146" s="4">
        <v>6</v>
      </c>
      <c r="F146" s="5">
        <f>IFERROR(3958.8*ACOS(MIN(1,MAX(-1,SIN(RADIANS('ZIP Coordinates'!$C$2))*SIN(RADIANS(INDEX('ZIP Coordinates'!$C:$C,MATCH($A146,'ZIP Coordinates'!$A:$A,0))))+COS(RADIANS('ZIP Coordinates'!$C$2))*COS(RADIANS(INDEX('ZIP Coordinates'!$C:$C,MATCH($A146,'ZIP Coordinates'!$A:$A,0))))*COS(RADIANS(INDEX('ZIP Coordinates'!$D:$D,MATCH($A146,'ZIP Coordinates'!$A:$A,0))-'ZIP Coordinates'!$D$2))))),"N/A")</f>
        <v>186.92635409257193</v>
      </c>
      <c r="G146" s="3" t="str">
        <f t="shared" si="4"/>
        <v>150-199 mi</v>
      </c>
      <c r="H146" s="27">
        <f>IF(RIGHT($B146,1)="P",1,IF(ISNUMBER(SEARCH("HALF GALLON",$C146)),Assumptions!$B$4,IF(ISNUMBER(SEARCH("GALLON",$C146)),Assumptions!$B$3,IF(ISNUMBER(SEARCH("QUART",$C146)),Assumptions!$B$5,IF(ISNUMBER(SEARCH("PINT",$C146)),Assumptions!$B$6,Assumptions!$B$7)))))</f>
        <v>1</v>
      </c>
      <c r="I146" s="27">
        <f t="shared" si="5"/>
        <v>6</v>
      </c>
    </row>
    <row r="147" spans="1:9" x14ac:dyDescent="0.2">
      <c r="A147" s="3" t="s">
        <v>7</v>
      </c>
      <c r="B147" s="3" t="s">
        <v>276</v>
      </c>
      <c r="C147" s="3" t="s">
        <v>275</v>
      </c>
      <c r="D147" s="3" t="s">
        <v>153</v>
      </c>
      <c r="E147" s="4">
        <v>6</v>
      </c>
      <c r="F147" s="5">
        <f>IFERROR(3958.8*ACOS(MIN(1,MAX(-1,SIN(RADIANS('ZIP Coordinates'!$C$2))*SIN(RADIANS(INDEX('ZIP Coordinates'!$C:$C,MATCH($A147,'ZIP Coordinates'!$A:$A,0))))+COS(RADIANS('ZIP Coordinates'!$C$2))*COS(RADIANS(INDEX('ZIP Coordinates'!$C:$C,MATCH($A147,'ZIP Coordinates'!$A:$A,0))))*COS(RADIANS(INDEX('ZIP Coordinates'!$D:$D,MATCH($A147,'ZIP Coordinates'!$A:$A,0))-'ZIP Coordinates'!$D$2))))),"N/A")</f>
        <v>186.92635409257193</v>
      </c>
      <c r="G147" s="3" t="str">
        <f t="shared" si="4"/>
        <v>150-199 mi</v>
      </c>
      <c r="H147" s="27">
        <f>IF(RIGHT($B147,1)="P",1,IF(ISNUMBER(SEARCH("HALF GALLON",$C147)),Assumptions!$B$4,IF(ISNUMBER(SEARCH("GALLON",$C147)),Assumptions!$B$3,IF(ISNUMBER(SEARCH("QUART",$C147)),Assumptions!$B$5,IF(ISNUMBER(SEARCH("PINT",$C147)),Assumptions!$B$6,Assumptions!$B$7)))))</f>
        <v>1</v>
      </c>
      <c r="I147" s="27">
        <f t="shared" si="5"/>
        <v>6</v>
      </c>
    </row>
    <row r="148" spans="1:9" x14ac:dyDescent="0.2">
      <c r="A148" s="3" t="s">
        <v>7</v>
      </c>
      <c r="B148" s="3" t="s">
        <v>289</v>
      </c>
      <c r="C148" s="3" t="s">
        <v>280</v>
      </c>
      <c r="D148" s="3" t="s">
        <v>153</v>
      </c>
      <c r="E148" s="4">
        <v>7</v>
      </c>
      <c r="F148" s="5">
        <f>IFERROR(3958.8*ACOS(MIN(1,MAX(-1,SIN(RADIANS('ZIP Coordinates'!$C$2))*SIN(RADIANS(INDEX('ZIP Coordinates'!$C:$C,MATCH($A148,'ZIP Coordinates'!$A:$A,0))))+COS(RADIANS('ZIP Coordinates'!$C$2))*COS(RADIANS(INDEX('ZIP Coordinates'!$C:$C,MATCH($A148,'ZIP Coordinates'!$A:$A,0))))*COS(RADIANS(INDEX('ZIP Coordinates'!$D:$D,MATCH($A148,'ZIP Coordinates'!$A:$A,0))-'ZIP Coordinates'!$D$2))))),"N/A")</f>
        <v>186.92635409257193</v>
      </c>
      <c r="G148" s="3" t="str">
        <f t="shared" si="4"/>
        <v>150-199 mi</v>
      </c>
      <c r="H148" s="27">
        <f>IF(RIGHT($B148,1)="P",1,IF(ISNUMBER(SEARCH("HALF GALLON",$C148)),Assumptions!$B$4,IF(ISNUMBER(SEARCH("GALLON",$C148)),Assumptions!$B$3,IF(ISNUMBER(SEARCH("QUART",$C148)),Assumptions!$B$5,IF(ISNUMBER(SEARCH("PINT",$C148)),Assumptions!$B$6,Assumptions!$B$7)))))</f>
        <v>9</v>
      </c>
      <c r="I148" s="27">
        <f t="shared" si="5"/>
        <v>63</v>
      </c>
    </row>
    <row r="149" spans="1:9" x14ac:dyDescent="0.2">
      <c r="A149" s="3" t="s">
        <v>7</v>
      </c>
      <c r="B149" s="3" t="s">
        <v>248</v>
      </c>
      <c r="C149" s="3" t="s">
        <v>249</v>
      </c>
      <c r="D149" s="3" t="s">
        <v>88</v>
      </c>
      <c r="E149" s="4">
        <v>1675</v>
      </c>
      <c r="F149" s="5">
        <f>IFERROR(3958.8*ACOS(MIN(1,MAX(-1,SIN(RADIANS('ZIP Coordinates'!$C$2))*SIN(RADIANS(INDEX('ZIP Coordinates'!$C:$C,MATCH($A149,'ZIP Coordinates'!$A:$A,0))))+COS(RADIANS('ZIP Coordinates'!$C$2))*COS(RADIANS(INDEX('ZIP Coordinates'!$C:$C,MATCH($A149,'ZIP Coordinates'!$A:$A,0))))*COS(RADIANS(INDEX('ZIP Coordinates'!$D:$D,MATCH($A149,'ZIP Coordinates'!$A:$A,0))-'ZIP Coordinates'!$D$2))))),"N/A")</f>
        <v>186.92635409257193</v>
      </c>
      <c r="G149" s="3" t="str">
        <f t="shared" si="4"/>
        <v>150-199 mi</v>
      </c>
      <c r="H149" s="27">
        <f>IF(RIGHT($B149,1)="P",1,IF(ISNUMBER(SEARCH("HALF GALLON",$C149)),Assumptions!$B$4,IF(ISNUMBER(SEARCH("GALLON",$C149)),Assumptions!$B$3,IF(ISNUMBER(SEARCH("QUART",$C149)),Assumptions!$B$5,IF(ISNUMBER(SEARCH("PINT",$C149)),Assumptions!$B$6,Assumptions!$B$7)))))</f>
        <v>20</v>
      </c>
      <c r="I149" s="27">
        <f t="shared" si="5"/>
        <v>33500</v>
      </c>
    </row>
    <row r="150" spans="1:9" x14ac:dyDescent="0.2">
      <c r="A150" s="3" t="s">
        <v>7</v>
      </c>
      <c r="B150" s="3" t="s">
        <v>250</v>
      </c>
      <c r="C150" s="3" t="s">
        <v>249</v>
      </c>
      <c r="D150" s="3" t="s">
        <v>153</v>
      </c>
      <c r="E150" s="4">
        <v>5</v>
      </c>
      <c r="F150" s="5">
        <f>IFERROR(3958.8*ACOS(MIN(1,MAX(-1,SIN(RADIANS('ZIP Coordinates'!$C$2))*SIN(RADIANS(INDEX('ZIP Coordinates'!$C:$C,MATCH($A150,'ZIP Coordinates'!$A:$A,0))))+COS(RADIANS('ZIP Coordinates'!$C$2))*COS(RADIANS(INDEX('ZIP Coordinates'!$C:$C,MATCH($A150,'ZIP Coordinates'!$A:$A,0))))*COS(RADIANS(INDEX('ZIP Coordinates'!$D:$D,MATCH($A150,'ZIP Coordinates'!$A:$A,0))-'ZIP Coordinates'!$D$2))))),"N/A")</f>
        <v>186.92635409257193</v>
      </c>
      <c r="G150" s="3" t="str">
        <f t="shared" si="4"/>
        <v>150-199 mi</v>
      </c>
      <c r="H150" s="27">
        <f>IF(RIGHT($B150,1)="P",1,IF(ISNUMBER(SEARCH("HALF GALLON",$C150)),Assumptions!$B$4,IF(ISNUMBER(SEARCH("GALLON",$C150)),Assumptions!$B$3,IF(ISNUMBER(SEARCH("QUART",$C150)),Assumptions!$B$5,IF(ISNUMBER(SEARCH("PINT",$C150)),Assumptions!$B$6,Assumptions!$B$7)))))</f>
        <v>1</v>
      </c>
      <c r="I150" s="27">
        <f t="shared" si="5"/>
        <v>5</v>
      </c>
    </row>
    <row r="151" spans="1:9" x14ac:dyDescent="0.2">
      <c r="A151" s="3" t="s">
        <v>7</v>
      </c>
      <c r="B151" s="3" t="s">
        <v>281</v>
      </c>
      <c r="C151" s="3" t="s">
        <v>252</v>
      </c>
      <c r="D151" s="3" t="s">
        <v>153</v>
      </c>
      <c r="E151" s="4">
        <v>1</v>
      </c>
      <c r="F151" s="5">
        <f>IFERROR(3958.8*ACOS(MIN(1,MAX(-1,SIN(RADIANS('ZIP Coordinates'!$C$2))*SIN(RADIANS(INDEX('ZIP Coordinates'!$C:$C,MATCH($A151,'ZIP Coordinates'!$A:$A,0))))+COS(RADIANS('ZIP Coordinates'!$C$2))*COS(RADIANS(INDEX('ZIP Coordinates'!$C:$C,MATCH($A151,'ZIP Coordinates'!$A:$A,0))))*COS(RADIANS(INDEX('ZIP Coordinates'!$D:$D,MATCH($A151,'ZIP Coordinates'!$A:$A,0))-'ZIP Coordinates'!$D$2))))),"N/A")</f>
        <v>186.92635409257193</v>
      </c>
      <c r="G151" s="3" t="str">
        <f t="shared" si="4"/>
        <v>150-199 mi</v>
      </c>
      <c r="H151" s="27">
        <f>IF(RIGHT($B151,1)="P",1,IF(ISNUMBER(SEARCH("HALF GALLON",$C151)),Assumptions!$B$4,IF(ISNUMBER(SEARCH("GALLON",$C151)),Assumptions!$B$3,IF(ISNUMBER(SEARCH("QUART",$C151)),Assumptions!$B$5,IF(ISNUMBER(SEARCH("PINT",$C151)),Assumptions!$B$6,Assumptions!$B$7)))))</f>
        <v>20</v>
      </c>
      <c r="I151" s="27">
        <f t="shared" si="5"/>
        <v>20</v>
      </c>
    </row>
    <row r="152" spans="1:9" x14ac:dyDescent="0.2">
      <c r="A152" s="3" t="s">
        <v>7</v>
      </c>
      <c r="B152" s="3" t="s">
        <v>251</v>
      </c>
      <c r="C152" s="3" t="s">
        <v>252</v>
      </c>
      <c r="D152" s="3" t="s">
        <v>153</v>
      </c>
      <c r="E152" s="4">
        <v>34</v>
      </c>
      <c r="F152" s="5">
        <f>IFERROR(3958.8*ACOS(MIN(1,MAX(-1,SIN(RADIANS('ZIP Coordinates'!$C$2))*SIN(RADIANS(INDEX('ZIP Coordinates'!$C:$C,MATCH($A152,'ZIP Coordinates'!$A:$A,0))))+COS(RADIANS('ZIP Coordinates'!$C$2))*COS(RADIANS(INDEX('ZIP Coordinates'!$C:$C,MATCH($A152,'ZIP Coordinates'!$A:$A,0))))*COS(RADIANS(INDEX('ZIP Coordinates'!$D:$D,MATCH($A152,'ZIP Coordinates'!$A:$A,0))-'ZIP Coordinates'!$D$2))))),"N/A")</f>
        <v>186.92635409257193</v>
      </c>
      <c r="G152" s="3" t="str">
        <f t="shared" si="4"/>
        <v>150-199 mi</v>
      </c>
      <c r="H152" s="27">
        <f>IF(RIGHT($B152,1)="P",1,IF(ISNUMBER(SEARCH("HALF GALLON",$C152)),Assumptions!$B$4,IF(ISNUMBER(SEARCH("GALLON",$C152)),Assumptions!$B$3,IF(ISNUMBER(SEARCH("QUART",$C152)),Assumptions!$B$5,IF(ISNUMBER(SEARCH("PINT",$C152)),Assumptions!$B$6,Assumptions!$B$7)))))</f>
        <v>1</v>
      </c>
      <c r="I152" s="27">
        <f t="shared" si="5"/>
        <v>34</v>
      </c>
    </row>
    <row r="153" spans="1:9" x14ac:dyDescent="0.2">
      <c r="A153" s="3" t="s">
        <v>7</v>
      </c>
      <c r="B153" s="3" t="s">
        <v>284</v>
      </c>
      <c r="C153" s="3" t="s">
        <v>285</v>
      </c>
      <c r="D153" s="3" t="s">
        <v>153</v>
      </c>
      <c r="E153" s="4">
        <v>5</v>
      </c>
      <c r="F153" s="5">
        <f>IFERROR(3958.8*ACOS(MIN(1,MAX(-1,SIN(RADIANS('ZIP Coordinates'!$C$2))*SIN(RADIANS(INDEX('ZIP Coordinates'!$C:$C,MATCH($A153,'ZIP Coordinates'!$A:$A,0))))+COS(RADIANS('ZIP Coordinates'!$C$2))*COS(RADIANS(INDEX('ZIP Coordinates'!$C:$C,MATCH($A153,'ZIP Coordinates'!$A:$A,0))))*COS(RADIANS(INDEX('ZIP Coordinates'!$D:$D,MATCH($A153,'ZIP Coordinates'!$A:$A,0))-'ZIP Coordinates'!$D$2))))),"N/A")</f>
        <v>186.92635409257193</v>
      </c>
      <c r="G153" s="3" t="str">
        <f t="shared" si="4"/>
        <v>150-199 mi</v>
      </c>
      <c r="H153" s="27">
        <f>IF(RIGHT($B153,1)="P",1,IF(ISNUMBER(SEARCH("HALF GALLON",$C153)),Assumptions!$B$4,IF(ISNUMBER(SEARCH("GALLON",$C153)),Assumptions!$B$3,IF(ISNUMBER(SEARCH("QUART",$C153)),Assumptions!$B$5,IF(ISNUMBER(SEARCH("PINT",$C153)),Assumptions!$B$6,Assumptions!$B$7)))))</f>
        <v>1</v>
      </c>
      <c r="I153" s="27">
        <f t="shared" si="5"/>
        <v>5</v>
      </c>
    </row>
    <row r="154" spans="1:9" x14ac:dyDescent="0.2">
      <c r="A154" s="3" t="s">
        <v>7</v>
      </c>
      <c r="B154" s="3" t="s">
        <v>286</v>
      </c>
      <c r="C154" s="3" t="s">
        <v>287</v>
      </c>
      <c r="D154" s="3" t="s">
        <v>153</v>
      </c>
      <c r="E154" s="4">
        <v>12</v>
      </c>
      <c r="F154" s="5">
        <f>IFERROR(3958.8*ACOS(MIN(1,MAX(-1,SIN(RADIANS('ZIP Coordinates'!$C$2))*SIN(RADIANS(INDEX('ZIP Coordinates'!$C:$C,MATCH($A154,'ZIP Coordinates'!$A:$A,0))))+COS(RADIANS('ZIP Coordinates'!$C$2))*COS(RADIANS(INDEX('ZIP Coordinates'!$C:$C,MATCH($A154,'ZIP Coordinates'!$A:$A,0))))*COS(RADIANS(INDEX('ZIP Coordinates'!$D:$D,MATCH($A154,'ZIP Coordinates'!$A:$A,0))-'ZIP Coordinates'!$D$2))))),"N/A")</f>
        <v>186.92635409257193</v>
      </c>
      <c r="G154" s="3" t="str">
        <f t="shared" si="4"/>
        <v>150-199 mi</v>
      </c>
      <c r="H154" s="27">
        <f>IF(RIGHT($B154,1)="P",1,IF(ISNUMBER(SEARCH("HALF GALLON",$C154)),Assumptions!$B$4,IF(ISNUMBER(SEARCH("GALLON",$C154)),Assumptions!$B$3,IF(ISNUMBER(SEARCH("QUART",$C154)),Assumptions!$B$5,IF(ISNUMBER(SEARCH("PINT",$C154)),Assumptions!$B$6,Assumptions!$B$7)))))</f>
        <v>9</v>
      </c>
      <c r="I154" s="27">
        <f t="shared" si="5"/>
        <v>108</v>
      </c>
    </row>
    <row r="155" spans="1:9" x14ac:dyDescent="0.2">
      <c r="A155" s="3" t="s">
        <v>7</v>
      </c>
      <c r="B155" s="3" t="s">
        <v>255</v>
      </c>
      <c r="C155" s="3" t="s">
        <v>256</v>
      </c>
      <c r="D155" s="3" t="s">
        <v>88</v>
      </c>
      <c r="E155" s="4">
        <v>3453</v>
      </c>
      <c r="F155" s="5">
        <f>IFERROR(3958.8*ACOS(MIN(1,MAX(-1,SIN(RADIANS('ZIP Coordinates'!$C$2))*SIN(RADIANS(INDEX('ZIP Coordinates'!$C:$C,MATCH($A155,'ZIP Coordinates'!$A:$A,0))))+COS(RADIANS('ZIP Coordinates'!$C$2))*COS(RADIANS(INDEX('ZIP Coordinates'!$C:$C,MATCH($A155,'ZIP Coordinates'!$A:$A,0))))*COS(RADIANS(INDEX('ZIP Coordinates'!$D:$D,MATCH($A155,'ZIP Coordinates'!$A:$A,0))-'ZIP Coordinates'!$D$2))))),"N/A")</f>
        <v>186.92635409257193</v>
      </c>
      <c r="G155" s="3" t="str">
        <f t="shared" si="4"/>
        <v>150-199 mi</v>
      </c>
      <c r="H155" s="27">
        <f>IF(RIGHT($B155,1)="P",1,IF(ISNUMBER(SEARCH("HALF GALLON",$C155)),Assumptions!$B$4,IF(ISNUMBER(SEARCH("GALLON",$C155)),Assumptions!$B$3,IF(ISNUMBER(SEARCH("QUART",$C155)),Assumptions!$B$5,IF(ISNUMBER(SEARCH("PINT",$C155)),Assumptions!$B$6,Assumptions!$B$7)))))</f>
        <v>20</v>
      </c>
      <c r="I155" s="27">
        <f t="shared" si="5"/>
        <v>69060</v>
      </c>
    </row>
    <row r="156" spans="1:9" x14ac:dyDescent="0.2">
      <c r="A156" s="3" t="s">
        <v>7</v>
      </c>
      <c r="B156" s="3" t="s">
        <v>257</v>
      </c>
      <c r="C156" s="3" t="s">
        <v>256</v>
      </c>
      <c r="D156" s="3" t="s">
        <v>88</v>
      </c>
      <c r="E156" s="4">
        <v>17</v>
      </c>
      <c r="F156" s="5">
        <f>IFERROR(3958.8*ACOS(MIN(1,MAX(-1,SIN(RADIANS('ZIP Coordinates'!$C$2))*SIN(RADIANS(INDEX('ZIP Coordinates'!$C:$C,MATCH($A156,'ZIP Coordinates'!$A:$A,0))))+COS(RADIANS('ZIP Coordinates'!$C$2))*COS(RADIANS(INDEX('ZIP Coordinates'!$C:$C,MATCH($A156,'ZIP Coordinates'!$A:$A,0))))*COS(RADIANS(INDEX('ZIP Coordinates'!$D:$D,MATCH($A156,'ZIP Coordinates'!$A:$A,0))-'ZIP Coordinates'!$D$2))))),"N/A")</f>
        <v>186.92635409257193</v>
      </c>
      <c r="G156" s="3" t="str">
        <f t="shared" si="4"/>
        <v>150-199 mi</v>
      </c>
      <c r="H156" s="27">
        <f>IF(RIGHT($B156,1)="P",1,IF(ISNUMBER(SEARCH("HALF GALLON",$C156)),Assumptions!$B$4,IF(ISNUMBER(SEARCH("GALLON",$C156)),Assumptions!$B$3,IF(ISNUMBER(SEARCH("QUART",$C156)),Assumptions!$B$5,IF(ISNUMBER(SEARCH("PINT",$C156)),Assumptions!$B$6,Assumptions!$B$7)))))</f>
        <v>1</v>
      </c>
      <c r="I156" s="27">
        <f t="shared" si="5"/>
        <v>17</v>
      </c>
    </row>
    <row r="157" spans="1:9" x14ac:dyDescent="0.2">
      <c r="A157" s="3" t="s">
        <v>8</v>
      </c>
      <c r="B157" s="3" t="s">
        <v>258</v>
      </c>
      <c r="C157" s="3" t="s">
        <v>240</v>
      </c>
      <c r="D157" s="3" t="s">
        <v>118</v>
      </c>
      <c r="E157" s="4">
        <v>8</v>
      </c>
      <c r="F157" s="5">
        <f>IFERROR(3958.8*ACOS(MIN(1,MAX(-1,SIN(RADIANS('ZIP Coordinates'!$C$2))*SIN(RADIANS(INDEX('ZIP Coordinates'!$C:$C,MATCH($A157,'ZIP Coordinates'!$A:$A,0))))+COS(RADIANS('ZIP Coordinates'!$C$2))*COS(RADIANS(INDEX('ZIP Coordinates'!$C:$C,MATCH($A157,'ZIP Coordinates'!$A:$A,0))))*COS(RADIANS(INDEX('ZIP Coordinates'!$D:$D,MATCH($A157,'ZIP Coordinates'!$A:$A,0))-'ZIP Coordinates'!$D$2))))),"N/A")</f>
        <v>167.45112096307793</v>
      </c>
      <c r="G157" s="3" t="str">
        <f t="shared" si="4"/>
        <v>150-199 mi</v>
      </c>
      <c r="H157" s="27">
        <f>IF(RIGHT($B157,1)="P",1,IF(ISNUMBER(SEARCH("HALF GALLON",$C157)),Assumptions!$B$4,IF(ISNUMBER(SEARCH("GALLON",$C157)),Assumptions!$B$3,IF(ISNUMBER(SEARCH("QUART",$C157)),Assumptions!$B$5,IF(ISNUMBER(SEARCH("PINT",$C157)),Assumptions!$B$6,Assumptions!$B$7)))))</f>
        <v>4</v>
      </c>
      <c r="I157" s="27">
        <f t="shared" si="5"/>
        <v>32</v>
      </c>
    </row>
    <row r="158" spans="1:9" x14ac:dyDescent="0.2">
      <c r="A158" s="3" t="s">
        <v>8</v>
      </c>
      <c r="B158" s="3" t="s">
        <v>239</v>
      </c>
      <c r="C158" s="3" t="s">
        <v>240</v>
      </c>
      <c r="D158" s="3" t="s">
        <v>118</v>
      </c>
      <c r="E158" s="4">
        <v>6</v>
      </c>
      <c r="F158" s="5">
        <f>IFERROR(3958.8*ACOS(MIN(1,MAX(-1,SIN(RADIANS('ZIP Coordinates'!$C$2))*SIN(RADIANS(INDEX('ZIP Coordinates'!$C:$C,MATCH($A158,'ZIP Coordinates'!$A:$A,0))))+COS(RADIANS('ZIP Coordinates'!$C$2))*COS(RADIANS(INDEX('ZIP Coordinates'!$C:$C,MATCH($A158,'ZIP Coordinates'!$A:$A,0))))*COS(RADIANS(INDEX('ZIP Coordinates'!$D:$D,MATCH($A158,'ZIP Coordinates'!$A:$A,0))-'ZIP Coordinates'!$D$2))))),"N/A")</f>
        <v>167.45112096307793</v>
      </c>
      <c r="G158" s="3" t="str">
        <f t="shared" si="4"/>
        <v>150-199 mi</v>
      </c>
      <c r="H158" s="27">
        <f>IF(RIGHT($B158,1)="P",1,IF(ISNUMBER(SEARCH("HALF GALLON",$C158)),Assumptions!$B$4,IF(ISNUMBER(SEARCH("GALLON",$C158)),Assumptions!$B$3,IF(ISNUMBER(SEARCH("QUART",$C158)),Assumptions!$B$5,IF(ISNUMBER(SEARCH("PINT",$C158)),Assumptions!$B$6,Assumptions!$B$7)))))</f>
        <v>1</v>
      </c>
      <c r="I158" s="27">
        <f t="shared" si="5"/>
        <v>6</v>
      </c>
    </row>
    <row r="159" spans="1:9" x14ac:dyDescent="0.2">
      <c r="A159" s="3" t="s">
        <v>8</v>
      </c>
      <c r="B159" s="3" t="s">
        <v>259</v>
      </c>
      <c r="C159" s="3" t="s">
        <v>260</v>
      </c>
      <c r="D159" s="3" t="s">
        <v>118</v>
      </c>
      <c r="E159" s="4">
        <v>16</v>
      </c>
      <c r="F159" s="5">
        <f>IFERROR(3958.8*ACOS(MIN(1,MAX(-1,SIN(RADIANS('ZIP Coordinates'!$C$2))*SIN(RADIANS(INDEX('ZIP Coordinates'!$C:$C,MATCH($A159,'ZIP Coordinates'!$A:$A,0))))+COS(RADIANS('ZIP Coordinates'!$C$2))*COS(RADIANS(INDEX('ZIP Coordinates'!$C:$C,MATCH($A159,'ZIP Coordinates'!$A:$A,0))))*COS(RADIANS(INDEX('ZIP Coordinates'!$D:$D,MATCH($A159,'ZIP Coordinates'!$A:$A,0))-'ZIP Coordinates'!$D$2))))),"N/A")</f>
        <v>167.45112096307793</v>
      </c>
      <c r="G159" s="3" t="str">
        <f t="shared" si="4"/>
        <v>150-199 mi</v>
      </c>
      <c r="H159" s="27">
        <f>IF(RIGHT($B159,1)="P",1,IF(ISNUMBER(SEARCH("HALF GALLON",$C159)),Assumptions!$B$4,IF(ISNUMBER(SEARCH("GALLON",$C159)),Assumptions!$B$3,IF(ISNUMBER(SEARCH("QUART",$C159)),Assumptions!$B$5,IF(ISNUMBER(SEARCH("PINT",$C159)),Assumptions!$B$6,Assumptions!$B$7)))))</f>
        <v>4</v>
      </c>
      <c r="I159" s="27">
        <f t="shared" si="5"/>
        <v>64</v>
      </c>
    </row>
    <row r="160" spans="1:9" x14ac:dyDescent="0.2">
      <c r="A160" s="3" t="s">
        <v>8</v>
      </c>
      <c r="B160" s="3" t="s">
        <v>261</v>
      </c>
      <c r="C160" s="3" t="s">
        <v>260</v>
      </c>
      <c r="D160" s="3" t="s">
        <v>118</v>
      </c>
      <c r="E160" s="4">
        <v>12</v>
      </c>
      <c r="F160" s="5">
        <f>IFERROR(3958.8*ACOS(MIN(1,MAX(-1,SIN(RADIANS('ZIP Coordinates'!$C$2))*SIN(RADIANS(INDEX('ZIP Coordinates'!$C:$C,MATCH($A160,'ZIP Coordinates'!$A:$A,0))))+COS(RADIANS('ZIP Coordinates'!$C$2))*COS(RADIANS(INDEX('ZIP Coordinates'!$C:$C,MATCH($A160,'ZIP Coordinates'!$A:$A,0))))*COS(RADIANS(INDEX('ZIP Coordinates'!$D:$D,MATCH($A160,'ZIP Coordinates'!$A:$A,0))-'ZIP Coordinates'!$D$2))))),"N/A")</f>
        <v>167.45112096307793</v>
      </c>
      <c r="G160" s="3" t="str">
        <f t="shared" si="4"/>
        <v>150-199 mi</v>
      </c>
      <c r="H160" s="27">
        <f>IF(RIGHT($B160,1)="P",1,IF(ISNUMBER(SEARCH("HALF GALLON",$C160)),Assumptions!$B$4,IF(ISNUMBER(SEARCH("GALLON",$C160)),Assumptions!$B$3,IF(ISNUMBER(SEARCH("QUART",$C160)),Assumptions!$B$5,IF(ISNUMBER(SEARCH("PINT",$C160)),Assumptions!$B$6,Assumptions!$B$7)))))</f>
        <v>1</v>
      </c>
      <c r="I160" s="27">
        <f t="shared" si="5"/>
        <v>12</v>
      </c>
    </row>
    <row r="161" spans="1:9" x14ac:dyDescent="0.2">
      <c r="A161" s="3" t="s">
        <v>8</v>
      </c>
      <c r="B161" s="3" t="s">
        <v>267</v>
      </c>
      <c r="C161" s="3" t="s">
        <v>268</v>
      </c>
      <c r="D161" s="3" t="s">
        <v>118</v>
      </c>
      <c r="E161" s="4">
        <v>3</v>
      </c>
      <c r="F161" s="5">
        <f>IFERROR(3958.8*ACOS(MIN(1,MAX(-1,SIN(RADIANS('ZIP Coordinates'!$C$2))*SIN(RADIANS(INDEX('ZIP Coordinates'!$C:$C,MATCH($A161,'ZIP Coordinates'!$A:$A,0))))+COS(RADIANS('ZIP Coordinates'!$C$2))*COS(RADIANS(INDEX('ZIP Coordinates'!$C:$C,MATCH($A161,'ZIP Coordinates'!$A:$A,0))))*COS(RADIANS(INDEX('ZIP Coordinates'!$D:$D,MATCH($A161,'ZIP Coordinates'!$A:$A,0))-'ZIP Coordinates'!$D$2))))),"N/A")</f>
        <v>167.45112096307793</v>
      </c>
      <c r="G161" s="3" t="str">
        <f t="shared" si="4"/>
        <v>150-199 mi</v>
      </c>
      <c r="H161" s="27">
        <f>IF(RIGHT($B161,1)="P",1,IF(ISNUMBER(SEARCH("HALF GALLON",$C161)),Assumptions!$B$4,IF(ISNUMBER(SEARCH("GALLON",$C161)),Assumptions!$B$3,IF(ISNUMBER(SEARCH("QUART",$C161)),Assumptions!$B$5,IF(ISNUMBER(SEARCH("PINT",$C161)),Assumptions!$B$6,Assumptions!$B$7)))))</f>
        <v>4</v>
      </c>
      <c r="I161" s="27">
        <f t="shared" si="5"/>
        <v>12</v>
      </c>
    </row>
    <row r="162" spans="1:9" x14ac:dyDescent="0.2">
      <c r="A162" s="3" t="s">
        <v>8</v>
      </c>
      <c r="B162" s="3" t="s">
        <v>269</v>
      </c>
      <c r="C162" s="3" t="s">
        <v>268</v>
      </c>
      <c r="D162" s="3" t="s">
        <v>118</v>
      </c>
      <c r="E162" s="4">
        <v>13</v>
      </c>
      <c r="F162" s="5">
        <f>IFERROR(3958.8*ACOS(MIN(1,MAX(-1,SIN(RADIANS('ZIP Coordinates'!$C$2))*SIN(RADIANS(INDEX('ZIP Coordinates'!$C:$C,MATCH($A162,'ZIP Coordinates'!$A:$A,0))))+COS(RADIANS('ZIP Coordinates'!$C$2))*COS(RADIANS(INDEX('ZIP Coordinates'!$C:$C,MATCH($A162,'ZIP Coordinates'!$A:$A,0))))*COS(RADIANS(INDEX('ZIP Coordinates'!$D:$D,MATCH($A162,'ZIP Coordinates'!$A:$A,0))-'ZIP Coordinates'!$D$2))))),"N/A")</f>
        <v>167.45112096307793</v>
      </c>
      <c r="G162" s="3" t="str">
        <f t="shared" si="4"/>
        <v>150-199 mi</v>
      </c>
      <c r="H162" s="27">
        <f>IF(RIGHT($B162,1)="P",1,IF(ISNUMBER(SEARCH("HALF GALLON",$C162)),Assumptions!$B$4,IF(ISNUMBER(SEARCH("GALLON",$C162)),Assumptions!$B$3,IF(ISNUMBER(SEARCH("QUART",$C162)),Assumptions!$B$5,IF(ISNUMBER(SEARCH("PINT",$C162)),Assumptions!$B$6,Assumptions!$B$7)))))</f>
        <v>1</v>
      </c>
      <c r="I162" s="27">
        <f t="shared" si="5"/>
        <v>13</v>
      </c>
    </row>
    <row r="163" spans="1:9" x14ac:dyDescent="0.2">
      <c r="A163" s="3" t="s">
        <v>8</v>
      </c>
      <c r="B163" s="3" t="s">
        <v>241</v>
      </c>
      <c r="C163" s="3" t="s">
        <v>242</v>
      </c>
      <c r="D163" s="3" t="s">
        <v>118</v>
      </c>
      <c r="E163" s="4">
        <v>43</v>
      </c>
      <c r="F163" s="5">
        <f>IFERROR(3958.8*ACOS(MIN(1,MAX(-1,SIN(RADIANS('ZIP Coordinates'!$C$2))*SIN(RADIANS(INDEX('ZIP Coordinates'!$C:$C,MATCH($A163,'ZIP Coordinates'!$A:$A,0))))+COS(RADIANS('ZIP Coordinates'!$C$2))*COS(RADIANS(INDEX('ZIP Coordinates'!$C:$C,MATCH($A163,'ZIP Coordinates'!$A:$A,0))))*COS(RADIANS(INDEX('ZIP Coordinates'!$D:$D,MATCH($A163,'ZIP Coordinates'!$A:$A,0))-'ZIP Coordinates'!$D$2))))),"N/A")</f>
        <v>167.45112096307793</v>
      </c>
      <c r="G163" s="3" t="str">
        <f t="shared" si="4"/>
        <v>150-199 mi</v>
      </c>
      <c r="H163" s="27">
        <f>IF(RIGHT($B163,1)="P",1,IF(ISNUMBER(SEARCH("HALF GALLON",$C163)),Assumptions!$B$4,IF(ISNUMBER(SEARCH("GALLON",$C163)),Assumptions!$B$3,IF(ISNUMBER(SEARCH("QUART",$C163)),Assumptions!$B$5,IF(ISNUMBER(SEARCH("PINT",$C163)),Assumptions!$B$6,Assumptions!$B$7)))))</f>
        <v>1</v>
      </c>
      <c r="I163" s="27">
        <f t="shared" si="5"/>
        <v>43</v>
      </c>
    </row>
    <row r="164" spans="1:9" x14ac:dyDescent="0.2">
      <c r="A164" s="3" t="s">
        <v>8</v>
      </c>
      <c r="B164" s="3" t="s">
        <v>243</v>
      </c>
      <c r="C164" s="3" t="s">
        <v>244</v>
      </c>
      <c r="D164" s="3" t="s">
        <v>118</v>
      </c>
      <c r="E164" s="4">
        <v>41</v>
      </c>
      <c r="F164" s="5">
        <f>IFERROR(3958.8*ACOS(MIN(1,MAX(-1,SIN(RADIANS('ZIP Coordinates'!$C$2))*SIN(RADIANS(INDEX('ZIP Coordinates'!$C:$C,MATCH($A164,'ZIP Coordinates'!$A:$A,0))))+COS(RADIANS('ZIP Coordinates'!$C$2))*COS(RADIANS(INDEX('ZIP Coordinates'!$C:$C,MATCH($A164,'ZIP Coordinates'!$A:$A,0))))*COS(RADIANS(INDEX('ZIP Coordinates'!$D:$D,MATCH($A164,'ZIP Coordinates'!$A:$A,0))-'ZIP Coordinates'!$D$2))))),"N/A")</f>
        <v>167.45112096307793</v>
      </c>
      <c r="G164" s="3" t="str">
        <f t="shared" si="4"/>
        <v>150-199 mi</v>
      </c>
      <c r="H164" s="27">
        <f>IF(RIGHT($B164,1)="P",1,IF(ISNUMBER(SEARCH("HALF GALLON",$C164)),Assumptions!$B$4,IF(ISNUMBER(SEARCH("GALLON",$C164)),Assumptions!$B$3,IF(ISNUMBER(SEARCH("QUART",$C164)),Assumptions!$B$5,IF(ISNUMBER(SEARCH("PINT",$C164)),Assumptions!$B$6,Assumptions!$B$7)))))</f>
        <v>1</v>
      </c>
      <c r="I164" s="27">
        <f t="shared" si="5"/>
        <v>41</v>
      </c>
    </row>
    <row r="165" spans="1:9" x14ac:dyDescent="0.2">
      <c r="A165" s="3" t="s">
        <v>8</v>
      </c>
      <c r="B165" s="3" t="s">
        <v>276</v>
      </c>
      <c r="C165" s="3" t="s">
        <v>275</v>
      </c>
      <c r="D165" s="3" t="s">
        <v>118</v>
      </c>
      <c r="E165" s="4">
        <v>36</v>
      </c>
      <c r="F165" s="5">
        <f>IFERROR(3958.8*ACOS(MIN(1,MAX(-1,SIN(RADIANS('ZIP Coordinates'!$C$2))*SIN(RADIANS(INDEX('ZIP Coordinates'!$C:$C,MATCH($A165,'ZIP Coordinates'!$A:$A,0))))+COS(RADIANS('ZIP Coordinates'!$C$2))*COS(RADIANS(INDEX('ZIP Coordinates'!$C:$C,MATCH($A165,'ZIP Coordinates'!$A:$A,0))))*COS(RADIANS(INDEX('ZIP Coordinates'!$D:$D,MATCH($A165,'ZIP Coordinates'!$A:$A,0))-'ZIP Coordinates'!$D$2))))),"N/A")</f>
        <v>167.45112096307793</v>
      </c>
      <c r="G165" s="3" t="str">
        <f t="shared" si="4"/>
        <v>150-199 mi</v>
      </c>
      <c r="H165" s="27">
        <f>IF(RIGHT($B165,1)="P",1,IF(ISNUMBER(SEARCH("HALF GALLON",$C165)),Assumptions!$B$4,IF(ISNUMBER(SEARCH("GALLON",$C165)),Assumptions!$B$3,IF(ISNUMBER(SEARCH("QUART",$C165)),Assumptions!$B$5,IF(ISNUMBER(SEARCH("PINT",$C165)),Assumptions!$B$6,Assumptions!$B$7)))))</f>
        <v>1</v>
      </c>
      <c r="I165" s="27">
        <f t="shared" si="5"/>
        <v>36</v>
      </c>
    </row>
    <row r="166" spans="1:9" x14ac:dyDescent="0.2">
      <c r="A166" s="3" t="s">
        <v>8</v>
      </c>
      <c r="B166" s="3" t="s">
        <v>245</v>
      </c>
      <c r="C166" s="3" t="s">
        <v>246</v>
      </c>
      <c r="D166" s="3" t="s">
        <v>118</v>
      </c>
      <c r="E166" s="4">
        <v>1</v>
      </c>
      <c r="F166" s="5">
        <f>IFERROR(3958.8*ACOS(MIN(1,MAX(-1,SIN(RADIANS('ZIP Coordinates'!$C$2))*SIN(RADIANS(INDEX('ZIP Coordinates'!$C:$C,MATCH($A166,'ZIP Coordinates'!$A:$A,0))))+COS(RADIANS('ZIP Coordinates'!$C$2))*COS(RADIANS(INDEX('ZIP Coordinates'!$C:$C,MATCH($A166,'ZIP Coordinates'!$A:$A,0))))*COS(RADIANS(INDEX('ZIP Coordinates'!$D:$D,MATCH($A166,'ZIP Coordinates'!$A:$A,0))-'ZIP Coordinates'!$D$2))))),"N/A")</f>
        <v>167.45112096307793</v>
      </c>
      <c r="G166" s="3" t="str">
        <f t="shared" si="4"/>
        <v>150-199 mi</v>
      </c>
      <c r="H166" s="27">
        <f>IF(RIGHT($B166,1)="P",1,IF(ISNUMBER(SEARCH("HALF GALLON",$C166)),Assumptions!$B$4,IF(ISNUMBER(SEARCH("GALLON",$C166)),Assumptions!$B$3,IF(ISNUMBER(SEARCH("QUART",$C166)),Assumptions!$B$5,IF(ISNUMBER(SEARCH("PINT",$C166)),Assumptions!$B$6,Assumptions!$B$7)))))</f>
        <v>20</v>
      </c>
      <c r="I166" s="27">
        <f t="shared" si="5"/>
        <v>20</v>
      </c>
    </row>
    <row r="167" spans="1:9" x14ac:dyDescent="0.2">
      <c r="A167" s="3" t="s">
        <v>8</v>
      </c>
      <c r="B167" s="3" t="s">
        <v>247</v>
      </c>
      <c r="C167" s="3" t="s">
        <v>246</v>
      </c>
      <c r="D167" s="3" t="s">
        <v>118</v>
      </c>
      <c r="E167" s="4">
        <v>39</v>
      </c>
      <c r="F167" s="5">
        <f>IFERROR(3958.8*ACOS(MIN(1,MAX(-1,SIN(RADIANS('ZIP Coordinates'!$C$2))*SIN(RADIANS(INDEX('ZIP Coordinates'!$C:$C,MATCH($A167,'ZIP Coordinates'!$A:$A,0))))+COS(RADIANS('ZIP Coordinates'!$C$2))*COS(RADIANS(INDEX('ZIP Coordinates'!$C:$C,MATCH($A167,'ZIP Coordinates'!$A:$A,0))))*COS(RADIANS(INDEX('ZIP Coordinates'!$D:$D,MATCH($A167,'ZIP Coordinates'!$A:$A,0))-'ZIP Coordinates'!$D$2))))),"N/A")</f>
        <v>167.45112096307793</v>
      </c>
      <c r="G167" s="3" t="str">
        <f t="shared" si="4"/>
        <v>150-199 mi</v>
      </c>
      <c r="H167" s="27">
        <f>IF(RIGHT($B167,1)="P",1,IF(ISNUMBER(SEARCH("HALF GALLON",$C167)),Assumptions!$B$4,IF(ISNUMBER(SEARCH("GALLON",$C167)),Assumptions!$B$3,IF(ISNUMBER(SEARCH("QUART",$C167)),Assumptions!$B$5,IF(ISNUMBER(SEARCH("PINT",$C167)),Assumptions!$B$6,Assumptions!$B$7)))))</f>
        <v>1</v>
      </c>
      <c r="I167" s="27">
        <f t="shared" si="5"/>
        <v>39</v>
      </c>
    </row>
    <row r="168" spans="1:9" x14ac:dyDescent="0.2">
      <c r="A168" s="3" t="s">
        <v>8</v>
      </c>
      <c r="B168" s="3" t="s">
        <v>248</v>
      </c>
      <c r="C168" s="3" t="s">
        <v>249</v>
      </c>
      <c r="D168" s="3" t="s">
        <v>118</v>
      </c>
      <c r="E168" s="4">
        <v>3</v>
      </c>
      <c r="F168" s="5">
        <f>IFERROR(3958.8*ACOS(MIN(1,MAX(-1,SIN(RADIANS('ZIP Coordinates'!$C$2))*SIN(RADIANS(INDEX('ZIP Coordinates'!$C:$C,MATCH($A168,'ZIP Coordinates'!$A:$A,0))))+COS(RADIANS('ZIP Coordinates'!$C$2))*COS(RADIANS(INDEX('ZIP Coordinates'!$C:$C,MATCH($A168,'ZIP Coordinates'!$A:$A,0))))*COS(RADIANS(INDEX('ZIP Coordinates'!$D:$D,MATCH($A168,'ZIP Coordinates'!$A:$A,0))-'ZIP Coordinates'!$D$2))))),"N/A")</f>
        <v>167.45112096307793</v>
      </c>
      <c r="G168" s="3" t="str">
        <f t="shared" si="4"/>
        <v>150-199 mi</v>
      </c>
      <c r="H168" s="27">
        <f>IF(RIGHT($B168,1)="P",1,IF(ISNUMBER(SEARCH("HALF GALLON",$C168)),Assumptions!$B$4,IF(ISNUMBER(SEARCH("GALLON",$C168)),Assumptions!$B$3,IF(ISNUMBER(SEARCH("QUART",$C168)),Assumptions!$B$5,IF(ISNUMBER(SEARCH("PINT",$C168)),Assumptions!$B$6,Assumptions!$B$7)))))</f>
        <v>20</v>
      </c>
      <c r="I168" s="27">
        <f t="shared" si="5"/>
        <v>60</v>
      </c>
    </row>
    <row r="169" spans="1:9" x14ac:dyDescent="0.2">
      <c r="A169" s="3" t="s">
        <v>8</v>
      </c>
      <c r="B169" s="3" t="s">
        <v>250</v>
      </c>
      <c r="C169" s="3" t="s">
        <v>249</v>
      </c>
      <c r="D169" s="3" t="s">
        <v>118</v>
      </c>
      <c r="E169" s="4">
        <v>63</v>
      </c>
      <c r="F169" s="5">
        <f>IFERROR(3958.8*ACOS(MIN(1,MAX(-1,SIN(RADIANS('ZIP Coordinates'!$C$2))*SIN(RADIANS(INDEX('ZIP Coordinates'!$C:$C,MATCH($A169,'ZIP Coordinates'!$A:$A,0))))+COS(RADIANS('ZIP Coordinates'!$C$2))*COS(RADIANS(INDEX('ZIP Coordinates'!$C:$C,MATCH($A169,'ZIP Coordinates'!$A:$A,0))))*COS(RADIANS(INDEX('ZIP Coordinates'!$D:$D,MATCH($A169,'ZIP Coordinates'!$A:$A,0))-'ZIP Coordinates'!$D$2))))),"N/A")</f>
        <v>167.45112096307793</v>
      </c>
      <c r="G169" s="3" t="str">
        <f t="shared" si="4"/>
        <v>150-199 mi</v>
      </c>
      <c r="H169" s="27">
        <f>IF(RIGHT($B169,1)="P",1,IF(ISNUMBER(SEARCH("HALF GALLON",$C169)),Assumptions!$B$4,IF(ISNUMBER(SEARCH("GALLON",$C169)),Assumptions!$B$3,IF(ISNUMBER(SEARCH("QUART",$C169)),Assumptions!$B$5,IF(ISNUMBER(SEARCH("PINT",$C169)),Assumptions!$B$6,Assumptions!$B$7)))))</f>
        <v>1</v>
      </c>
      <c r="I169" s="27">
        <f t="shared" si="5"/>
        <v>63</v>
      </c>
    </row>
    <row r="170" spans="1:9" x14ac:dyDescent="0.2">
      <c r="A170" s="3" t="s">
        <v>8</v>
      </c>
      <c r="B170" s="3" t="s">
        <v>281</v>
      </c>
      <c r="C170" s="3" t="s">
        <v>252</v>
      </c>
      <c r="D170" s="3" t="s">
        <v>118</v>
      </c>
      <c r="E170" s="4">
        <v>3</v>
      </c>
      <c r="F170" s="5">
        <f>IFERROR(3958.8*ACOS(MIN(1,MAX(-1,SIN(RADIANS('ZIP Coordinates'!$C$2))*SIN(RADIANS(INDEX('ZIP Coordinates'!$C:$C,MATCH($A170,'ZIP Coordinates'!$A:$A,0))))+COS(RADIANS('ZIP Coordinates'!$C$2))*COS(RADIANS(INDEX('ZIP Coordinates'!$C:$C,MATCH($A170,'ZIP Coordinates'!$A:$A,0))))*COS(RADIANS(INDEX('ZIP Coordinates'!$D:$D,MATCH($A170,'ZIP Coordinates'!$A:$A,0))-'ZIP Coordinates'!$D$2))))),"N/A")</f>
        <v>167.45112096307793</v>
      </c>
      <c r="G170" s="3" t="str">
        <f t="shared" si="4"/>
        <v>150-199 mi</v>
      </c>
      <c r="H170" s="27">
        <f>IF(RIGHT($B170,1)="P",1,IF(ISNUMBER(SEARCH("HALF GALLON",$C170)),Assumptions!$B$4,IF(ISNUMBER(SEARCH("GALLON",$C170)),Assumptions!$B$3,IF(ISNUMBER(SEARCH("QUART",$C170)),Assumptions!$B$5,IF(ISNUMBER(SEARCH("PINT",$C170)),Assumptions!$B$6,Assumptions!$B$7)))))</f>
        <v>20</v>
      </c>
      <c r="I170" s="27">
        <f t="shared" si="5"/>
        <v>60</v>
      </c>
    </row>
    <row r="171" spans="1:9" x14ac:dyDescent="0.2">
      <c r="A171" s="3" t="s">
        <v>8</v>
      </c>
      <c r="B171" s="3" t="s">
        <v>251</v>
      </c>
      <c r="C171" s="3" t="s">
        <v>252</v>
      </c>
      <c r="D171" s="3" t="s">
        <v>118</v>
      </c>
      <c r="E171" s="4">
        <v>48</v>
      </c>
      <c r="F171" s="5">
        <f>IFERROR(3958.8*ACOS(MIN(1,MAX(-1,SIN(RADIANS('ZIP Coordinates'!$C$2))*SIN(RADIANS(INDEX('ZIP Coordinates'!$C:$C,MATCH($A171,'ZIP Coordinates'!$A:$A,0))))+COS(RADIANS('ZIP Coordinates'!$C$2))*COS(RADIANS(INDEX('ZIP Coordinates'!$C:$C,MATCH($A171,'ZIP Coordinates'!$A:$A,0))))*COS(RADIANS(INDEX('ZIP Coordinates'!$D:$D,MATCH($A171,'ZIP Coordinates'!$A:$A,0))-'ZIP Coordinates'!$D$2))))),"N/A")</f>
        <v>167.45112096307793</v>
      </c>
      <c r="G171" s="3" t="str">
        <f t="shared" si="4"/>
        <v>150-199 mi</v>
      </c>
      <c r="H171" s="27">
        <f>IF(RIGHT($B171,1)="P",1,IF(ISNUMBER(SEARCH("HALF GALLON",$C171)),Assumptions!$B$4,IF(ISNUMBER(SEARCH("GALLON",$C171)),Assumptions!$B$3,IF(ISNUMBER(SEARCH("QUART",$C171)),Assumptions!$B$5,IF(ISNUMBER(SEARCH("PINT",$C171)),Assumptions!$B$6,Assumptions!$B$7)))))</f>
        <v>1</v>
      </c>
      <c r="I171" s="27">
        <f t="shared" si="5"/>
        <v>48</v>
      </c>
    </row>
    <row r="172" spans="1:9" x14ac:dyDescent="0.2">
      <c r="A172" s="3" t="s">
        <v>8</v>
      </c>
      <c r="B172" s="3" t="s">
        <v>282</v>
      </c>
      <c r="C172" s="3" t="s">
        <v>283</v>
      </c>
      <c r="D172" s="3" t="s">
        <v>118</v>
      </c>
      <c r="E172" s="4">
        <v>3</v>
      </c>
      <c r="F172" s="5">
        <f>IFERROR(3958.8*ACOS(MIN(1,MAX(-1,SIN(RADIANS('ZIP Coordinates'!$C$2))*SIN(RADIANS(INDEX('ZIP Coordinates'!$C:$C,MATCH($A172,'ZIP Coordinates'!$A:$A,0))))+COS(RADIANS('ZIP Coordinates'!$C$2))*COS(RADIANS(INDEX('ZIP Coordinates'!$C:$C,MATCH($A172,'ZIP Coordinates'!$A:$A,0))))*COS(RADIANS(INDEX('ZIP Coordinates'!$D:$D,MATCH($A172,'ZIP Coordinates'!$A:$A,0))-'ZIP Coordinates'!$D$2))))),"N/A")</f>
        <v>167.45112096307793</v>
      </c>
      <c r="G172" s="3" t="str">
        <f t="shared" si="4"/>
        <v>150-199 mi</v>
      </c>
      <c r="H172" s="27">
        <f>IF(RIGHT($B172,1)="P",1,IF(ISNUMBER(SEARCH("HALF GALLON",$C172)),Assumptions!$B$4,IF(ISNUMBER(SEARCH("GALLON",$C172)),Assumptions!$B$3,IF(ISNUMBER(SEARCH("QUART",$C172)),Assumptions!$B$5,IF(ISNUMBER(SEARCH("PINT",$C172)),Assumptions!$B$6,Assumptions!$B$7)))))</f>
        <v>1</v>
      </c>
      <c r="I172" s="27">
        <f t="shared" si="5"/>
        <v>3</v>
      </c>
    </row>
    <row r="173" spans="1:9" x14ac:dyDescent="0.2">
      <c r="A173" s="3" t="s">
        <v>8</v>
      </c>
      <c r="B173" s="3" t="s">
        <v>284</v>
      </c>
      <c r="C173" s="3" t="s">
        <v>285</v>
      </c>
      <c r="D173" s="3" t="s">
        <v>118</v>
      </c>
      <c r="E173" s="4">
        <v>8</v>
      </c>
      <c r="F173" s="5">
        <f>IFERROR(3958.8*ACOS(MIN(1,MAX(-1,SIN(RADIANS('ZIP Coordinates'!$C$2))*SIN(RADIANS(INDEX('ZIP Coordinates'!$C:$C,MATCH($A173,'ZIP Coordinates'!$A:$A,0))))+COS(RADIANS('ZIP Coordinates'!$C$2))*COS(RADIANS(INDEX('ZIP Coordinates'!$C:$C,MATCH($A173,'ZIP Coordinates'!$A:$A,0))))*COS(RADIANS(INDEX('ZIP Coordinates'!$D:$D,MATCH($A173,'ZIP Coordinates'!$A:$A,0))-'ZIP Coordinates'!$D$2))))),"N/A")</f>
        <v>167.45112096307793</v>
      </c>
      <c r="G173" s="3" t="str">
        <f t="shared" si="4"/>
        <v>150-199 mi</v>
      </c>
      <c r="H173" s="27">
        <f>IF(RIGHT($B173,1)="P",1,IF(ISNUMBER(SEARCH("HALF GALLON",$C173)),Assumptions!$B$4,IF(ISNUMBER(SEARCH("GALLON",$C173)),Assumptions!$B$3,IF(ISNUMBER(SEARCH("QUART",$C173)),Assumptions!$B$5,IF(ISNUMBER(SEARCH("PINT",$C173)),Assumptions!$B$6,Assumptions!$B$7)))))</f>
        <v>1</v>
      </c>
      <c r="I173" s="27">
        <f t="shared" si="5"/>
        <v>8</v>
      </c>
    </row>
    <row r="174" spans="1:9" x14ac:dyDescent="0.2">
      <c r="A174" s="3" t="s">
        <v>8</v>
      </c>
      <c r="B174" s="3" t="s">
        <v>286</v>
      </c>
      <c r="C174" s="3" t="s">
        <v>287</v>
      </c>
      <c r="D174" s="3" t="s">
        <v>118</v>
      </c>
      <c r="E174" s="4">
        <v>19</v>
      </c>
      <c r="F174" s="5">
        <f>IFERROR(3958.8*ACOS(MIN(1,MAX(-1,SIN(RADIANS('ZIP Coordinates'!$C$2))*SIN(RADIANS(INDEX('ZIP Coordinates'!$C:$C,MATCH($A174,'ZIP Coordinates'!$A:$A,0))))+COS(RADIANS('ZIP Coordinates'!$C$2))*COS(RADIANS(INDEX('ZIP Coordinates'!$C:$C,MATCH($A174,'ZIP Coordinates'!$A:$A,0))))*COS(RADIANS(INDEX('ZIP Coordinates'!$D:$D,MATCH($A174,'ZIP Coordinates'!$A:$A,0))-'ZIP Coordinates'!$D$2))))),"N/A")</f>
        <v>167.45112096307793</v>
      </c>
      <c r="G174" s="3" t="str">
        <f t="shared" si="4"/>
        <v>150-199 mi</v>
      </c>
      <c r="H174" s="27">
        <f>IF(RIGHT($B174,1)="P",1,IF(ISNUMBER(SEARCH("HALF GALLON",$C174)),Assumptions!$B$4,IF(ISNUMBER(SEARCH("GALLON",$C174)),Assumptions!$B$3,IF(ISNUMBER(SEARCH("QUART",$C174)),Assumptions!$B$5,IF(ISNUMBER(SEARCH("PINT",$C174)),Assumptions!$B$6,Assumptions!$B$7)))))</f>
        <v>9</v>
      </c>
      <c r="I174" s="27">
        <f t="shared" si="5"/>
        <v>171</v>
      </c>
    </row>
    <row r="175" spans="1:9" x14ac:dyDescent="0.2">
      <c r="A175" s="3" t="s">
        <v>8</v>
      </c>
      <c r="B175" s="3" t="s">
        <v>255</v>
      </c>
      <c r="C175" s="3" t="s">
        <v>256</v>
      </c>
      <c r="D175" s="3" t="s">
        <v>118</v>
      </c>
      <c r="E175" s="4">
        <v>31</v>
      </c>
      <c r="F175" s="5">
        <f>IFERROR(3958.8*ACOS(MIN(1,MAX(-1,SIN(RADIANS('ZIP Coordinates'!$C$2))*SIN(RADIANS(INDEX('ZIP Coordinates'!$C:$C,MATCH($A175,'ZIP Coordinates'!$A:$A,0))))+COS(RADIANS('ZIP Coordinates'!$C$2))*COS(RADIANS(INDEX('ZIP Coordinates'!$C:$C,MATCH($A175,'ZIP Coordinates'!$A:$A,0))))*COS(RADIANS(INDEX('ZIP Coordinates'!$D:$D,MATCH($A175,'ZIP Coordinates'!$A:$A,0))-'ZIP Coordinates'!$D$2))))),"N/A")</f>
        <v>167.45112096307793</v>
      </c>
      <c r="G175" s="3" t="str">
        <f t="shared" si="4"/>
        <v>150-199 mi</v>
      </c>
      <c r="H175" s="27">
        <f>IF(RIGHT($B175,1)="P",1,IF(ISNUMBER(SEARCH("HALF GALLON",$C175)),Assumptions!$B$4,IF(ISNUMBER(SEARCH("GALLON",$C175)),Assumptions!$B$3,IF(ISNUMBER(SEARCH("QUART",$C175)),Assumptions!$B$5,IF(ISNUMBER(SEARCH("PINT",$C175)),Assumptions!$B$6,Assumptions!$B$7)))))</f>
        <v>20</v>
      </c>
      <c r="I175" s="27">
        <f t="shared" si="5"/>
        <v>620</v>
      </c>
    </row>
    <row r="176" spans="1:9" x14ac:dyDescent="0.2">
      <c r="A176" s="3" t="s">
        <v>9</v>
      </c>
      <c r="B176" s="3" t="s">
        <v>258</v>
      </c>
      <c r="C176" s="3" t="s">
        <v>240</v>
      </c>
      <c r="D176" s="3" t="s">
        <v>146</v>
      </c>
      <c r="E176" s="4">
        <v>112</v>
      </c>
      <c r="F176" s="5">
        <f>IFERROR(3958.8*ACOS(MIN(1,MAX(-1,SIN(RADIANS('ZIP Coordinates'!$C$2))*SIN(RADIANS(INDEX('ZIP Coordinates'!$C:$C,MATCH($A176,'ZIP Coordinates'!$A:$A,0))))+COS(RADIANS('ZIP Coordinates'!$C$2))*COS(RADIANS(INDEX('ZIP Coordinates'!$C:$C,MATCH($A176,'ZIP Coordinates'!$A:$A,0))))*COS(RADIANS(INDEX('ZIP Coordinates'!$D:$D,MATCH($A176,'ZIP Coordinates'!$A:$A,0))-'ZIP Coordinates'!$D$2))))),"N/A")</f>
        <v>158.36354605751467</v>
      </c>
      <c r="G176" s="3" t="str">
        <f t="shared" si="4"/>
        <v>150-199 mi</v>
      </c>
      <c r="H176" s="27">
        <f>IF(RIGHT($B176,1)="P",1,IF(ISNUMBER(SEARCH("HALF GALLON",$C176)),Assumptions!$B$4,IF(ISNUMBER(SEARCH("GALLON",$C176)),Assumptions!$B$3,IF(ISNUMBER(SEARCH("QUART",$C176)),Assumptions!$B$5,IF(ISNUMBER(SEARCH("PINT",$C176)),Assumptions!$B$6,Assumptions!$B$7)))))</f>
        <v>4</v>
      </c>
      <c r="I176" s="27">
        <f t="shared" si="5"/>
        <v>448</v>
      </c>
    </row>
    <row r="177" spans="1:9" x14ac:dyDescent="0.2">
      <c r="A177" s="3" t="s">
        <v>9</v>
      </c>
      <c r="B177" s="3" t="s">
        <v>259</v>
      </c>
      <c r="C177" s="3" t="s">
        <v>260</v>
      </c>
      <c r="D177" s="3" t="s">
        <v>107</v>
      </c>
      <c r="E177" s="4">
        <v>25</v>
      </c>
      <c r="F177" s="5">
        <f>IFERROR(3958.8*ACOS(MIN(1,MAX(-1,SIN(RADIANS('ZIP Coordinates'!$C$2))*SIN(RADIANS(INDEX('ZIP Coordinates'!$C:$C,MATCH($A177,'ZIP Coordinates'!$A:$A,0))))+COS(RADIANS('ZIP Coordinates'!$C$2))*COS(RADIANS(INDEX('ZIP Coordinates'!$C:$C,MATCH($A177,'ZIP Coordinates'!$A:$A,0))))*COS(RADIANS(INDEX('ZIP Coordinates'!$D:$D,MATCH($A177,'ZIP Coordinates'!$A:$A,0))-'ZIP Coordinates'!$D$2))))),"N/A")</f>
        <v>158.36354605751467</v>
      </c>
      <c r="G177" s="3" t="str">
        <f t="shared" si="4"/>
        <v>150-199 mi</v>
      </c>
      <c r="H177" s="27">
        <f>IF(RIGHT($B177,1)="P",1,IF(ISNUMBER(SEARCH("HALF GALLON",$C177)),Assumptions!$B$4,IF(ISNUMBER(SEARCH("GALLON",$C177)),Assumptions!$B$3,IF(ISNUMBER(SEARCH("QUART",$C177)),Assumptions!$B$5,IF(ISNUMBER(SEARCH("PINT",$C177)),Assumptions!$B$6,Assumptions!$B$7)))))</f>
        <v>4</v>
      </c>
      <c r="I177" s="27">
        <f t="shared" si="5"/>
        <v>100</v>
      </c>
    </row>
    <row r="178" spans="1:9" x14ac:dyDescent="0.2">
      <c r="A178" s="3" t="s">
        <v>9</v>
      </c>
      <c r="B178" s="3" t="s">
        <v>241</v>
      </c>
      <c r="C178" s="3" t="s">
        <v>242</v>
      </c>
      <c r="D178" s="3" t="s">
        <v>107</v>
      </c>
      <c r="E178" s="4">
        <v>52</v>
      </c>
      <c r="F178" s="5">
        <f>IFERROR(3958.8*ACOS(MIN(1,MAX(-1,SIN(RADIANS('ZIP Coordinates'!$C$2))*SIN(RADIANS(INDEX('ZIP Coordinates'!$C:$C,MATCH($A178,'ZIP Coordinates'!$A:$A,0))))+COS(RADIANS('ZIP Coordinates'!$C$2))*COS(RADIANS(INDEX('ZIP Coordinates'!$C:$C,MATCH($A178,'ZIP Coordinates'!$A:$A,0))))*COS(RADIANS(INDEX('ZIP Coordinates'!$D:$D,MATCH($A178,'ZIP Coordinates'!$A:$A,0))-'ZIP Coordinates'!$D$2))))),"N/A")</f>
        <v>158.36354605751467</v>
      </c>
      <c r="G178" s="3" t="str">
        <f t="shared" si="4"/>
        <v>150-199 mi</v>
      </c>
      <c r="H178" s="27">
        <f>IF(RIGHT($B178,1)="P",1,IF(ISNUMBER(SEARCH("HALF GALLON",$C178)),Assumptions!$B$4,IF(ISNUMBER(SEARCH("GALLON",$C178)),Assumptions!$B$3,IF(ISNUMBER(SEARCH("QUART",$C178)),Assumptions!$B$5,IF(ISNUMBER(SEARCH("PINT",$C178)),Assumptions!$B$6,Assumptions!$B$7)))))</f>
        <v>1</v>
      </c>
      <c r="I178" s="27">
        <f t="shared" si="5"/>
        <v>52</v>
      </c>
    </row>
    <row r="179" spans="1:9" x14ac:dyDescent="0.2">
      <c r="A179" s="3" t="s">
        <v>9</v>
      </c>
      <c r="B179" s="3" t="s">
        <v>243</v>
      </c>
      <c r="C179" s="3" t="s">
        <v>244</v>
      </c>
      <c r="D179" s="3" t="s">
        <v>107</v>
      </c>
      <c r="E179" s="4">
        <v>52</v>
      </c>
      <c r="F179" s="5">
        <f>IFERROR(3958.8*ACOS(MIN(1,MAX(-1,SIN(RADIANS('ZIP Coordinates'!$C$2))*SIN(RADIANS(INDEX('ZIP Coordinates'!$C:$C,MATCH($A179,'ZIP Coordinates'!$A:$A,0))))+COS(RADIANS('ZIP Coordinates'!$C$2))*COS(RADIANS(INDEX('ZIP Coordinates'!$C:$C,MATCH($A179,'ZIP Coordinates'!$A:$A,0))))*COS(RADIANS(INDEX('ZIP Coordinates'!$D:$D,MATCH($A179,'ZIP Coordinates'!$A:$A,0))-'ZIP Coordinates'!$D$2))))),"N/A")</f>
        <v>158.36354605751467</v>
      </c>
      <c r="G179" s="3" t="str">
        <f t="shared" si="4"/>
        <v>150-199 mi</v>
      </c>
      <c r="H179" s="27">
        <f>IF(RIGHT($B179,1)="P",1,IF(ISNUMBER(SEARCH("HALF GALLON",$C179)),Assumptions!$B$4,IF(ISNUMBER(SEARCH("GALLON",$C179)),Assumptions!$B$3,IF(ISNUMBER(SEARCH("QUART",$C179)),Assumptions!$B$5,IF(ISNUMBER(SEARCH("PINT",$C179)),Assumptions!$B$6,Assumptions!$B$7)))))</f>
        <v>1</v>
      </c>
      <c r="I179" s="27">
        <f t="shared" si="5"/>
        <v>52</v>
      </c>
    </row>
    <row r="180" spans="1:9" x14ac:dyDescent="0.2">
      <c r="A180" s="3" t="s">
        <v>9</v>
      </c>
      <c r="B180" s="3" t="s">
        <v>276</v>
      </c>
      <c r="C180" s="3" t="s">
        <v>275</v>
      </c>
      <c r="D180" s="3" t="s">
        <v>107</v>
      </c>
      <c r="E180" s="4">
        <v>57</v>
      </c>
      <c r="F180" s="5">
        <f>IFERROR(3958.8*ACOS(MIN(1,MAX(-1,SIN(RADIANS('ZIP Coordinates'!$C$2))*SIN(RADIANS(INDEX('ZIP Coordinates'!$C:$C,MATCH($A180,'ZIP Coordinates'!$A:$A,0))))+COS(RADIANS('ZIP Coordinates'!$C$2))*COS(RADIANS(INDEX('ZIP Coordinates'!$C:$C,MATCH($A180,'ZIP Coordinates'!$A:$A,0))))*COS(RADIANS(INDEX('ZIP Coordinates'!$D:$D,MATCH($A180,'ZIP Coordinates'!$A:$A,0))-'ZIP Coordinates'!$D$2))))),"N/A")</f>
        <v>158.36354605751467</v>
      </c>
      <c r="G180" s="3" t="str">
        <f t="shared" si="4"/>
        <v>150-199 mi</v>
      </c>
      <c r="H180" s="27">
        <f>IF(RIGHT($B180,1)="P",1,IF(ISNUMBER(SEARCH("HALF GALLON",$C180)),Assumptions!$B$4,IF(ISNUMBER(SEARCH("GALLON",$C180)),Assumptions!$B$3,IF(ISNUMBER(SEARCH("QUART",$C180)),Assumptions!$B$5,IF(ISNUMBER(SEARCH("PINT",$C180)),Assumptions!$B$6,Assumptions!$B$7)))))</f>
        <v>1</v>
      </c>
      <c r="I180" s="27">
        <f t="shared" si="5"/>
        <v>57</v>
      </c>
    </row>
    <row r="181" spans="1:9" x14ac:dyDescent="0.2">
      <c r="A181" s="3" t="s">
        <v>9</v>
      </c>
      <c r="B181" s="3" t="s">
        <v>277</v>
      </c>
      <c r="C181" s="3" t="s">
        <v>278</v>
      </c>
      <c r="D181" s="3" t="s">
        <v>107</v>
      </c>
      <c r="E181" s="4">
        <v>66</v>
      </c>
      <c r="F181" s="5">
        <f>IFERROR(3958.8*ACOS(MIN(1,MAX(-1,SIN(RADIANS('ZIP Coordinates'!$C$2))*SIN(RADIANS(INDEX('ZIP Coordinates'!$C:$C,MATCH($A181,'ZIP Coordinates'!$A:$A,0))))+COS(RADIANS('ZIP Coordinates'!$C$2))*COS(RADIANS(INDEX('ZIP Coordinates'!$C:$C,MATCH($A181,'ZIP Coordinates'!$A:$A,0))))*COS(RADIANS(INDEX('ZIP Coordinates'!$D:$D,MATCH($A181,'ZIP Coordinates'!$A:$A,0))-'ZIP Coordinates'!$D$2))))),"N/A")</f>
        <v>158.36354605751467</v>
      </c>
      <c r="G181" s="3" t="str">
        <f t="shared" si="4"/>
        <v>150-199 mi</v>
      </c>
      <c r="H181" s="27">
        <f>IF(RIGHT($B181,1)="P",1,IF(ISNUMBER(SEARCH("HALF GALLON",$C181)),Assumptions!$B$4,IF(ISNUMBER(SEARCH("GALLON",$C181)),Assumptions!$B$3,IF(ISNUMBER(SEARCH("QUART",$C181)),Assumptions!$B$5,IF(ISNUMBER(SEARCH("PINT",$C181)),Assumptions!$B$6,Assumptions!$B$7)))))</f>
        <v>1</v>
      </c>
      <c r="I181" s="27">
        <f t="shared" si="5"/>
        <v>66</v>
      </c>
    </row>
    <row r="182" spans="1:9" x14ac:dyDescent="0.2">
      <c r="A182" s="3" t="s">
        <v>9</v>
      </c>
      <c r="B182" s="3" t="s">
        <v>279</v>
      </c>
      <c r="C182" s="3" t="s">
        <v>280</v>
      </c>
      <c r="D182" s="3" t="s">
        <v>107</v>
      </c>
      <c r="E182" s="4">
        <v>63</v>
      </c>
      <c r="F182" s="5">
        <f>IFERROR(3958.8*ACOS(MIN(1,MAX(-1,SIN(RADIANS('ZIP Coordinates'!$C$2))*SIN(RADIANS(INDEX('ZIP Coordinates'!$C:$C,MATCH($A182,'ZIP Coordinates'!$A:$A,0))))+COS(RADIANS('ZIP Coordinates'!$C$2))*COS(RADIANS(INDEX('ZIP Coordinates'!$C:$C,MATCH($A182,'ZIP Coordinates'!$A:$A,0))))*COS(RADIANS(INDEX('ZIP Coordinates'!$D:$D,MATCH($A182,'ZIP Coordinates'!$A:$A,0))-'ZIP Coordinates'!$D$2))))),"N/A")</f>
        <v>158.36354605751467</v>
      </c>
      <c r="G182" s="3" t="str">
        <f t="shared" si="4"/>
        <v>150-199 mi</v>
      </c>
      <c r="H182" s="27">
        <f>IF(RIGHT($B182,1)="P",1,IF(ISNUMBER(SEARCH("HALF GALLON",$C182)),Assumptions!$B$4,IF(ISNUMBER(SEARCH("GALLON",$C182)),Assumptions!$B$3,IF(ISNUMBER(SEARCH("QUART",$C182)),Assumptions!$B$5,IF(ISNUMBER(SEARCH("PINT",$C182)),Assumptions!$B$6,Assumptions!$B$7)))))</f>
        <v>1</v>
      </c>
      <c r="I182" s="27">
        <f t="shared" si="5"/>
        <v>63</v>
      </c>
    </row>
    <row r="183" spans="1:9" x14ac:dyDescent="0.2">
      <c r="A183" s="3" t="s">
        <v>9</v>
      </c>
      <c r="B183" s="3" t="s">
        <v>247</v>
      </c>
      <c r="C183" s="3" t="s">
        <v>246</v>
      </c>
      <c r="D183" s="3" t="s">
        <v>107</v>
      </c>
      <c r="E183" s="4">
        <v>76</v>
      </c>
      <c r="F183" s="5">
        <f>IFERROR(3958.8*ACOS(MIN(1,MAX(-1,SIN(RADIANS('ZIP Coordinates'!$C$2))*SIN(RADIANS(INDEX('ZIP Coordinates'!$C:$C,MATCH($A183,'ZIP Coordinates'!$A:$A,0))))+COS(RADIANS('ZIP Coordinates'!$C$2))*COS(RADIANS(INDEX('ZIP Coordinates'!$C:$C,MATCH($A183,'ZIP Coordinates'!$A:$A,0))))*COS(RADIANS(INDEX('ZIP Coordinates'!$D:$D,MATCH($A183,'ZIP Coordinates'!$A:$A,0))-'ZIP Coordinates'!$D$2))))),"N/A")</f>
        <v>158.36354605751467</v>
      </c>
      <c r="G183" s="3" t="str">
        <f t="shared" si="4"/>
        <v>150-199 mi</v>
      </c>
      <c r="H183" s="27">
        <f>IF(RIGHT($B183,1)="P",1,IF(ISNUMBER(SEARCH("HALF GALLON",$C183)),Assumptions!$B$4,IF(ISNUMBER(SEARCH("GALLON",$C183)),Assumptions!$B$3,IF(ISNUMBER(SEARCH("QUART",$C183)),Assumptions!$B$5,IF(ISNUMBER(SEARCH("PINT",$C183)),Assumptions!$B$6,Assumptions!$B$7)))))</f>
        <v>1</v>
      </c>
      <c r="I183" s="27">
        <f t="shared" si="5"/>
        <v>76</v>
      </c>
    </row>
    <row r="184" spans="1:9" x14ac:dyDescent="0.2">
      <c r="A184" s="3" t="s">
        <v>9</v>
      </c>
      <c r="B184" s="3" t="s">
        <v>250</v>
      </c>
      <c r="C184" s="3" t="s">
        <v>249</v>
      </c>
      <c r="D184" s="3" t="s">
        <v>107</v>
      </c>
      <c r="E184" s="4">
        <v>72</v>
      </c>
      <c r="F184" s="5">
        <f>IFERROR(3958.8*ACOS(MIN(1,MAX(-1,SIN(RADIANS('ZIP Coordinates'!$C$2))*SIN(RADIANS(INDEX('ZIP Coordinates'!$C:$C,MATCH($A184,'ZIP Coordinates'!$A:$A,0))))+COS(RADIANS('ZIP Coordinates'!$C$2))*COS(RADIANS(INDEX('ZIP Coordinates'!$C:$C,MATCH($A184,'ZIP Coordinates'!$A:$A,0))))*COS(RADIANS(INDEX('ZIP Coordinates'!$D:$D,MATCH($A184,'ZIP Coordinates'!$A:$A,0))-'ZIP Coordinates'!$D$2))))),"N/A")</f>
        <v>158.36354605751467</v>
      </c>
      <c r="G184" s="3" t="str">
        <f t="shared" si="4"/>
        <v>150-199 mi</v>
      </c>
      <c r="H184" s="27">
        <f>IF(RIGHT($B184,1)="P",1,IF(ISNUMBER(SEARCH("HALF GALLON",$C184)),Assumptions!$B$4,IF(ISNUMBER(SEARCH("GALLON",$C184)),Assumptions!$B$3,IF(ISNUMBER(SEARCH("QUART",$C184)),Assumptions!$B$5,IF(ISNUMBER(SEARCH("PINT",$C184)),Assumptions!$B$6,Assumptions!$B$7)))))</f>
        <v>1</v>
      </c>
      <c r="I184" s="27">
        <f t="shared" si="5"/>
        <v>72</v>
      </c>
    </row>
    <row r="185" spans="1:9" x14ac:dyDescent="0.2">
      <c r="A185" s="3" t="s">
        <v>9</v>
      </c>
      <c r="B185" s="3" t="s">
        <v>251</v>
      </c>
      <c r="C185" s="3" t="s">
        <v>252</v>
      </c>
      <c r="D185" s="3" t="s">
        <v>107</v>
      </c>
      <c r="E185" s="4">
        <v>85</v>
      </c>
      <c r="F185" s="5">
        <f>IFERROR(3958.8*ACOS(MIN(1,MAX(-1,SIN(RADIANS('ZIP Coordinates'!$C$2))*SIN(RADIANS(INDEX('ZIP Coordinates'!$C:$C,MATCH($A185,'ZIP Coordinates'!$A:$A,0))))+COS(RADIANS('ZIP Coordinates'!$C$2))*COS(RADIANS(INDEX('ZIP Coordinates'!$C:$C,MATCH($A185,'ZIP Coordinates'!$A:$A,0))))*COS(RADIANS(INDEX('ZIP Coordinates'!$D:$D,MATCH($A185,'ZIP Coordinates'!$A:$A,0))-'ZIP Coordinates'!$D$2))))),"N/A")</f>
        <v>158.36354605751467</v>
      </c>
      <c r="G185" s="3" t="str">
        <f t="shared" si="4"/>
        <v>150-199 mi</v>
      </c>
      <c r="H185" s="27">
        <f>IF(RIGHT($B185,1)="P",1,IF(ISNUMBER(SEARCH("HALF GALLON",$C185)),Assumptions!$B$4,IF(ISNUMBER(SEARCH("GALLON",$C185)),Assumptions!$B$3,IF(ISNUMBER(SEARCH("QUART",$C185)),Assumptions!$B$5,IF(ISNUMBER(SEARCH("PINT",$C185)),Assumptions!$B$6,Assumptions!$B$7)))))</f>
        <v>1</v>
      </c>
      <c r="I185" s="27">
        <f t="shared" si="5"/>
        <v>85</v>
      </c>
    </row>
    <row r="186" spans="1:9" x14ac:dyDescent="0.2">
      <c r="A186" s="3" t="s">
        <v>9</v>
      </c>
      <c r="B186" s="3" t="s">
        <v>282</v>
      </c>
      <c r="C186" s="3" t="s">
        <v>283</v>
      </c>
      <c r="D186" s="3" t="s">
        <v>107</v>
      </c>
      <c r="E186" s="4">
        <v>14</v>
      </c>
      <c r="F186" s="5">
        <f>IFERROR(3958.8*ACOS(MIN(1,MAX(-1,SIN(RADIANS('ZIP Coordinates'!$C$2))*SIN(RADIANS(INDEX('ZIP Coordinates'!$C:$C,MATCH($A186,'ZIP Coordinates'!$A:$A,0))))+COS(RADIANS('ZIP Coordinates'!$C$2))*COS(RADIANS(INDEX('ZIP Coordinates'!$C:$C,MATCH($A186,'ZIP Coordinates'!$A:$A,0))))*COS(RADIANS(INDEX('ZIP Coordinates'!$D:$D,MATCH($A186,'ZIP Coordinates'!$A:$A,0))-'ZIP Coordinates'!$D$2))))),"N/A")</f>
        <v>158.36354605751467</v>
      </c>
      <c r="G186" s="3" t="str">
        <f t="shared" si="4"/>
        <v>150-199 mi</v>
      </c>
      <c r="H186" s="27">
        <f>IF(RIGHT($B186,1)="P",1,IF(ISNUMBER(SEARCH("HALF GALLON",$C186)),Assumptions!$B$4,IF(ISNUMBER(SEARCH("GALLON",$C186)),Assumptions!$B$3,IF(ISNUMBER(SEARCH("QUART",$C186)),Assumptions!$B$5,IF(ISNUMBER(SEARCH("PINT",$C186)),Assumptions!$B$6,Assumptions!$B$7)))))</f>
        <v>1</v>
      </c>
      <c r="I186" s="27">
        <f t="shared" si="5"/>
        <v>14</v>
      </c>
    </row>
    <row r="187" spans="1:9" x14ac:dyDescent="0.2">
      <c r="A187" s="3" t="s">
        <v>9</v>
      </c>
      <c r="B187" s="3" t="s">
        <v>284</v>
      </c>
      <c r="C187" s="3" t="s">
        <v>285</v>
      </c>
      <c r="D187" s="3" t="s">
        <v>107</v>
      </c>
      <c r="E187" s="4">
        <v>22</v>
      </c>
      <c r="F187" s="5">
        <f>IFERROR(3958.8*ACOS(MIN(1,MAX(-1,SIN(RADIANS('ZIP Coordinates'!$C$2))*SIN(RADIANS(INDEX('ZIP Coordinates'!$C:$C,MATCH($A187,'ZIP Coordinates'!$A:$A,0))))+COS(RADIANS('ZIP Coordinates'!$C$2))*COS(RADIANS(INDEX('ZIP Coordinates'!$C:$C,MATCH($A187,'ZIP Coordinates'!$A:$A,0))))*COS(RADIANS(INDEX('ZIP Coordinates'!$D:$D,MATCH($A187,'ZIP Coordinates'!$A:$A,0))-'ZIP Coordinates'!$D$2))))),"N/A")</f>
        <v>158.36354605751467</v>
      </c>
      <c r="G187" s="3" t="str">
        <f t="shared" si="4"/>
        <v>150-199 mi</v>
      </c>
      <c r="H187" s="27">
        <f>IF(RIGHT($B187,1)="P",1,IF(ISNUMBER(SEARCH("HALF GALLON",$C187)),Assumptions!$B$4,IF(ISNUMBER(SEARCH("GALLON",$C187)),Assumptions!$B$3,IF(ISNUMBER(SEARCH("QUART",$C187)),Assumptions!$B$5,IF(ISNUMBER(SEARCH("PINT",$C187)),Assumptions!$B$6,Assumptions!$B$7)))))</f>
        <v>1</v>
      </c>
      <c r="I187" s="27">
        <f t="shared" si="5"/>
        <v>22</v>
      </c>
    </row>
    <row r="188" spans="1:9" x14ac:dyDescent="0.2">
      <c r="A188" s="3" t="s">
        <v>9</v>
      </c>
      <c r="B188" s="3" t="s">
        <v>286</v>
      </c>
      <c r="C188" s="3" t="s">
        <v>287</v>
      </c>
      <c r="D188" s="3" t="s">
        <v>107</v>
      </c>
      <c r="E188" s="4">
        <v>6</v>
      </c>
      <c r="F188" s="5">
        <f>IFERROR(3958.8*ACOS(MIN(1,MAX(-1,SIN(RADIANS('ZIP Coordinates'!$C$2))*SIN(RADIANS(INDEX('ZIP Coordinates'!$C:$C,MATCH($A188,'ZIP Coordinates'!$A:$A,0))))+COS(RADIANS('ZIP Coordinates'!$C$2))*COS(RADIANS(INDEX('ZIP Coordinates'!$C:$C,MATCH($A188,'ZIP Coordinates'!$A:$A,0))))*COS(RADIANS(INDEX('ZIP Coordinates'!$D:$D,MATCH($A188,'ZIP Coordinates'!$A:$A,0))-'ZIP Coordinates'!$D$2))))),"N/A")</f>
        <v>158.36354605751467</v>
      </c>
      <c r="G188" s="3" t="str">
        <f t="shared" si="4"/>
        <v>150-199 mi</v>
      </c>
      <c r="H188" s="27">
        <f>IF(RIGHT($B188,1)="P",1,IF(ISNUMBER(SEARCH("HALF GALLON",$C188)),Assumptions!$B$4,IF(ISNUMBER(SEARCH("GALLON",$C188)),Assumptions!$B$3,IF(ISNUMBER(SEARCH("QUART",$C188)),Assumptions!$B$5,IF(ISNUMBER(SEARCH("PINT",$C188)),Assumptions!$B$6,Assumptions!$B$7)))))</f>
        <v>9</v>
      </c>
      <c r="I188" s="27">
        <f t="shared" si="5"/>
        <v>54</v>
      </c>
    </row>
    <row r="189" spans="1:9" x14ac:dyDescent="0.2">
      <c r="A189" s="3" t="s">
        <v>9</v>
      </c>
      <c r="B189" s="3" t="s">
        <v>288</v>
      </c>
      <c r="C189" s="3" t="s">
        <v>287</v>
      </c>
      <c r="D189" s="3" t="s">
        <v>107</v>
      </c>
      <c r="E189" s="4">
        <v>36</v>
      </c>
      <c r="F189" s="5">
        <f>IFERROR(3958.8*ACOS(MIN(1,MAX(-1,SIN(RADIANS('ZIP Coordinates'!$C$2))*SIN(RADIANS(INDEX('ZIP Coordinates'!$C:$C,MATCH($A189,'ZIP Coordinates'!$A:$A,0))))+COS(RADIANS('ZIP Coordinates'!$C$2))*COS(RADIANS(INDEX('ZIP Coordinates'!$C:$C,MATCH($A189,'ZIP Coordinates'!$A:$A,0))))*COS(RADIANS(INDEX('ZIP Coordinates'!$D:$D,MATCH($A189,'ZIP Coordinates'!$A:$A,0))-'ZIP Coordinates'!$D$2))))),"N/A")</f>
        <v>158.36354605751467</v>
      </c>
      <c r="G189" s="3" t="str">
        <f t="shared" si="4"/>
        <v>150-199 mi</v>
      </c>
      <c r="H189" s="27">
        <f>IF(RIGHT($B189,1)="P",1,IF(ISNUMBER(SEARCH("HALF GALLON",$C189)),Assumptions!$B$4,IF(ISNUMBER(SEARCH("GALLON",$C189)),Assumptions!$B$3,IF(ISNUMBER(SEARCH("QUART",$C189)),Assumptions!$B$5,IF(ISNUMBER(SEARCH("PINT",$C189)),Assumptions!$B$6,Assumptions!$B$7)))))</f>
        <v>1</v>
      </c>
      <c r="I189" s="27">
        <f t="shared" si="5"/>
        <v>36</v>
      </c>
    </row>
    <row r="190" spans="1:9" x14ac:dyDescent="0.2">
      <c r="A190" s="3" t="s">
        <v>9</v>
      </c>
      <c r="B190" s="3" t="s">
        <v>255</v>
      </c>
      <c r="C190" s="3" t="s">
        <v>256</v>
      </c>
      <c r="D190" s="3" t="s">
        <v>107</v>
      </c>
      <c r="E190" s="4">
        <v>15</v>
      </c>
      <c r="F190" s="5">
        <f>IFERROR(3958.8*ACOS(MIN(1,MAX(-1,SIN(RADIANS('ZIP Coordinates'!$C$2))*SIN(RADIANS(INDEX('ZIP Coordinates'!$C:$C,MATCH($A190,'ZIP Coordinates'!$A:$A,0))))+COS(RADIANS('ZIP Coordinates'!$C$2))*COS(RADIANS(INDEX('ZIP Coordinates'!$C:$C,MATCH($A190,'ZIP Coordinates'!$A:$A,0))))*COS(RADIANS(INDEX('ZIP Coordinates'!$D:$D,MATCH($A190,'ZIP Coordinates'!$A:$A,0))-'ZIP Coordinates'!$D$2))))),"N/A")</f>
        <v>158.36354605751467</v>
      </c>
      <c r="G190" s="3" t="str">
        <f t="shared" si="4"/>
        <v>150-199 mi</v>
      </c>
      <c r="H190" s="27">
        <f>IF(RIGHT($B190,1)="P",1,IF(ISNUMBER(SEARCH("HALF GALLON",$C190)),Assumptions!$B$4,IF(ISNUMBER(SEARCH("GALLON",$C190)),Assumptions!$B$3,IF(ISNUMBER(SEARCH("QUART",$C190)),Assumptions!$B$5,IF(ISNUMBER(SEARCH("PINT",$C190)),Assumptions!$B$6,Assumptions!$B$7)))))</f>
        <v>20</v>
      </c>
      <c r="I190" s="27">
        <f t="shared" si="5"/>
        <v>300</v>
      </c>
    </row>
    <row r="191" spans="1:9" x14ac:dyDescent="0.2">
      <c r="A191" s="3" t="s">
        <v>10</v>
      </c>
      <c r="B191" s="3" t="s">
        <v>258</v>
      </c>
      <c r="C191" s="3" t="s">
        <v>240</v>
      </c>
      <c r="D191" s="3" t="s">
        <v>149</v>
      </c>
      <c r="E191" s="4">
        <v>5</v>
      </c>
      <c r="F191" s="5">
        <f>IFERROR(3958.8*ACOS(MIN(1,MAX(-1,SIN(RADIANS('ZIP Coordinates'!$C$2))*SIN(RADIANS(INDEX('ZIP Coordinates'!$C:$C,MATCH($A191,'ZIP Coordinates'!$A:$A,0))))+COS(RADIANS('ZIP Coordinates'!$C$2))*COS(RADIANS(INDEX('ZIP Coordinates'!$C:$C,MATCH($A191,'ZIP Coordinates'!$A:$A,0))))*COS(RADIANS(INDEX('ZIP Coordinates'!$D:$D,MATCH($A191,'ZIP Coordinates'!$A:$A,0))-'ZIP Coordinates'!$D$2))))),"N/A")</f>
        <v>165.79391068473419</v>
      </c>
      <c r="G191" s="3" t="str">
        <f t="shared" si="4"/>
        <v>150-199 mi</v>
      </c>
      <c r="H191" s="27">
        <f>IF(RIGHT($B191,1)="P",1,IF(ISNUMBER(SEARCH("HALF GALLON",$C191)),Assumptions!$B$4,IF(ISNUMBER(SEARCH("GALLON",$C191)),Assumptions!$B$3,IF(ISNUMBER(SEARCH("QUART",$C191)),Assumptions!$B$5,IF(ISNUMBER(SEARCH("PINT",$C191)),Assumptions!$B$6,Assumptions!$B$7)))))</f>
        <v>4</v>
      </c>
      <c r="I191" s="27">
        <f t="shared" si="5"/>
        <v>20</v>
      </c>
    </row>
    <row r="192" spans="1:9" x14ac:dyDescent="0.2">
      <c r="A192" s="3" t="s">
        <v>10</v>
      </c>
      <c r="B192" s="3" t="s">
        <v>239</v>
      </c>
      <c r="C192" s="3" t="s">
        <v>240</v>
      </c>
      <c r="D192" s="3" t="s">
        <v>97</v>
      </c>
      <c r="E192" s="4">
        <v>57</v>
      </c>
      <c r="F192" s="5">
        <f>IFERROR(3958.8*ACOS(MIN(1,MAX(-1,SIN(RADIANS('ZIP Coordinates'!$C$2))*SIN(RADIANS(INDEX('ZIP Coordinates'!$C:$C,MATCH($A192,'ZIP Coordinates'!$A:$A,0))))+COS(RADIANS('ZIP Coordinates'!$C$2))*COS(RADIANS(INDEX('ZIP Coordinates'!$C:$C,MATCH($A192,'ZIP Coordinates'!$A:$A,0))))*COS(RADIANS(INDEX('ZIP Coordinates'!$D:$D,MATCH($A192,'ZIP Coordinates'!$A:$A,0))-'ZIP Coordinates'!$D$2))))),"N/A")</f>
        <v>165.79391068473419</v>
      </c>
      <c r="G192" s="3" t="str">
        <f t="shared" si="4"/>
        <v>150-199 mi</v>
      </c>
      <c r="H192" s="27">
        <f>IF(RIGHT($B192,1)="P",1,IF(ISNUMBER(SEARCH("HALF GALLON",$C192)),Assumptions!$B$4,IF(ISNUMBER(SEARCH("GALLON",$C192)),Assumptions!$B$3,IF(ISNUMBER(SEARCH("QUART",$C192)),Assumptions!$B$5,IF(ISNUMBER(SEARCH("PINT",$C192)),Assumptions!$B$6,Assumptions!$B$7)))))</f>
        <v>1</v>
      </c>
      <c r="I192" s="27">
        <f t="shared" si="5"/>
        <v>57</v>
      </c>
    </row>
    <row r="193" spans="1:9" x14ac:dyDescent="0.2">
      <c r="A193" s="3" t="s">
        <v>10</v>
      </c>
      <c r="B193" s="3" t="s">
        <v>259</v>
      </c>
      <c r="C193" s="3" t="s">
        <v>260</v>
      </c>
      <c r="D193" s="3" t="s">
        <v>149</v>
      </c>
      <c r="E193" s="4">
        <v>1</v>
      </c>
      <c r="F193" s="5">
        <f>IFERROR(3958.8*ACOS(MIN(1,MAX(-1,SIN(RADIANS('ZIP Coordinates'!$C$2))*SIN(RADIANS(INDEX('ZIP Coordinates'!$C:$C,MATCH($A193,'ZIP Coordinates'!$A:$A,0))))+COS(RADIANS('ZIP Coordinates'!$C$2))*COS(RADIANS(INDEX('ZIP Coordinates'!$C:$C,MATCH($A193,'ZIP Coordinates'!$A:$A,0))))*COS(RADIANS(INDEX('ZIP Coordinates'!$D:$D,MATCH($A193,'ZIP Coordinates'!$A:$A,0))-'ZIP Coordinates'!$D$2))))),"N/A")</f>
        <v>165.79391068473419</v>
      </c>
      <c r="G193" s="3" t="str">
        <f t="shared" si="4"/>
        <v>150-199 mi</v>
      </c>
      <c r="H193" s="27">
        <f>IF(RIGHT($B193,1)="P",1,IF(ISNUMBER(SEARCH("HALF GALLON",$C193)),Assumptions!$B$4,IF(ISNUMBER(SEARCH("GALLON",$C193)),Assumptions!$B$3,IF(ISNUMBER(SEARCH("QUART",$C193)),Assumptions!$B$5,IF(ISNUMBER(SEARCH("PINT",$C193)),Assumptions!$B$6,Assumptions!$B$7)))))</f>
        <v>4</v>
      </c>
      <c r="I193" s="27">
        <f t="shared" si="5"/>
        <v>4</v>
      </c>
    </row>
    <row r="194" spans="1:9" x14ac:dyDescent="0.2">
      <c r="A194" s="3" t="s">
        <v>10</v>
      </c>
      <c r="B194" s="3" t="s">
        <v>261</v>
      </c>
      <c r="C194" s="3" t="s">
        <v>260</v>
      </c>
      <c r="D194" s="3" t="s">
        <v>97</v>
      </c>
      <c r="E194" s="4">
        <v>46</v>
      </c>
      <c r="F194" s="5">
        <f>IFERROR(3958.8*ACOS(MIN(1,MAX(-1,SIN(RADIANS('ZIP Coordinates'!$C$2))*SIN(RADIANS(INDEX('ZIP Coordinates'!$C:$C,MATCH($A194,'ZIP Coordinates'!$A:$A,0))))+COS(RADIANS('ZIP Coordinates'!$C$2))*COS(RADIANS(INDEX('ZIP Coordinates'!$C:$C,MATCH($A194,'ZIP Coordinates'!$A:$A,0))))*COS(RADIANS(INDEX('ZIP Coordinates'!$D:$D,MATCH($A194,'ZIP Coordinates'!$A:$A,0))-'ZIP Coordinates'!$D$2))))),"N/A")</f>
        <v>165.79391068473419</v>
      </c>
      <c r="G194" s="3" t="str">
        <f t="shared" ref="G194:G257" si="6">IF($F194="N/A","Unknown",IF($F194&lt;50,"0-49 mi",IF($F194&lt;100,"50-99 mi",IF($F194&lt;150,"100-149 mi",IF($F194&lt;200,"150-199 mi","200+ mi")))))</f>
        <v>150-199 mi</v>
      </c>
      <c r="H194" s="27">
        <f>IF(RIGHT($B194,1)="P",1,IF(ISNUMBER(SEARCH("HALF GALLON",$C194)),Assumptions!$B$4,IF(ISNUMBER(SEARCH("GALLON",$C194)),Assumptions!$B$3,IF(ISNUMBER(SEARCH("QUART",$C194)),Assumptions!$B$5,IF(ISNUMBER(SEARCH("PINT",$C194)),Assumptions!$B$6,Assumptions!$B$7)))))</f>
        <v>1</v>
      </c>
      <c r="I194" s="27">
        <f t="shared" si="5"/>
        <v>46</v>
      </c>
    </row>
    <row r="195" spans="1:9" x14ac:dyDescent="0.2">
      <c r="A195" s="3" t="s">
        <v>10</v>
      </c>
      <c r="B195" s="3" t="s">
        <v>267</v>
      </c>
      <c r="C195" s="3" t="s">
        <v>268</v>
      </c>
      <c r="D195" s="3" t="s">
        <v>149</v>
      </c>
      <c r="E195" s="4">
        <v>2</v>
      </c>
      <c r="F195" s="5">
        <f>IFERROR(3958.8*ACOS(MIN(1,MAX(-1,SIN(RADIANS('ZIP Coordinates'!$C$2))*SIN(RADIANS(INDEX('ZIP Coordinates'!$C:$C,MATCH($A195,'ZIP Coordinates'!$A:$A,0))))+COS(RADIANS('ZIP Coordinates'!$C$2))*COS(RADIANS(INDEX('ZIP Coordinates'!$C:$C,MATCH($A195,'ZIP Coordinates'!$A:$A,0))))*COS(RADIANS(INDEX('ZIP Coordinates'!$D:$D,MATCH($A195,'ZIP Coordinates'!$A:$A,0))-'ZIP Coordinates'!$D$2))))),"N/A")</f>
        <v>165.79391068473419</v>
      </c>
      <c r="G195" s="3" t="str">
        <f t="shared" si="6"/>
        <v>150-199 mi</v>
      </c>
      <c r="H195" s="27">
        <f>IF(RIGHT($B195,1)="P",1,IF(ISNUMBER(SEARCH("HALF GALLON",$C195)),Assumptions!$B$4,IF(ISNUMBER(SEARCH("GALLON",$C195)),Assumptions!$B$3,IF(ISNUMBER(SEARCH("QUART",$C195)),Assumptions!$B$5,IF(ISNUMBER(SEARCH("PINT",$C195)),Assumptions!$B$6,Assumptions!$B$7)))))</f>
        <v>4</v>
      </c>
      <c r="I195" s="27">
        <f t="shared" ref="I195:I258" si="7">$E195*$H195</f>
        <v>8</v>
      </c>
    </row>
    <row r="196" spans="1:9" x14ac:dyDescent="0.2">
      <c r="A196" s="3" t="s">
        <v>10</v>
      </c>
      <c r="B196" s="3" t="s">
        <v>269</v>
      </c>
      <c r="C196" s="3" t="s">
        <v>268</v>
      </c>
      <c r="D196" s="3" t="s">
        <v>149</v>
      </c>
      <c r="E196" s="4">
        <v>13</v>
      </c>
      <c r="F196" s="5">
        <f>IFERROR(3958.8*ACOS(MIN(1,MAX(-1,SIN(RADIANS('ZIP Coordinates'!$C$2))*SIN(RADIANS(INDEX('ZIP Coordinates'!$C:$C,MATCH($A196,'ZIP Coordinates'!$A:$A,0))))+COS(RADIANS('ZIP Coordinates'!$C$2))*COS(RADIANS(INDEX('ZIP Coordinates'!$C:$C,MATCH($A196,'ZIP Coordinates'!$A:$A,0))))*COS(RADIANS(INDEX('ZIP Coordinates'!$D:$D,MATCH($A196,'ZIP Coordinates'!$A:$A,0))-'ZIP Coordinates'!$D$2))))),"N/A")</f>
        <v>165.79391068473419</v>
      </c>
      <c r="G196" s="3" t="str">
        <f t="shared" si="6"/>
        <v>150-199 mi</v>
      </c>
      <c r="H196" s="27">
        <f>IF(RIGHT($B196,1)="P",1,IF(ISNUMBER(SEARCH("HALF GALLON",$C196)),Assumptions!$B$4,IF(ISNUMBER(SEARCH("GALLON",$C196)),Assumptions!$B$3,IF(ISNUMBER(SEARCH("QUART",$C196)),Assumptions!$B$5,IF(ISNUMBER(SEARCH("PINT",$C196)),Assumptions!$B$6,Assumptions!$B$7)))))</f>
        <v>1</v>
      </c>
      <c r="I196" s="27">
        <f t="shared" si="7"/>
        <v>13</v>
      </c>
    </row>
    <row r="197" spans="1:9" x14ac:dyDescent="0.2">
      <c r="A197" s="3" t="s">
        <v>10</v>
      </c>
      <c r="B197" s="3" t="s">
        <v>270</v>
      </c>
      <c r="C197" s="3" t="s">
        <v>242</v>
      </c>
      <c r="D197" s="3" t="s">
        <v>149</v>
      </c>
      <c r="E197" s="4">
        <v>13</v>
      </c>
      <c r="F197" s="5">
        <f>IFERROR(3958.8*ACOS(MIN(1,MAX(-1,SIN(RADIANS('ZIP Coordinates'!$C$2))*SIN(RADIANS(INDEX('ZIP Coordinates'!$C:$C,MATCH($A197,'ZIP Coordinates'!$A:$A,0))))+COS(RADIANS('ZIP Coordinates'!$C$2))*COS(RADIANS(INDEX('ZIP Coordinates'!$C:$C,MATCH($A197,'ZIP Coordinates'!$A:$A,0))))*COS(RADIANS(INDEX('ZIP Coordinates'!$D:$D,MATCH($A197,'ZIP Coordinates'!$A:$A,0))-'ZIP Coordinates'!$D$2))))),"N/A")</f>
        <v>165.79391068473419</v>
      </c>
      <c r="G197" s="3" t="str">
        <f t="shared" si="6"/>
        <v>150-199 mi</v>
      </c>
      <c r="H197" s="27">
        <f>IF(RIGHT($B197,1)="P",1,IF(ISNUMBER(SEARCH("HALF GALLON",$C197)),Assumptions!$B$4,IF(ISNUMBER(SEARCH("GALLON",$C197)),Assumptions!$B$3,IF(ISNUMBER(SEARCH("QUART",$C197)),Assumptions!$B$5,IF(ISNUMBER(SEARCH("PINT",$C197)),Assumptions!$B$6,Assumptions!$B$7)))))</f>
        <v>9</v>
      </c>
      <c r="I197" s="27">
        <f t="shared" si="7"/>
        <v>117</v>
      </c>
    </row>
    <row r="198" spans="1:9" x14ac:dyDescent="0.2">
      <c r="A198" s="3" t="s">
        <v>10</v>
      </c>
      <c r="B198" s="3" t="s">
        <v>241</v>
      </c>
      <c r="C198" s="3" t="s">
        <v>242</v>
      </c>
      <c r="D198" s="3" t="s">
        <v>97</v>
      </c>
      <c r="E198" s="4">
        <v>60</v>
      </c>
      <c r="F198" s="5">
        <f>IFERROR(3958.8*ACOS(MIN(1,MAX(-1,SIN(RADIANS('ZIP Coordinates'!$C$2))*SIN(RADIANS(INDEX('ZIP Coordinates'!$C:$C,MATCH($A198,'ZIP Coordinates'!$A:$A,0))))+COS(RADIANS('ZIP Coordinates'!$C$2))*COS(RADIANS(INDEX('ZIP Coordinates'!$C:$C,MATCH($A198,'ZIP Coordinates'!$A:$A,0))))*COS(RADIANS(INDEX('ZIP Coordinates'!$D:$D,MATCH($A198,'ZIP Coordinates'!$A:$A,0))-'ZIP Coordinates'!$D$2))))),"N/A")</f>
        <v>165.79391068473419</v>
      </c>
      <c r="G198" s="3" t="str">
        <f t="shared" si="6"/>
        <v>150-199 mi</v>
      </c>
      <c r="H198" s="27">
        <f>IF(RIGHT($B198,1)="P",1,IF(ISNUMBER(SEARCH("HALF GALLON",$C198)),Assumptions!$B$4,IF(ISNUMBER(SEARCH("GALLON",$C198)),Assumptions!$B$3,IF(ISNUMBER(SEARCH("QUART",$C198)),Assumptions!$B$5,IF(ISNUMBER(SEARCH("PINT",$C198)),Assumptions!$B$6,Assumptions!$B$7)))))</f>
        <v>1</v>
      </c>
      <c r="I198" s="27">
        <f t="shared" si="7"/>
        <v>60</v>
      </c>
    </row>
    <row r="199" spans="1:9" x14ac:dyDescent="0.2">
      <c r="A199" s="3" t="s">
        <v>10</v>
      </c>
      <c r="B199" s="3" t="s">
        <v>271</v>
      </c>
      <c r="C199" s="3" t="s">
        <v>244</v>
      </c>
      <c r="D199" s="3" t="s">
        <v>160</v>
      </c>
      <c r="E199" s="4">
        <v>81</v>
      </c>
      <c r="F199" s="5">
        <f>IFERROR(3958.8*ACOS(MIN(1,MAX(-1,SIN(RADIANS('ZIP Coordinates'!$C$2))*SIN(RADIANS(INDEX('ZIP Coordinates'!$C:$C,MATCH($A199,'ZIP Coordinates'!$A:$A,0))))+COS(RADIANS('ZIP Coordinates'!$C$2))*COS(RADIANS(INDEX('ZIP Coordinates'!$C:$C,MATCH($A199,'ZIP Coordinates'!$A:$A,0))))*COS(RADIANS(INDEX('ZIP Coordinates'!$D:$D,MATCH($A199,'ZIP Coordinates'!$A:$A,0))-'ZIP Coordinates'!$D$2))))),"N/A")</f>
        <v>165.79391068473419</v>
      </c>
      <c r="G199" s="3" t="str">
        <f t="shared" si="6"/>
        <v>150-199 mi</v>
      </c>
      <c r="H199" s="27">
        <f>IF(RIGHT($B199,1)="P",1,IF(ISNUMBER(SEARCH("HALF GALLON",$C199)),Assumptions!$B$4,IF(ISNUMBER(SEARCH("GALLON",$C199)),Assumptions!$B$3,IF(ISNUMBER(SEARCH("QUART",$C199)),Assumptions!$B$5,IF(ISNUMBER(SEARCH("PINT",$C199)),Assumptions!$B$6,Assumptions!$B$7)))))</f>
        <v>9</v>
      </c>
      <c r="I199" s="27">
        <f t="shared" si="7"/>
        <v>729</v>
      </c>
    </row>
    <row r="200" spans="1:9" x14ac:dyDescent="0.2">
      <c r="A200" s="3" t="s">
        <v>10</v>
      </c>
      <c r="B200" s="3" t="s">
        <v>243</v>
      </c>
      <c r="C200" s="3" t="s">
        <v>244</v>
      </c>
      <c r="D200" s="3" t="s">
        <v>97</v>
      </c>
      <c r="E200" s="4">
        <v>54</v>
      </c>
      <c r="F200" s="5">
        <f>IFERROR(3958.8*ACOS(MIN(1,MAX(-1,SIN(RADIANS('ZIP Coordinates'!$C$2))*SIN(RADIANS(INDEX('ZIP Coordinates'!$C:$C,MATCH($A200,'ZIP Coordinates'!$A:$A,0))))+COS(RADIANS('ZIP Coordinates'!$C$2))*COS(RADIANS(INDEX('ZIP Coordinates'!$C:$C,MATCH($A200,'ZIP Coordinates'!$A:$A,0))))*COS(RADIANS(INDEX('ZIP Coordinates'!$D:$D,MATCH($A200,'ZIP Coordinates'!$A:$A,0))-'ZIP Coordinates'!$D$2))))),"N/A")</f>
        <v>165.79391068473419</v>
      </c>
      <c r="G200" s="3" t="str">
        <f t="shared" si="6"/>
        <v>150-199 mi</v>
      </c>
      <c r="H200" s="27">
        <f>IF(RIGHT($B200,1)="P",1,IF(ISNUMBER(SEARCH("HALF GALLON",$C200)),Assumptions!$B$4,IF(ISNUMBER(SEARCH("GALLON",$C200)),Assumptions!$B$3,IF(ISNUMBER(SEARCH("QUART",$C200)),Assumptions!$B$5,IF(ISNUMBER(SEARCH("PINT",$C200)),Assumptions!$B$6,Assumptions!$B$7)))))</f>
        <v>1</v>
      </c>
      <c r="I200" s="27">
        <f t="shared" si="7"/>
        <v>54</v>
      </c>
    </row>
    <row r="201" spans="1:9" x14ac:dyDescent="0.2">
      <c r="A201" s="3" t="s">
        <v>10</v>
      </c>
      <c r="B201" s="3" t="s">
        <v>272</v>
      </c>
      <c r="C201" s="3" t="s">
        <v>273</v>
      </c>
      <c r="D201" s="3" t="s">
        <v>149</v>
      </c>
      <c r="E201" s="4">
        <v>4</v>
      </c>
      <c r="F201" s="5">
        <f>IFERROR(3958.8*ACOS(MIN(1,MAX(-1,SIN(RADIANS('ZIP Coordinates'!$C$2))*SIN(RADIANS(INDEX('ZIP Coordinates'!$C:$C,MATCH($A201,'ZIP Coordinates'!$A:$A,0))))+COS(RADIANS('ZIP Coordinates'!$C$2))*COS(RADIANS(INDEX('ZIP Coordinates'!$C:$C,MATCH($A201,'ZIP Coordinates'!$A:$A,0))))*COS(RADIANS(INDEX('ZIP Coordinates'!$D:$D,MATCH($A201,'ZIP Coordinates'!$A:$A,0))-'ZIP Coordinates'!$D$2))))),"N/A")</f>
        <v>165.79391068473419</v>
      </c>
      <c r="G201" s="3" t="str">
        <f t="shared" si="6"/>
        <v>150-199 mi</v>
      </c>
      <c r="H201" s="27">
        <f>IF(RIGHT($B201,1)="P",1,IF(ISNUMBER(SEARCH("HALF GALLON",$C201)),Assumptions!$B$4,IF(ISNUMBER(SEARCH("GALLON",$C201)),Assumptions!$B$3,IF(ISNUMBER(SEARCH("QUART",$C201)),Assumptions!$B$5,IF(ISNUMBER(SEARCH("PINT",$C201)),Assumptions!$B$6,Assumptions!$B$7)))))</f>
        <v>1</v>
      </c>
      <c r="I201" s="27">
        <f t="shared" si="7"/>
        <v>4</v>
      </c>
    </row>
    <row r="202" spans="1:9" x14ac:dyDescent="0.2">
      <c r="A202" s="3" t="s">
        <v>10</v>
      </c>
      <c r="B202" s="3" t="s">
        <v>274</v>
      </c>
      <c r="C202" s="3" t="s">
        <v>275</v>
      </c>
      <c r="D202" s="3" t="s">
        <v>149</v>
      </c>
      <c r="E202" s="4">
        <v>9</v>
      </c>
      <c r="F202" s="5">
        <f>IFERROR(3958.8*ACOS(MIN(1,MAX(-1,SIN(RADIANS('ZIP Coordinates'!$C$2))*SIN(RADIANS(INDEX('ZIP Coordinates'!$C:$C,MATCH($A202,'ZIP Coordinates'!$A:$A,0))))+COS(RADIANS('ZIP Coordinates'!$C$2))*COS(RADIANS(INDEX('ZIP Coordinates'!$C:$C,MATCH($A202,'ZIP Coordinates'!$A:$A,0))))*COS(RADIANS(INDEX('ZIP Coordinates'!$D:$D,MATCH($A202,'ZIP Coordinates'!$A:$A,0))-'ZIP Coordinates'!$D$2))))),"N/A")</f>
        <v>165.79391068473419</v>
      </c>
      <c r="G202" s="3" t="str">
        <f t="shared" si="6"/>
        <v>150-199 mi</v>
      </c>
      <c r="H202" s="27">
        <f>IF(RIGHT($B202,1)="P",1,IF(ISNUMBER(SEARCH("HALF GALLON",$C202)),Assumptions!$B$4,IF(ISNUMBER(SEARCH("GALLON",$C202)),Assumptions!$B$3,IF(ISNUMBER(SEARCH("QUART",$C202)),Assumptions!$B$5,IF(ISNUMBER(SEARCH("PINT",$C202)),Assumptions!$B$6,Assumptions!$B$7)))))</f>
        <v>9</v>
      </c>
      <c r="I202" s="27">
        <f t="shared" si="7"/>
        <v>81</v>
      </c>
    </row>
    <row r="203" spans="1:9" x14ac:dyDescent="0.2">
      <c r="A203" s="3" t="s">
        <v>10</v>
      </c>
      <c r="B203" s="3" t="s">
        <v>276</v>
      </c>
      <c r="C203" s="3" t="s">
        <v>275</v>
      </c>
      <c r="D203" s="3" t="s">
        <v>97</v>
      </c>
      <c r="E203" s="4">
        <v>97</v>
      </c>
      <c r="F203" s="5">
        <f>IFERROR(3958.8*ACOS(MIN(1,MAX(-1,SIN(RADIANS('ZIP Coordinates'!$C$2))*SIN(RADIANS(INDEX('ZIP Coordinates'!$C:$C,MATCH($A203,'ZIP Coordinates'!$A:$A,0))))+COS(RADIANS('ZIP Coordinates'!$C$2))*COS(RADIANS(INDEX('ZIP Coordinates'!$C:$C,MATCH($A203,'ZIP Coordinates'!$A:$A,0))))*COS(RADIANS(INDEX('ZIP Coordinates'!$D:$D,MATCH($A203,'ZIP Coordinates'!$A:$A,0))-'ZIP Coordinates'!$D$2))))),"N/A")</f>
        <v>165.79391068473419</v>
      </c>
      <c r="G203" s="3" t="str">
        <f t="shared" si="6"/>
        <v>150-199 mi</v>
      </c>
      <c r="H203" s="27">
        <f>IF(RIGHT($B203,1)="P",1,IF(ISNUMBER(SEARCH("HALF GALLON",$C203)),Assumptions!$B$4,IF(ISNUMBER(SEARCH("GALLON",$C203)),Assumptions!$B$3,IF(ISNUMBER(SEARCH("QUART",$C203)),Assumptions!$B$5,IF(ISNUMBER(SEARCH("PINT",$C203)),Assumptions!$B$6,Assumptions!$B$7)))))</f>
        <v>1</v>
      </c>
      <c r="I203" s="27">
        <f t="shared" si="7"/>
        <v>97</v>
      </c>
    </row>
    <row r="204" spans="1:9" x14ac:dyDescent="0.2">
      <c r="A204" s="3" t="s">
        <v>10</v>
      </c>
      <c r="B204" s="3" t="s">
        <v>290</v>
      </c>
      <c r="C204" s="3" t="s">
        <v>278</v>
      </c>
      <c r="D204" s="3" t="s">
        <v>149</v>
      </c>
      <c r="E204" s="4">
        <v>12</v>
      </c>
      <c r="F204" s="5">
        <f>IFERROR(3958.8*ACOS(MIN(1,MAX(-1,SIN(RADIANS('ZIP Coordinates'!$C$2))*SIN(RADIANS(INDEX('ZIP Coordinates'!$C:$C,MATCH($A204,'ZIP Coordinates'!$A:$A,0))))+COS(RADIANS('ZIP Coordinates'!$C$2))*COS(RADIANS(INDEX('ZIP Coordinates'!$C:$C,MATCH($A204,'ZIP Coordinates'!$A:$A,0))))*COS(RADIANS(INDEX('ZIP Coordinates'!$D:$D,MATCH($A204,'ZIP Coordinates'!$A:$A,0))-'ZIP Coordinates'!$D$2))))),"N/A")</f>
        <v>165.79391068473419</v>
      </c>
      <c r="G204" s="3" t="str">
        <f t="shared" si="6"/>
        <v>150-199 mi</v>
      </c>
      <c r="H204" s="27">
        <f>IF(RIGHT($B204,1)="P",1,IF(ISNUMBER(SEARCH("HALF GALLON",$C204)),Assumptions!$B$4,IF(ISNUMBER(SEARCH("GALLON",$C204)),Assumptions!$B$3,IF(ISNUMBER(SEARCH("QUART",$C204)),Assumptions!$B$5,IF(ISNUMBER(SEARCH("PINT",$C204)),Assumptions!$B$6,Assumptions!$B$7)))))</f>
        <v>9</v>
      </c>
      <c r="I204" s="27">
        <f t="shared" si="7"/>
        <v>108</v>
      </c>
    </row>
    <row r="205" spans="1:9" x14ac:dyDescent="0.2">
      <c r="A205" s="3" t="s">
        <v>10</v>
      </c>
      <c r="B205" s="3" t="s">
        <v>245</v>
      </c>
      <c r="C205" s="3" t="s">
        <v>246</v>
      </c>
      <c r="D205" s="3" t="s">
        <v>149</v>
      </c>
      <c r="E205" s="4">
        <v>4</v>
      </c>
      <c r="F205" s="5">
        <f>IFERROR(3958.8*ACOS(MIN(1,MAX(-1,SIN(RADIANS('ZIP Coordinates'!$C$2))*SIN(RADIANS(INDEX('ZIP Coordinates'!$C:$C,MATCH($A205,'ZIP Coordinates'!$A:$A,0))))+COS(RADIANS('ZIP Coordinates'!$C$2))*COS(RADIANS(INDEX('ZIP Coordinates'!$C:$C,MATCH($A205,'ZIP Coordinates'!$A:$A,0))))*COS(RADIANS(INDEX('ZIP Coordinates'!$D:$D,MATCH($A205,'ZIP Coordinates'!$A:$A,0))-'ZIP Coordinates'!$D$2))))),"N/A")</f>
        <v>165.79391068473419</v>
      </c>
      <c r="G205" s="3" t="str">
        <f t="shared" si="6"/>
        <v>150-199 mi</v>
      </c>
      <c r="H205" s="27">
        <f>IF(RIGHT($B205,1)="P",1,IF(ISNUMBER(SEARCH("HALF GALLON",$C205)),Assumptions!$B$4,IF(ISNUMBER(SEARCH("GALLON",$C205)),Assumptions!$B$3,IF(ISNUMBER(SEARCH("QUART",$C205)),Assumptions!$B$5,IF(ISNUMBER(SEARCH("PINT",$C205)),Assumptions!$B$6,Assumptions!$B$7)))))</f>
        <v>20</v>
      </c>
      <c r="I205" s="27">
        <f t="shared" si="7"/>
        <v>80</v>
      </c>
    </row>
    <row r="206" spans="1:9" x14ac:dyDescent="0.2">
      <c r="A206" s="3" t="s">
        <v>10</v>
      </c>
      <c r="B206" s="3" t="s">
        <v>247</v>
      </c>
      <c r="C206" s="3" t="s">
        <v>246</v>
      </c>
      <c r="D206" s="3" t="s">
        <v>97</v>
      </c>
      <c r="E206" s="4">
        <v>102</v>
      </c>
      <c r="F206" s="5">
        <f>IFERROR(3958.8*ACOS(MIN(1,MAX(-1,SIN(RADIANS('ZIP Coordinates'!$C$2))*SIN(RADIANS(INDEX('ZIP Coordinates'!$C:$C,MATCH($A206,'ZIP Coordinates'!$A:$A,0))))+COS(RADIANS('ZIP Coordinates'!$C$2))*COS(RADIANS(INDEX('ZIP Coordinates'!$C:$C,MATCH($A206,'ZIP Coordinates'!$A:$A,0))))*COS(RADIANS(INDEX('ZIP Coordinates'!$D:$D,MATCH($A206,'ZIP Coordinates'!$A:$A,0))-'ZIP Coordinates'!$D$2))))),"N/A")</f>
        <v>165.79391068473419</v>
      </c>
      <c r="G206" s="3" t="str">
        <f t="shared" si="6"/>
        <v>150-199 mi</v>
      </c>
      <c r="H206" s="27">
        <f>IF(RIGHT($B206,1)="P",1,IF(ISNUMBER(SEARCH("HALF GALLON",$C206)),Assumptions!$B$4,IF(ISNUMBER(SEARCH("GALLON",$C206)),Assumptions!$B$3,IF(ISNUMBER(SEARCH("QUART",$C206)),Assumptions!$B$5,IF(ISNUMBER(SEARCH("PINT",$C206)),Assumptions!$B$6,Assumptions!$B$7)))))</f>
        <v>1</v>
      </c>
      <c r="I206" s="27">
        <f t="shared" si="7"/>
        <v>102</v>
      </c>
    </row>
    <row r="207" spans="1:9" x14ac:dyDescent="0.2">
      <c r="A207" s="3" t="s">
        <v>10</v>
      </c>
      <c r="B207" s="3" t="s">
        <v>248</v>
      </c>
      <c r="C207" s="3" t="s">
        <v>249</v>
      </c>
      <c r="D207" s="3" t="s">
        <v>149</v>
      </c>
      <c r="E207" s="4">
        <v>2</v>
      </c>
      <c r="F207" s="5">
        <f>IFERROR(3958.8*ACOS(MIN(1,MAX(-1,SIN(RADIANS('ZIP Coordinates'!$C$2))*SIN(RADIANS(INDEX('ZIP Coordinates'!$C:$C,MATCH($A207,'ZIP Coordinates'!$A:$A,0))))+COS(RADIANS('ZIP Coordinates'!$C$2))*COS(RADIANS(INDEX('ZIP Coordinates'!$C:$C,MATCH($A207,'ZIP Coordinates'!$A:$A,0))))*COS(RADIANS(INDEX('ZIP Coordinates'!$D:$D,MATCH($A207,'ZIP Coordinates'!$A:$A,0))-'ZIP Coordinates'!$D$2))))),"N/A")</f>
        <v>165.79391068473419</v>
      </c>
      <c r="G207" s="3" t="str">
        <f t="shared" si="6"/>
        <v>150-199 mi</v>
      </c>
      <c r="H207" s="27">
        <f>IF(RIGHT($B207,1)="P",1,IF(ISNUMBER(SEARCH("HALF GALLON",$C207)),Assumptions!$B$4,IF(ISNUMBER(SEARCH("GALLON",$C207)),Assumptions!$B$3,IF(ISNUMBER(SEARCH("QUART",$C207)),Assumptions!$B$5,IF(ISNUMBER(SEARCH("PINT",$C207)),Assumptions!$B$6,Assumptions!$B$7)))))</f>
        <v>20</v>
      </c>
      <c r="I207" s="27">
        <f t="shared" si="7"/>
        <v>40</v>
      </c>
    </row>
    <row r="208" spans="1:9" x14ac:dyDescent="0.2">
      <c r="A208" s="3" t="s">
        <v>10</v>
      </c>
      <c r="B208" s="3" t="s">
        <v>250</v>
      </c>
      <c r="C208" s="3" t="s">
        <v>249</v>
      </c>
      <c r="D208" s="3" t="s">
        <v>97</v>
      </c>
      <c r="E208" s="4">
        <v>89</v>
      </c>
      <c r="F208" s="5">
        <f>IFERROR(3958.8*ACOS(MIN(1,MAX(-1,SIN(RADIANS('ZIP Coordinates'!$C$2))*SIN(RADIANS(INDEX('ZIP Coordinates'!$C:$C,MATCH($A208,'ZIP Coordinates'!$A:$A,0))))+COS(RADIANS('ZIP Coordinates'!$C$2))*COS(RADIANS(INDEX('ZIP Coordinates'!$C:$C,MATCH($A208,'ZIP Coordinates'!$A:$A,0))))*COS(RADIANS(INDEX('ZIP Coordinates'!$D:$D,MATCH($A208,'ZIP Coordinates'!$A:$A,0))-'ZIP Coordinates'!$D$2))))),"N/A")</f>
        <v>165.79391068473419</v>
      </c>
      <c r="G208" s="3" t="str">
        <f t="shared" si="6"/>
        <v>150-199 mi</v>
      </c>
      <c r="H208" s="27">
        <f>IF(RIGHT($B208,1)="P",1,IF(ISNUMBER(SEARCH("HALF GALLON",$C208)),Assumptions!$B$4,IF(ISNUMBER(SEARCH("GALLON",$C208)),Assumptions!$B$3,IF(ISNUMBER(SEARCH("QUART",$C208)),Assumptions!$B$5,IF(ISNUMBER(SEARCH("PINT",$C208)),Assumptions!$B$6,Assumptions!$B$7)))))</f>
        <v>1</v>
      </c>
      <c r="I208" s="27">
        <f t="shared" si="7"/>
        <v>89</v>
      </c>
    </row>
    <row r="209" spans="1:9" x14ac:dyDescent="0.2">
      <c r="A209" s="3" t="s">
        <v>10</v>
      </c>
      <c r="B209" s="3" t="s">
        <v>281</v>
      </c>
      <c r="C209" s="3" t="s">
        <v>252</v>
      </c>
      <c r="D209" s="3" t="s">
        <v>149</v>
      </c>
      <c r="E209" s="4">
        <v>3</v>
      </c>
      <c r="F209" s="5">
        <f>IFERROR(3958.8*ACOS(MIN(1,MAX(-1,SIN(RADIANS('ZIP Coordinates'!$C$2))*SIN(RADIANS(INDEX('ZIP Coordinates'!$C:$C,MATCH($A209,'ZIP Coordinates'!$A:$A,0))))+COS(RADIANS('ZIP Coordinates'!$C$2))*COS(RADIANS(INDEX('ZIP Coordinates'!$C:$C,MATCH($A209,'ZIP Coordinates'!$A:$A,0))))*COS(RADIANS(INDEX('ZIP Coordinates'!$D:$D,MATCH($A209,'ZIP Coordinates'!$A:$A,0))-'ZIP Coordinates'!$D$2))))),"N/A")</f>
        <v>165.79391068473419</v>
      </c>
      <c r="G209" s="3" t="str">
        <f t="shared" si="6"/>
        <v>150-199 mi</v>
      </c>
      <c r="H209" s="27">
        <f>IF(RIGHT($B209,1)="P",1,IF(ISNUMBER(SEARCH("HALF GALLON",$C209)),Assumptions!$B$4,IF(ISNUMBER(SEARCH("GALLON",$C209)),Assumptions!$B$3,IF(ISNUMBER(SEARCH("QUART",$C209)),Assumptions!$B$5,IF(ISNUMBER(SEARCH("PINT",$C209)),Assumptions!$B$6,Assumptions!$B$7)))))</f>
        <v>20</v>
      </c>
      <c r="I209" s="27">
        <f t="shared" si="7"/>
        <v>60</v>
      </c>
    </row>
    <row r="210" spans="1:9" x14ac:dyDescent="0.2">
      <c r="A210" s="3" t="s">
        <v>10</v>
      </c>
      <c r="B210" s="3" t="s">
        <v>251</v>
      </c>
      <c r="C210" s="3" t="s">
        <v>252</v>
      </c>
      <c r="D210" s="3" t="s">
        <v>97</v>
      </c>
      <c r="E210" s="4">
        <v>68</v>
      </c>
      <c r="F210" s="5">
        <f>IFERROR(3958.8*ACOS(MIN(1,MAX(-1,SIN(RADIANS('ZIP Coordinates'!$C$2))*SIN(RADIANS(INDEX('ZIP Coordinates'!$C:$C,MATCH($A210,'ZIP Coordinates'!$A:$A,0))))+COS(RADIANS('ZIP Coordinates'!$C$2))*COS(RADIANS(INDEX('ZIP Coordinates'!$C:$C,MATCH($A210,'ZIP Coordinates'!$A:$A,0))))*COS(RADIANS(INDEX('ZIP Coordinates'!$D:$D,MATCH($A210,'ZIP Coordinates'!$A:$A,0))-'ZIP Coordinates'!$D$2))))),"N/A")</f>
        <v>165.79391068473419</v>
      </c>
      <c r="G210" s="3" t="str">
        <f t="shared" si="6"/>
        <v>150-199 mi</v>
      </c>
      <c r="H210" s="27">
        <f>IF(RIGHT($B210,1)="P",1,IF(ISNUMBER(SEARCH("HALF GALLON",$C210)),Assumptions!$B$4,IF(ISNUMBER(SEARCH("GALLON",$C210)),Assumptions!$B$3,IF(ISNUMBER(SEARCH("QUART",$C210)),Assumptions!$B$5,IF(ISNUMBER(SEARCH("PINT",$C210)),Assumptions!$B$6,Assumptions!$B$7)))))</f>
        <v>1</v>
      </c>
      <c r="I210" s="27">
        <f t="shared" si="7"/>
        <v>68</v>
      </c>
    </row>
    <row r="211" spans="1:9" x14ac:dyDescent="0.2">
      <c r="A211" s="3" t="s">
        <v>10</v>
      </c>
      <c r="B211" s="3" t="s">
        <v>282</v>
      </c>
      <c r="C211" s="3" t="s">
        <v>283</v>
      </c>
      <c r="D211" s="3" t="s">
        <v>149</v>
      </c>
      <c r="E211" s="4">
        <v>2</v>
      </c>
      <c r="F211" s="5">
        <f>IFERROR(3958.8*ACOS(MIN(1,MAX(-1,SIN(RADIANS('ZIP Coordinates'!$C$2))*SIN(RADIANS(INDEX('ZIP Coordinates'!$C:$C,MATCH($A211,'ZIP Coordinates'!$A:$A,0))))+COS(RADIANS('ZIP Coordinates'!$C$2))*COS(RADIANS(INDEX('ZIP Coordinates'!$C:$C,MATCH($A211,'ZIP Coordinates'!$A:$A,0))))*COS(RADIANS(INDEX('ZIP Coordinates'!$D:$D,MATCH($A211,'ZIP Coordinates'!$A:$A,0))-'ZIP Coordinates'!$D$2))))),"N/A")</f>
        <v>165.79391068473419</v>
      </c>
      <c r="G211" s="3" t="str">
        <f t="shared" si="6"/>
        <v>150-199 mi</v>
      </c>
      <c r="H211" s="27">
        <f>IF(RIGHT($B211,1)="P",1,IF(ISNUMBER(SEARCH("HALF GALLON",$C211)),Assumptions!$B$4,IF(ISNUMBER(SEARCH("GALLON",$C211)),Assumptions!$B$3,IF(ISNUMBER(SEARCH("QUART",$C211)),Assumptions!$B$5,IF(ISNUMBER(SEARCH("PINT",$C211)),Assumptions!$B$6,Assumptions!$B$7)))))</f>
        <v>1</v>
      </c>
      <c r="I211" s="27">
        <f t="shared" si="7"/>
        <v>2</v>
      </c>
    </row>
    <row r="212" spans="1:9" x14ac:dyDescent="0.2">
      <c r="A212" s="3" t="s">
        <v>10</v>
      </c>
      <c r="B212" s="3" t="s">
        <v>284</v>
      </c>
      <c r="C212" s="3" t="s">
        <v>285</v>
      </c>
      <c r="D212" s="3" t="s">
        <v>97</v>
      </c>
      <c r="E212" s="4">
        <v>4</v>
      </c>
      <c r="F212" s="5">
        <f>IFERROR(3958.8*ACOS(MIN(1,MAX(-1,SIN(RADIANS('ZIP Coordinates'!$C$2))*SIN(RADIANS(INDEX('ZIP Coordinates'!$C:$C,MATCH($A212,'ZIP Coordinates'!$A:$A,0))))+COS(RADIANS('ZIP Coordinates'!$C$2))*COS(RADIANS(INDEX('ZIP Coordinates'!$C:$C,MATCH($A212,'ZIP Coordinates'!$A:$A,0))))*COS(RADIANS(INDEX('ZIP Coordinates'!$D:$D,MATCH($A212,'ZIP Coordinates'!$A:$A,0))-'ZIP Coordinates'!$D$2))))),"N/A")</f>
        <v>165.79391068473419</v>
      </c>
      <c r="G212" s="3" t="str">
        <f t="shared" si="6"/>
        <v>150-199 mi</v>
      </c>
      <c r="H212" s="27">
        <f>IF(RIGHT($B212,1)="P",1,IF(ISNUMBER(SEARCH("HALF GALLON",$C212)),Assumptions!$B$4,IF(ISNUMBER(SEARCH("GALLON",$C212)),Assumptions!$B$3,IF(ISNUMBER(SEARCH("QUART",$C212)),Assumptions!$B$5,IF(ISNUMBER(SEARCH("PINT",$C212)),Assumptions!$B$6,Assumptions!$B$7)))))</f>
        <v>1</v>
      </c>
      <c r="I212" s="27">
        <f t="shared" si="7"/>
        <v>4</v>
      </c>
    </row>
    <row r="213" spans="1:9" x14ac:dyDescent="0.2">
      <c r="A213" s="3" t="s">
        <v>10</v>
      </c>
      <c r="B213" s="3" t="s">
        <v>286</v>
      </c>
      <c r="C213" s="3" t="s">
        <v>287</v>
      </c>
      <c r="D213" s="3" t="s">
        <v>149</v>
      </c>
      <c r="E213" s="4">
        <v>30</v>
      </c>
      <c r="F213" s="5">
        <f>IFERROR(3958.8*ACOS(MIN(1,MAX(-1,SIN(RADIANS('ZIP Coordinates'!$C$2))*SIN(RADIANS(INDEX('ZIP Coordinates'!$C:$C,MATCH($A213,'ZIP Coordinates'!$A:$A,0))))+COS(RADIANS('ZIP Coordinates'!$C$2))*COS(RADIANS(INDEX('ZIP Coordinates'!$C:$C,MATCH($A213,'ZIP Coordinates'!$A:$A,0))))*COS(RADIANS(INDEX('ZIP Coordinates'!$D:$D,MATCH($A213,'ZIP Coordinates'!$A:$A,0))-'ZIP Coordinates'!$D$2))))),"N/A")</f>
        <v>165.79391068473419</v>
      </c>
      <c r="G213" s="3" t="str">
        <f t="shared" si="6"/>
        <v>150-199 mi</v>
      </c>
      <c r="H213" s="27">
        <f>IF(RIGHT($B213,1)="P",1,IF(ISNUMBER(SEARCH("HALF GALLON",$C213)),Assumptions!$B$4,IF(ISNUMBER(SEARCH("GALLON",$C213)),Assumptions!$B$3,IF(ISNUMBER(SEARCH("QUART",$C213)),Assumptions!$B$5,IF(ISNUMBER(SEARCH("PINT",$C213)),Assumptions!$B$6,Assumptions!$B$7)))))</f>
        <v>9</v>
      </c>
      <c r="I213" s="27">
        <f t="shared" si="7"/>
        <v>270</v>
      </c>
    </row>
    <row r="214" spans="1:9" x14ac:dyDescent="0.2">
      <c r="A214" s="3" t="s">
        <v>10</v>
      </c>
      <c r="B214" s="3" t="s">
        <v>288</v>
      </c>
      <c r="C214" s="3" t="s">
        <v>287</v>
      </c>
      <c r="D214" s="3" t="s">
        <v>97</v>
      </c>
      <c r="E214" s="4">
        <v>220</v>
      </c>
      <c r="F214" s="5">
        <f>IFERROR(3958.8*ACOS(MIN(1,MAX(-1,SIN(RADIANS('ZIP Coordinates'!$C$2))*SIN(RADIANS(INDEX('ZIP Coordinates'!$C:$C,MATCH($A214,'ZIP Coordinates'!$A:$A,0))))+COS(RADIANS('ZIP Coordinates'!$C$2))*COS(RADIANS(INDEX('ZIP Coordinates'!$C:$C,MATCH($A214,'ZIP Coordinates'!$A:$A,0))))*COS(RADIANS(INDEX('ZIP Coordinates'!$D:$D,MATCH($A214,'ZIP Coordinates'!$A:$A,0))-'ZIP Coordinates'!$D$2))))),"N/A")</f>
        <v>165.79391068473419</v>
      </c>
      <c r="G214" s="3" t="str">
        <f t="shared" si="6"/>
        <v>150-199 mi</v>
      </c>
      <c r="H214" s="27">
        <f>IF(RIGHT($B214,1)="P",1,IF(ISNUMBER(SEARCH("HALF GALLON",$C214)),Assumptions!$B$4,IF(ISNUMBER(SEARCH("GALLON",$C214)),Assumptions!$B$3,IF(ISNUMBER(SEARCH("QUART",$C214)),Assumptions!$B$5,IF(ISNUMBER(SEARCH("PINT",$C214)),Assumptions!$B$6,Assumptions!$B$7)))))</f>
        <v>1</v>
      </c>
      <c r="I214" s="27">
        <f t="shared" si="7"/>
        <v>220</v>
      </c>
    </row>
    <row r="215" spans="1:9" x14ac:dyDescent="0.2">
      <c r="A215" s="3" t="s">
        <v>10</v>
      </c>
      <c r="B215" s="3" t="s">
        <v>255</v>
      </c>
      <c r="C215" s="3" t="s">
        <v>256</v>
      </c>
      <c r="D215" s="3" t="s">
        <v>149</v>
      </c>
      <c r="E215" s="4">
        <v>7</v>
      </c>
      <c r="F215" s="5">
        <f>IFERROR(3958.8*ACOS(MIN(1,MAX(-1,SIN(RADIANS('ZIP Coordinates'!$C$2))*SIN(RADIANS(INDEX('ZIP Coordinates'!$C:$C,MATCH($A215,'ZIP Coordinates'!$A:$A,0))))+COS(RADIANS('ZIP Coordinates'!$C$2))*COS(RADIANS(INDEX('ZIP Coordinates'!$C:$C,MATCH($A215,'ZIP Coordinates'!$A:$A,0))))*COS(RADIANS(INDEX('ZIP Coordinates'!$D:$D,MATCH($A215,'ZIP Coordinates'!$A:$A,0))-'ZIP Coordinates'!$D$2))))),"N/A")</f>
        <v>165.79391068473419</v>
      </c>
      <c r="G215" s="3" t="str">
        <f t="shared" si="6"/>
        <v>150-199 mi</v>
      </c>
      <c r="H215" s="27">
        <f>IF(RIGHT($B215,1)="P",1,IF(ISNUMBER(SEARCH("HALF GALLON",$C215)),Assumptions!$B$4,IF(ISNUMBER(SEARCH("GALLON",$C215)),Assumptions!$B$3,IF(ISNUMBER(SEARCH("QUART",$C215)),Assumptions!$B$5,IF(ISNUMBER(SEARCH("PINT",$C215)),Assumptions!$B$6,Assumptions!$B$7)))))</f>
        <v>20</v>
      </c>
      <c r="I215" s="27">
        <f t="shared" si="7"/>
        <v>140</v>
      </c>
    </row>
    <row r="216" spans="1:9" x14ac:dyDescent="0.2">
      <c r="A216" s="3" t="s">
        <v>10</v>
      </c>
      <c r="B216" s="3" t="s">
        <v>257</v>
      </c>
      <c r="C216" s="3" t="s">
        <v>256</v>
      </c>
      <c r="D216" s="3" t="s">
        <v>97</v>
      </c>
      <c r="E216" s="4">
        <v>266</v>
      </c>
      <c r="F216" s="5">
        <f>IFERROR(3958.8*ACOS(MIN(1,MAX(-1,SIN(RADIANS('ZIP Coordinates'!$C$2))*SIN(RADIANS(INDEX('ZIP Coordinates'!$C:$C,MATCH($A216,'ZIP Coordinates'!$A:$A,0))))+COS(RADIANS('ZIP Coordinates'!$C$2))*COS(RADIANS(INDEX('ZIP Coordinates'!$C:$C,MATCH($A216,'ZIP Coordinates'!$A:$A,0))))*COS(RADIANS(INDEX('ZIP Coordinates'!$D:$D,MATCH($A216,'ZIP Coordinates'!$A:$A,0))-'ZIP Coordinates'!$D$2))))),"N/A")</f>
        <v>165.79391068473419</v>
      </c>
      <c r="G216" s="3" t="str">
        <f t="shared" si="6"/>
        <v>150-199 mi</v>
      </c>
      <c r="H216" s="27">
        <f>IF(RIGHT($B216,1)="P",1,IF(ISNUMBER(SEARCH("HALF GALLON",$C216)),Assumptions!$B$4,IF(ISNUMBER(SEARCH("GALLON",$C216)),Assumptions!$B$3,IF(ISNUMBER(SEARCH("QUART",$C216)),Assumptions!$B$5,IF(ISNUMBER(SEARCH("PINT",$C216)),Assumptions!$B$6,Assumptions!$B$7)))))</f>
        <v>1</v>
      </c>
      <c r="I216" s="27">
        <f t="shared" si="7"/>
        <v>266</v>
      </c>
    </row>
    <row r="217" spans="1:9" x14ac:dyDescent="0.2">
      <c r="A217" s="3" t="s">
        <v>11</v>
      </c>
      <c r="B217" s="3" t="s">
        <v>258</v>
      </c>
      <c r="C217" s="3" t="s">
        <v>240</v>
      </c>
      <c r="D217" s="3" t="s">
        <v>105</v>
      </c>
      <c r="E217" s="4">
        <v>32</v>
      </c>
      <c r="F217" s="5">
        <f>IFERROR(3958.8*ACOS(MIN(1,MAX(-1,SIN(RADIANS('ZIP Coordinates'!$C$2))*SIN(RADIANS(INDEX('ZIP Coordinates'!$C:$C,MATCH($A217,'ZIP Coordinates'!$A:$A,0))))+COS(RADIANS('ZIP Coordinates'!$C$2))*COS(RADIANS(INDEX('ZIP Coordinates'!$C:$C,MATCH($A217,'ZIP Coordinates'!$A:$A,0))))*COS(RADIANS(INDEX('ZIP Coordinates'!$D:$D,MATCH($A217,'ZIP Coordinates'!$A:$A,0))-'ZIP Coordinates'!$D$2))))),"N/A")</f>
        <v>199.33243106906986</v>
      </c>
      <c r="G217" s="3" t="str">
        <f t="shared" si="6"/>
        <v>150-199 mi</v>
      </c>
      <c r="H217" s="27">
        <f>IF(RIGHT($B217,1)="P",1,IF(ISNUMBER(SEARCH("HALF GALLON",$C217)),Assumptions!$B$4,IF(ISNUMBER(SEARCH("GALLON",$C217)),Assumptions!$B$3,IF(ISNUMBER(SEARCH("QUART",$C217)),Assumptions!$B$5,IF(ISNUMBER(SEARCH("PINT",$C217)),Assumptions!$B$6,Assumptions!$B$7)))))</f>
        <v>4</v>
      </c>
      <c r="I217" s="27">
        <f t="shared" si="7"/>
        <v>128</v>
      </c>
    </row>
    <row r="218" spans="1:9" x14ac:dyDescent="0.2">
      <c r="A218" s="3" t="s">
        <v>11</v>
      </c>
      <c r="B218" s="3" t="s">
        <v>259</v>
      </c>
      <c r="C218" s="3" t="s">
        <v>260</v>
      </c>
      <c r="D218" s="3" t="s">
        <v>105</v>
      </c>
      <c r="E218" s="4">
        <v>37</v>
      </c>
      <c r="F218" s="5">
        <f>IFERROR(3958.8*ACOS(MIN(1,MAX(-1,SIN(RADIANS('ZIP Coordinates'!$C$2))*SIN(RADIANS(INDEX('ZIP Coordinates'!$C:$C,MATCH($A218,'ZIP Coordinates'!$A:$A,0))))+COS(RADIANS('ZIP Coordinates'!$C$2))*COS(RADIANS(INDEX('ZIP Coordinates'!$C:$C,MATCH($A218,'ZIP Coordinates'!$A:$A,0))))*COS(RADIANS(INDEX('ZIP Coordinates'!$D:$D,MATCH($A218,'ZIP Coordinates'!$A:$A,0))-'ZIP Coordinates'!$D$2))))),"N/A")</f>
        <v>199.33243106906986</v>
      </c>
      <c r="G218" s="3" t="str">
        <f t="shared" si="6"/>
        <v>150-199 mi</v>
      </c>
      <c r="H218" s="27">
        <f>IF(RIGHT($B218,1)="P",1,IF(ISNUMBER(SEARCH("HALF GALLON",$C218)),Assumptions!$B$4,IF(ISNUMBER(SEARCH("GALLON",$C218)),Assumptions!$B$3,IF(ISNUMBER(SEARCH("QUART",$C218)),Assumptions!$B$5,IF(ISNUMBER(SEARCH("PINT",$C218)),Assumptions!$B$6,Assumptions!$B$7)))))</f>
        <v>4</v>
      </c>
      <c r="I218" s="27">
        <f t="shared" si="7"/>
        <v>148</v>
      </c>
    </row>
    <row r="219" spans="1:9" x14ac:dyDescent="0.2">
      <c r="A219" s="3" t="s">
        <v>11</v>
      </c>
      <c r="B219" s="3" t="s">
        <v>241</v>
      </c>
      <c r="C219" s="3" t="s">
        <v>242</v>
      </c>
      <c r="D219" s="3" t="s">
        <v>105</v>
      </c>
      <c r="E219" s="4">
        <v>50</v>
      </c>
      <c r="F219" s="5">
        <f>IFERROR(3958.8*ACOS(MIN(1,MAX(-1,SIN(RADIANS('ZIP Coordinates'!$C$2))*SIN(RADIANS(INDEX('ZIP Coordinates'!$C:$C,MATCH($A219,'ZIP Coordinates'!$A:$A,0))))+COS(RADIANS('ZIP Coordinates'!$C$2))*COS(RADIANS(INDEX('ZIP Coordinates'!$C:$C,MATCH($A219,'ZIP Coordinates'!$A:$A,0))))*COS(RADIANS(INDEX('ZIP Coordinates'!$D:$D,MATCH($A219,'ZIP Coordinates'!$A:$A,0))-'ZIP Coordinates'!$D$2))))),"N/A")</f>
        <v>199.33243106906986</v>
      </c>
      <c r="G219" s="3" t="str">
        <f t="shared" si="6"/>
        <v>150-199 mi</v>
      </c>
      <c r="H219" s="27">
        <f>IF(RIGHT($B219,1)="P",1,IF(ISNUMBER(SEARCH("HALF GALLON",$C219)),Assumptions!$B$4,IF(ISNUMBER(SEARCH("GALLON",$C219)),Assumptions!$B$3,IF(ISNUMBER(SEARCH("QUART",$C219)),Assumptions!$B$5,IF(ISNUMBER(SEARCH("PINT",$C219)),Assumptions!$B$6,Assumptions!$B$7)))))</f>
        <v>1</v>
      </c>
      <c r="I219" s="27">
        <f t="shared" si="7"/>
        <v>50</v>
      </c>
    </row>
    <row r="220" spans="1:9" x14ac:dyDescent="0.2">
      <c r="A220" s="3" t="s">
        <v>11</v>
      </c>
      <c r="B220" s="3" t="s">
        <v>271</v>
      </c>
      <c r="C220" s="3" t="s">
        <v>244</v>
      </c>
      <c r="D220" s="3" t="s">
        <v>105</v>
      </c>
      <c r="E220" s="4">
        <v>5</v>
      </c>
      <c r="F220" s="5">
        <f>IFERROR(3958.8*ACOS(MIN(1,MAX(-1,SIN(RADIANS('ZIP Coordinates'!$C$2))*SIN(RADIANS(INDEX('ZIP Coordinates'!$C:$C,MATCH($A220,'ZIP Coordinates'!$A:$A,0))))+COS(RADIANS('ZIP Coordinates'!$C$2))*COS(RADIANS(INDEX('ZIP Coordinates'!$C:$C,MATCH($A220,'ZIP Coordinates'!$A:$A,0))))*COS(RADIANS(INDEX('ZIP Coordinates'!$D:$D,MATCH($A220,'ZIP Coordinates'!$A:$A,0))-'ZIP Coordinates'!$D$2))))),"N/A")</f>
        <v>199.33243106906986</v>
      </c>
      <c r="G220" s="3" t="str">
        <f t="shared" si="6"/>
        <v>150-199 mi</v>
      </c>
      <c r="H220" s="27">
        <f>IF(RIGHT($B220,1)="P",1,IF(ISNUMBER(SEARCH("HALF GALLON",$C220)),Assumptions!$B$4,IF(ISNUMBER(SEARCH("GALLON",$C220)),Assumptions!$B$3,IF(ISNUMBER(SEARCH("QUART",$C220)),Assumptions!$B$5,IF(ISNUMBER(SEARCH("PINT",$C220)),Assumptions!$B$6,Assumptions!$B$7)))))</f>
        <v>9</v>
      </c>
      <c r="I220" s="27">
        <f t="shared" si="7"/>
        <v>45</v>
      </c>
    </row>
    <row r="221" spans="1:9" x14ac:dyDescent="0.2">
      <c r="A221" s="3" t="s">
        <v>11</v>
      </c>
      <c r="B221" s="3" t="s">
        <v>243</v>
      </c>
      <c r="C221" s="3" t="s">
        <v>244</v>
      </c>
      <c r="D221" s="3" t="s">
        <v>105</v>
      </c>
      <c r="E221" s="4">
        <v>33</v>
      </c>
      <c r="F221" s="5">
        <f>IFERROR(3958.8*ACOS(MIN(1,MAX(-1,SIN(RADIANS('ZIP Coordinates'!$C$2))*SIN(RADIANS(INDEX('ZIP Coordinates'!$C:$C,MATCH($A221,'ZIP Coordinates'!$A:$A,0))))+COS(RADIANS('ZIP Coordinates'!$C$2))*COS(RADIANS(INDEX('ZIP Coordinates'!$C:$C,MATCH($A221,'ZIP Coordinates'!$A:$A,0))))*COS(RADIANS(INDEX('ZIP Coordinates'!$D:$D,MATCH($A221,'ZIP Coordinates'!$A:$A,0))-'ZIP Coordinates'!$D$2))))),"N/A")</f>
        <v>199.33243106906986</v>
      </c>
      <c r="G221" s="3" t="str">
        <f t="shared" si="6"/>
        <v>150-199 mi</v>
      </c>
      <c r="H221" s="27">
        <f>IF(RIGHT($B221,1)="P",1,IF(ISNUMBER(SEARCH("HALF GALLON",$C221)),Assumptions!$B$4,IF(ISNUMBER(SEARCH("GALLON",$C221)),Assumptions!$B$3,IF(ISNUMBER(SEARCH("QUART",$C221)),Assumptions!$B$5,IF(ISNUMBER(SEARCH("PINT",$C221)),Assumptions!$B$6,Assumptions!$B$7)))))</f>
        <v>1</v>
      </c>
      <c r="I221" s="27">
        <f t="shared" si="7"/>
        <v>33</v>
      </c>
    </row>
    <row r="222" spans="1:9" x14ac:dyDescent="0.2">
      <c r="A222" s="3" t="s">
        <v>11</v>
      </c>
      <c r="B222" s="3" t="s">
        <v>274</v>
      </c>
      <c r="C222" s="3" t="s">
        <v>275</v>
      </c>
      <c r="D222" s="3" t="s">
        <v>105</v>
      </c>
      <c r="E222" s="4">
        <v>9</v>
      </c>
      <c r="F222" s="5">
        <f>IFERROR(3958.8*ACOS(MIN(1,MAX(-1,SIN(RADIANS('ZIP Coordinates'!$C$2))*SIN(RADIANS(INDEX('ZIP Coordinates'!$C:$C,MATCH($A222,'ZIP Coordinates'!$A:$A,0))))+COS(RADIANS('ZIP Coordinates'!$C$2))*COS(RADIANS(INDEX('ZIP Coordinates'!$C:$C,MATCH($A222,'ZIP Coordinates'!$A:$A,0))))*COS(RADIANS(INDEX('ZIP Coordinates'!$D:$D,MATCH($A222,'ZIP Coordinates'!$A:$A,0))-'ZIP Coordinates'!$D$2))))),"N/A")</f>
        <v>199.33243106906986</v>
      </c>
      <c r="G222" s="3" t="str">
        <f t="shared" si="6"/>
        <v>150-199 mi</v>
      </c>
      <c r="H222" s="27">
        <f>IF(RIGHT($B222,1)="P",1,IF(ISNUMBER(SEARCH("HALF GALLON",$C222)),Assumptions!$B$4,IF(ISNUMBER(SEARCH("GALLON",$C222)),Assumptions!$B$3,IF(ISNUMBER(SEARCH("QUART",$C222)),Assumptions!$B$5,IF(ISNUMBER(SEARCH("PINT",$C222)),Assumptions!$B$6,Assumptions!$B$7)))))</f>
        <v>9</v>
      </c>
      <c r="I222" s="27">
        <f t="shared" si="7"/>
        <v>81</v>
      </c>
    </row>
    <row r="223" spans="1:9" x14ac:dyDescent="0.2">
      <c r="A223" s="3" t="s">
        <v>11</v>
      </c>
      <c r="B223" s="3" t="s">
        <v>276</v>
      </c>
      <c r="C223" s="3" t="s">
        <v>275</v>
      </c>
      <c r="D223" s="3" t="s">
        <v>105</v>
      </c>
      <c r="E223" s="4">
        <v>25</v>
      </c>
      <c r="F223" s="5">
        <f>IFERROR(3958.8*ACOS(MIN(1,MAX(-1,SIN(RADIANS('ZIP Coordinates'!$C$2))*SIN(RADIANS(INDEX('ZIP Coordinates'!$C:$C,MATCH($A223,'ZIP Coordinates'!$A:$A,0))))+COS(RADIANS('ZIP Coordinates'!$C$2))*COS(RADIANS(INDEX('ZIP Coordinates'!$C:$C,MATCH($A223,'ZIP Coordinates'!$A:$A,0))))*COS(RADIANS(INDEX('ZIP Coordinates'!$D:$D,MATCH($A223,'ZIP Coordinates'!$A:$A,0))-'ZIP Coordinates'!$D$2))))),"N/A")</f>
        <v>199.33243106906986</v>
      </c>
      <c r="G223" s="3" t="str">
        <f t="shared" si="6"/>
        <v>150-199 mi</v>
      </c>
      <c r="H223" s="27">
        <f>IF(RIGHT($B223,1)="P",1,IF(ISNUMBER(SEARCH("HALF GALLON",$C223)),Assumptions!$B$4,IF(ISNUMBER(SEARCH("GALLON",$C223)),Assumptions!$B$3,IF(ISNUMBER(SEARCH("QUART",$C223)),Assumptions!$B$5,IF(ISNUMBER(SEARCH("PINT",$C223)),Assumptions!$B$6,Assumptions!$B$7)))))</f>
        <v>1</v>
      </c>
      <c r="I223" s="27">
        <f t="shared" si="7"/>
        <v>25</v>
      </c>
    </row>
    <row r="224" spans="1:9" x14ac:dyDescent="0.2">
      <c r="A224" s="3" t="s">
        <v>11</v>
      </c>
      <c r="B224" s="3" t="s">
        <v>277</v>
      </c>
      <c r="C224" s="3" t="s">
        <v>278</v>
      </c>
      <c r="D224" s="3" t="s">
        <v>105</v>
      </c>
      <c r="E224" s="4">
        <v>47</v>
      </c>
      <c r="F224" s="5">
        <f>IFERROR(3958.8*ACOS(MIN(1,MAX(-1,SIN(RADIANS('ZIP Coordinates'!$C$2))*SIN(RADIANS(INDEX('ZIP Coordinates'!$C:$C,MATCH($A224,'ZIP Coordinates'!$A:$A,0))))+COS(RADIANS('ZIP Coordinates'!$C$2))*COS(RADIANS(INDEX('ZIP Coordinates'!$C:$C,MATCH($A224,'ZIP Coordinates'!$A:$A,0))))*COS(RADIANS(INDEX('ZIP Coordinates'!$D:$D,MATCH($A224,'ZIP Coordinates'!$A:$A,0))-'ZIP Coordinates'!$D$2))))),"N/A")</f>
        <v>199.33243106906986</v>
      </c>
      <c r="G224" s="3" t="str">
        <f t="shared" si="6"/>
        <v>150-199 mi</v>
      </c>
      <c r="H224" s="27">
        <f>IF(RIGHT($B224,1)="P",1,IF(ISNUMBER(SEARCH("HALF GALLON",$C224)),Assumptions!$B$4,IF(ISNUMBER(SEARCH("GALLON",$C224)),Assumptions!$B$3,IF(ISNUMBER(SEARCH("QUART",$C224)),Assumptions!$B$5,IF(ISNUMBER(SEARCH("PINT",$C224)),Assumptions!$B$6,Assumptions!$B$7)))))</f>
        <v>1</v>
      </c>
      <c r="I224" s="27">
        <f t="shared" si="7"/>
        <v>47</v>
      </c>
    </row>
    <row r="225" spans="1:9" x14ac:dyDescent="0.2">
      <c r="A225" s="3" t="s">
        <v>11</v>
      </c>
      <c r="B225" s="3" t="s">
        <v>247</v>
      </c>
      <c r="C225" s="3" t="s">
        <v>246</v>
      </c>
      <c r="D225" s="3" t="s">
        <v>105</v>
      </c>
      <c r="E225" s="4">
        <v>83</v>
      </c>
      <c r="F225" s="5">
        <f>IFERROR(3958.8*ACOS(MIN(1,MAX(-1,SIN(RADIANS('ZIP Coordinates'!$C$2))*SIN(RADIANS(INDEX('ZIP Coordinates'!$C:$C,MATCH($A225,'ZIP Coordinates'!$A:$A,0))))+COS(RADIANS('ZIP Coordinates'!$C$2))*COS(RADIANS(INDEX('ZIP Coordinates'!$C:$C,MATCH($A225,'ZIP Coordinates'!$A:$A,0))))*COS(RADIANS(INDEX('ZIP Coordinates'!$D:$D,MATCH($A225,'ZIP Coordinates'!$A:$A,0))-'ZIP Coordinates'!$D$2))))),"N/A")</f>
        <v>199.33243106906986</v>
      </c>
      <c r="G225" s="3" t="str">
        <f t="shared" si="6"/>
        <v>150-199 mi</v>
      </c>
      <c r="H225" s="27">
        <f>IF(RIGHT($B225,1)="P",1,IF(ISNUMBER(SEARCH("HALF GALLON",$C225)),Assumptions!$B$4,IF(ISNUMBER(SEARCH("GALLON",$C225)),Assumptions!$B$3,IF(ISNUMBER(SEARCH("QUART",$C225)),Assumptions!$B$5,IF(ISNUMBER(SEARCH("PINT",$C225)),Assumptions!$B$6,Assumptions!$B$7)))))</f>
        <v>1</v>
      </c>
      <c r="I225" s="27">
        <f t="shared" si="7"/>
        <v>83</v>
      </c>
    </row>
    <row r="226" spans="1:9" x14ac:dyDescent="0.2">
      <c r="A226" s="3" t="s">
        <v>11</v>
      </c>
      <c r="B226" s="3" t="s">
        <v>250</v>
      </c>
      <c r="C226" s="3" t="s">
        <v>249</v>
      </c>
      <c r="D226" s="3" t="s">
        <v>105</v>
      </c>
      <c r="E226" s="4">
        <v>99</v>
      </c>
      <c r="F226" s="5">
        <f>IFERROR(3958.8*ACOS(MIN(1,MAX(-1,SIN(RADIANS('ZIP Coordinates'!$C$2))*SIN(RADIANS(INDEX('ZIP Coordinates'!$C:$C,MATCH($A226,'ZIP Coordinates'!$A:$A,0))))+COS(RADIANS('ZIP Coordinates'!$C$2))*COS(RADIANS(INDEX('ZIP Coordinates'!$C:$C,MATCH($A226,'ZIP Coordinates'!$A:$A,0))))*COS(RADIANS(INDEX('ZIP Coordinates'!$D:$D,MATCH($A226,'ZIP Coordinates'!$A:$A,0))-'ZIP Coordinates'!$D$2))))),"N/A")</f>
        <v>199.33243106906986</v>
      </c>
      <c r="G226" s="3" t="str">
        <f t="shared" si="6"/>
        <v>150-199 mi</v>
      </c>
      <c r="H226" s="27">
        <f>IF(RIGHT($B226,1)="P",1,IF(ISNUMBER(SEARCH("HALF GALLON",$C226)),Assumptions!$B$4,IF(ISNUMBER(SEARCH("GALLON",$C226)),Assumptions!$B$3,IF(ISNUMBER(SEARCH("QUART",$C226)),Assumptions!$B$5,IF(ISNUMBER(SEARCH("PINT",$C226)),Assumptions!$B$6,Assumptions!$B$7)))))</f>
        <v>1</v>
      </c>
      <c r="I226" s="27">
        <f t="shared" si="7"/>
        <v>99</v>
      </c>
    </row>
    <row r="227" spans="1:9" x14ac:dyDescent="0.2">
      <c r="A227" s="3" t="s">
        <v>11</v>
      </c>
      <c r="B227" s="3" t="s">
        <v>281</v>
      </c>
      <c r="C227" s="3" t="s">
        <v>252</v>
      </c>
      <c r="D227" s="3" t="s">
        <v>105</v>
      </c>
      <c r="E227" s="4">
        <v>2</v>
      </c>
      <c r="F227" s="5">
        <f>IFERROR(3958.8*ACOS(MIN(1,MAX(-1,SIN(RADIANS('ZIP Coordinates'!$C$2))*SIN(RADIANS(INDEX('ZIP Coordinates'!$C:$C,MATCH($A227,'ZIP Coordinates'!$A:$A,0))))+COS(RADIANS('ZIP Coordinates'!$C$2))*COS(RADIANS(INDEX('ZIP Coordinates'!$C:$C,MATCH($A227,'ZIP Coordinates'!$A:$A,0))))*COS(RADIANS(INDEX('ZIP Coordinates'!$D:$D,MATCH($A227,'ZIP Coordinates'!$A:$A,0))-'ZIP Coordinates'!$D$2))))),"N/A")</f>
        <v>199.33243106906986</v>
      </c>
      <c r="G227" s="3" t="str">
        <f t="shared" si="6"/>
        <v>150-199 mi</v>
      </c>
      <c r="H227" s="27">
        <f>IF(RIGHT($B227,1)="P",1,IF(ISNUMBER(SEARCH("HALF GALLON",$C227)),Assumptions!$B$4,IF(ISNUMBER(SEARCH("GALLON",$C227)),Assumptions!$B$3,IF(ISNUMBER(SEARCH("QUART",$C227)),Assumptions!$B$5,IF(ISNUMBER(SEARCH("PINT",$C227)),Assumptions!$B$6,Assumptions!$B$7)))))</f>
        <v>20</v>
      </c>
      <c r="I227" s="27">
        <f t="shared" si="7"/>
        <v>40</v>
      </c>
    </row>
    <row r="228" spans="1:9" x14ac:dyDescent="0.2">
      <c r="A228" s="3" t="s">
        <v>11</v>
      </c>
      <c r="B228" s="3" t="s">
        <v>251</v>
      </c>
      <c r="C228" s="3" t="s">
        <v>252</v>
      </c>
      <c r="D228" s="3" t="s">
        <v>105</v>
      </c>
      <c r="E228" s="4">
        <v>90</v>
      </c>
      <c r="F228" s="5">
        <f>IFERROR(3958.8*ACOS(MIN(1,MAX(-1,SIN(RADIANS('ZIP Coordinates'!$C$2))*SIN(RADIANS(INDEX('ZIP Coordinates'!$C:$C,MATCH($A228,'ZIP Coordinates'!$A:$A,0))))+COS(RADIANS('ZIP Coordinates'!$C$2))*COS(RADIANS(INDEX('ZIP Coordinates'!$C:$C,MATCH($A228,'ZIP Coordinates'!$A:$A,0))))*COS(RADIANS(INDEX('ZIP Coordinates'!$D:$D,MATCH($A228,'ZIP Coordinates'!$A:$A,0))-'ZIP Coordinates'!$D$2))))),"N/A")</f>
        <v>199.33243106906986</v>
      </c>
      <c r="G228" s="3" t="str">
        <f t="shared" si="6"/>
        <v>150-199 mi</v>
      </c>
      <c r="H228" s="27">
        <f>IF(RIGHT($B228,1)="P",1,IF(ISNUMBER(SEARCH("HALF GALLON",$C228)),Assumptions!$B$4,IF(ISNUMBER(SEARCH("GALLON",$C228)),Assumptions!$B$3,IF(ISNUMBER(SEARCH("QUART",$C228)),Assumptions!$B$5,IF(ISNUMBER(SEARCH("PINT",$C228)),Assumptions!$B$6,Assumptions!$B$7)))))</f>
        <v>1</v>
      </c>
      <c r="I228" s="27">
        <f t="shared" si="7"/>
        <v>90</v>
      </c>
    </row>
    <row r="229" spans="1:9" x14ac:dyDescent="0.2">
      <c r="A229" s="3" t="s">
        <v>11</v>
      </c>
      <c r="B229" s="3" t="s">
        <v>282</v>
      </c>
      <c r="C229" s="3" t="s">
        <v>283</v>
      </c>
      <c r="D229" s="3" t="s">
        <v>105</v>
      </c>
      <c r="E229" s="4">
        <v>39</v>
      </c>
      <c r="F229" s="5">
        <f>IFERROR(3958.8*ACOS(MIN(1,MAX(-1,SIN(RADIANS('ZIP Coordinates'!$C$2))*SIN(RADIANS(INDEX('ZIP Coordinates'!$C:$C,MATCH($A229,'ZIP Coordinates'!$A:$A,0))))+COS(RADIANS('ZIP Coordinates'!$C$2))*COS(RADIANS(INDEX('ZIP Coordinates'!$C:$C,MATCH($A229,'ZIP Coordinates'!$A:$A,0))))*COS(RADIANS(INDEX('ZIP Coordinates'!$D:$D,MATCH($A229,'ZIP Coordinates'!$A:$A,0))-'ZIP Coordinates'!$D$2))))),"N/A")</f>
        <v>199.33243106906986</v>
      </c>
      <c r="G229" s="3" t="str">
        <f t="shared" si="6"/>
        <v>150-199 mi</v>
      </c>
      <c r="H229" s="27">
        <f>IF(RIGHT($B229,1)="P",1,IF(ISNUMBER(SEARCH("HALF GALLON",$C229)),Assumptions!$B$4,IF(ISNUMBER(SEARCH("GALLON",$C229)),Assumptions!$B$3,IF(ISNUMBER(SEARCH("QUART",$C229)),Assumptions!$B$5,IF(ISNUMBER(SEARCH("PINT",$C229)),Assumptions!$B$6,Assumptions!$B$7)))))</f>
        <v>1</v>
      </c>
      <c r="I229" s="27">
        <f t="shared" si="7"/>
        <v>39</v>
      </c>
    </row>
    <row r="230" spans="1:9" x14ac:dyDescent="0.2">
      <c r="A230" s="3" t="s">
        <v>11</v>
      </c>
      <c r="B230" s="3" t="s">
        <v>284</v>
      </c>
      <c r="C230" s="3" t="s">
        <v>285</v>
      </c>
      <c r="D230" s="3" t="s">
        <v>105</v>
      </c>
      <c r="E230" s="4">
        <v>18</v>
      </c>
      <c r="F230" s="5">
        <f>IFERROR(3958.8*ACOS(MIN(1,MAX(-1,SIN(RADIANS('ZIP Coordinates'!$C$2))*SIN(RADIANS(INDEX('ZIP Coordinates'!$C:$C,MATCH($A230,'ZIP Coordinates'!$A:$A,0))))+COS(RADIANS('ZIP Coordinates'!$C$2))*COS(RADIANS(INDEX('ZIP Coordinates'!$C:$C,MATCH($A230,'ZIP Coordinates'!$A:$A,0))))*COS(RADIANS(INDEX('ZIP Coordinates'!$D:$D,MATCH($A230,'ZIP Coordinates'!$A:$A,0))-'ZIP Coordinates'!$D$2))))),"N/A")</f>
        <v>199.33243106906986</v>
      </c>
      <c r="G230" s="3" t="str">
        <f t="shared" si="6"/>
        <v>150-199 mi</v>
      </c>
      <c r="H230" s="27">
        <f>IF(RIGHT($B230,1)="P",1,IF(ISNUMBER(SEARCH("HALF GALLON",$C230)),Assumptions!$B$4,IF(ISNUMBER(SEARCH("GALLON",$C230)),Assumptions!$B$3,IF(ISNUMBER(SEARCH("QUART",$C230)),Assumptions!$B$5,IF(ISNUMBER(SEARCH("PINT",$C230)),Assumptions!$B$6,Assumptions!$B$7)))))</f>
        <v>1</v>
      </c>
      <c r="I230" s="27">
        <f t="shared" si="7"/>
        <v>18</v>
      </c>
    </row>
    <row r="231" spans="1:9" x14ac:dyDescent="0.2">
      <c r="A231" s="3" t="s">
        <v>11</v>
      </c>
      <c r="B231" s="3" t="s">
        <v>286</v>
      </c>
      <c r="C231" s="3" t="s">
        <v>287</v>
      </c>
      <c r="D231" s="3" t="s">
        <v>105</v>
      </c>
      <c r="E231" s="4">
        <v>16</v>
      </c>
      <c r="F231" s="5">
        <f>IFERROR(3958.8*ACOS(MIN(1,MAX(-1,SIN(RADIANS('ZIP Coordinates'!$C$2))*SIN(RADIANS(INDEX('ZIP Coordinates'!$C:$C,MATCH($A231,'ZIP Coordinates'!$A:$A,0))))+COS(RADIANS('ZIP Coordinates'!$C$2))*COS(RADIANS(INDEX('ZIP Coordinates'!$C:$C,MATCH($A231,'ZIP Coordinates'!$A:$A,0))))*COS(RADIANS(INDEX('ZIP Coordinates'!$D:$D,MATCH($A231,'ZIP Coordinates'!$A:$A,0))-'ZIP Coordinates'!$D$2))))),"N/A")</f>
        <v>199.33243106906986</v>
      </c>
      <c r="G231" s="3" t="str">
        <f t="shared" si="6"/>
        <v>150-199 mi</v>
      </c>
      <c r="H231" s="27">
        <f>IF(RIGHT($B231,1)="P",1,IF(ISNUMBER(SEARCH("HALF GALLON",$C231)),Assumptions!$B$4,IF(ISNUMBER(SEARCH("GALLON",$C231)),Assumptions!$B$3,IF(ISNUMBER(SEARCH("QUART",$C231)),Assumptions!$B$5,IF(ISNUMBER(SEARCH("PINT",$C231)),Assumptions!$B$6,Assumptions!$B$7)))))</f>
        <v>9</v>
      </c>
      <c r="I231" s="27">
        <f t="shared" si="7"/>
        <v>144</v>
      </c>
    </row>
    <row r="232" spans="1:9" x14ac:dyDescent="0.2">
      <c r="A232" s="3" t="s">
        <v>11</v>
      </c>
      <c r="B232" s="3" t="s">
        <v>288</v>
      </c>
      <c r="C232" s="3" t="s">
        <v>287</v>
      </c>
      <c r="D232" s="3" t="s">
        <v>105</v>
      </c>
      <c r="E232" s="4">
        <v>25</v>
      </c>
      <c r="F232" s="5">
        <f>IFERROR(3958.8*ACOS(MIN(1,MAX(-1,SIN(RADIANS('ZIP Coordinates'!$C$2))*SIN(RADIANS(INDEX('ZIP Coordinates'!$C:$C,MATCH($A232,'ZIP Coordinates'!$A:$A,0))))+COS(RADIANS('ZIP Coordinates'!$C$2))*COS(RADIANS(INDEX('ZIP Coordinates'!$C:$C,MATCH($A232,'ZIP Coordinates'!$A:$A,0))))*COS(RADIANS(INDEX('ZIP Coordinates'!$D:$D,MATCH($A232,'ZIP Coordinates'!$A:$A,0))-'ZIP Coordinates'!$D$2))))),"N/A")</f>
        <v>199.33243106906986</v>
      </c>
      <c r="G232" s="3" t="str">
        <f t="shared" si="6"/>
        <v>150-199 mi</v>
      </c>
      <c r="H232" s="27">
        <f>IF(RIGHT($B232,1)="P",1,IF(ISNUMBER(SEARCH("HALF GALLON",$C232)),Assumptions!$B$4,IF(ISNUMBER(SEARCH("GALLON",$C232)),Assumptions!$B$3,IF(ISNUMBER(SEARCH("QUART",$C232)),Assumptions!$B$5,IF(ISNUMBER(SEARCH("PINT",$C232)),Assumptions!$B$6,Assumptions!$B$7)))))</f>
        <v>1</v>
      </c>
      <c r="I232" s="27">
        <f t="shared" si="7"/>
        <v>25</v>
      </c>
    </row>
    <row r="233" spans="1:9" x14ac:dyDescent="0.2">
      <c r="A233" s="3" t="s">
        <v>11</v>
      </c>
      <c r="B233" s="3" t="s">
        <v>255</v>
      </c>
      <c r="C233" s="3" t="s">
        <v>256</v>
      </c>
      <c r="D233" s="3" t="s">
        <v>105</v>
      </c>
      <c r="E233" s="4">
        <v>38</v>
      </c>
      <c r="F233" s="5">
        <f>IFERROR(3958.8*ACOS(MIN(1,MAX(-1,SIN(RADIANS('ZIP Coordinates'!$C$2))*SIN(RADIANS(INDEX('ZIP Coordinates'!$C:$C,MATCH($A233,'ZIP Coordinates'!$A:$A,0))))+COS(RADIANS('ZIP Coordinates'!$C$2))*COS(RADIANS(INDEX('ZIP Coordinates'!$C:$C,MATCH($A233,'ZIP Coordinates'!$A:$A,0))))*COS(RADIANS(INDEX('ZIP Coordinates'!$D:$D,MATCH($A233,'ZIP Coordinates'!$A:$A,0))-'ZIP Coordinates'!$D$2))))),"N/A")</f>
        <v>199.33243106906986</v>
      </c>
      <c r="G233" s="3" t="str">
        <f t="shared" si="6"/>
        <v>150-199 mi</v>
      </c>
      <c r="H233" s="27">
        <f>IF(RIGHT($B233,1)="P",1,IF(ISNUMBER(SEARCH("HALF GALLON",$C233)),Assumptions!$B$4,IF(ISNUMBER(SEARCH("GALLON",$C233)),Assumptions!$B$3,IF(ISNUMBER(SEARCH("QUART",$C233)),Assumptions!$B$5,IF(ISNUMBER(SEARCH("PINT",$C233)),Assumptions!$B$6,Assumptions!$B$7)))))</f>
        <v>20</v>
      </c>
      <c r="I233" s="27">
        <f t="shared" si="7"/>
        <v>760</v>
      </c>
    </row>
    <row r="234" spans="1:9" x14ac:dyDescent="0.2">
      <c r="A234" s="3" t="s">
        <v>12</v>
      </c>
      <c r="B234" s="3" t="s">
        <v>239</v>
      </c>
      <c r="C234" s="3" t="s">
        <v>240</v>
      </c>
      <c r="D234" s="3" t="s">
        <v>184</v>
      </c>
      <c r="E234" s="4">
        <v>3</v>
      </c>
      <c r="F234" s="5">
        <f>IFERROR(3958.8*ACOS(MIN(1,MAX(-1,SIN(RADIANS('ZIP Coordinates'!$C$2))*SIN(RADIANS(INDEX('ZIP Coordinates'!$C:$C,MATCH($A234,'ZIP Coordinates'!$A:$A,0))))+COS(RADIANS('ZIP Coordinates'!$C$2))*COS(RADIANS(INDEX('ZIP Coordinates'!$C:$C,MATCH($A234,'ZIP Coordinates'!$A:$A,0))))*COS(RADIANS(INDEX('ZIP Coordinates'!$D:$D,MATCH($A234,'ZIP Coordinates'!$A:$A,0))-'ZIP Coordinates'!$D$2))))),"N/A")</f>
        <v>175.36797212753649</v>
      </c>
      <c r="G234" s="3" t="str">
        <f t="shared" si="6"/>
        <v>150-199 mi</v>
      </c>
      <c r="H234" s="27">
        <f>IF(RIGHT($B234,1)="P",1,IF(ISNUMBER(SEARCH("HALF GALLON",$C234)),Assumptions!$B$4,IF(ISNUMBER(SEARCH("GALLON",$C234)),Assumptions!$B$3,IF(ISNUMBER(SEARCH("QUART",$C234)),Assumptions!$B$5,IF(ISNUMBER(SEARCH("PINT",$C234)),Assumptions!$B$6,Assumptions!$B$7)))))</f>
        <v>1</v>
      </c>
      <c r="I234" s="27">
        <f t="shared" si="7"/>
        <v>3</v>
      </c>
    </row>
    <row r="235" spans="1:9" x14ac:dyDescent="0.2">
      <c r="A235" s="3" t="s">
        <v>12</v>
      </c>
      <c r="B235" s="3" t="s">
        <v>261</v>
      </c>
      <c r="C235" s="3" t="s">
        <v>260</v>
      </c>
      <c r="D235" s="3" t="s">
        <v>184</v>
      </c>
      <c r="E235" s="4">
        <v>3</v>
      </c>
      <c r="F235" s="5">
        <f>IFERROR(3958.8*ACOS(MIN(1,MAX(-1,SIN(RADIANS('ZIP Coordinates'!$C$2))*SIN(RADIANS(INDEX('ZIP Coordinates'!$C:$C,MATCH($A235,'ZIP Coordinates'!$A:$A,0))))+COS(RADIANS('ZIP Coordinates'!$C$2))*COS(RADIANS(INDEX('ZIP Coordinates'!$C:$C,MATCH($A235,'ZIP Coordinates'!$A:$A,0))))*COS(RADIANS(INDEX('ZIP Coordinates'!$D:$D,MATCH($A235,'ZIP Coordinates'!$A:$A,0))-'ZIP Coordinates'!$D$2))))),"N/A")</f>
        <v>175.36797212753649</v>
      </c>
      <c r="G235" s="3" t="str">
        <f t="shared" si="6"/>
        <v>150-199 mi</v>
      </c>
      <c r="H235" s="27">
        <f>IF(RIGHT($B235,1)="P",1,IF(ISNUMBER(SEARCH("HALF GALLON",$C235)),Assumptions!$B$4,IF(ISNUMBER(SEARCH("GALLON",$C235)),Assumptions!$B$3,IF(ISNUMBER(SEARCH("QUART",$C235)),Assumptions!$B$5,IF(ISNUMBER(SEARCH("PINT",$C235)),Assumptions!$B$6,Assumptions!$B$7)))))</f>
        <v>1</v>
      </c>
      <c r="I235" s="27">
        <f t="shared" si="7"/>
        <v>3</v>
      </c>
    </row>
    <row r="236" spans="1:9" x14ac:dyDescent="0.2">
      <c r="A236" s="3" t="s">
        <v>12</v>
      </c>
      <c r="B236" s="3" t="s">
        <v>241</v>
      </c>
      <c r="C236" s="3" t="s">
        <v>242</v>
      </c>
      <c r="D236" s="3" t="s">
        <v>163</v>
      </c>
      <c r="E236" s="4">
        <v>6</v>
      </c>
      <c r="F236" s="5">
        <f>IFERROR(3958.8*ACOS(MIN(1,MAX(-1,SIN(RADIANS('ZIP Coordinates'!$C$2))*SIN(RADIANS(INDEX('ZIP Coordinates'!$C:$C,MATCH($A236,'ZIP Coordinates'!$A:$A,0))))+COS(RADIANS('ZIP Coordinates'!$C$2))*COS(RADIANS(INDEX('ZIP Coordinates'!$C:$C,MATCH($A236,'ZIP Coordinates'!$A:$A,0))))*COS(RADIANS(INDEX('ZIP Coordinates'!$D:$D,MATCH($A236,'ZIP Coordinates'!$A:$A,0))-'ZIP Coordinates'!$D$2))))),"N/A")</f>
        <v>175.36797212753649</v>
      </c>
      <c r="G236" s="3" t="str">
        <f t="shared" si="6"/>
        <v>150-199 mi</v>
      </c>
      <c r="H236" s="27">
        <f>IF(RIGHT($B236,1)="P",1,IF(ISNUMBER(SEARCH("HALF GALLON",$C236)),Assumptions!$B$4,IF(ISNUMBER(SEARCH("GALLON",$C236)),Assumptions!$B$3,IF(ISNUMBER(SEARCH("QUART",$C236)),Assumptions!$B$5,IF(ISNUMBER(SEARCH("PINT",$C236)),Assumptions!$B$6,Assumptions!$B$7)))))</f>
        <v>1</v>
      </c>
      <c r="I236" s="27">
        <f t="shared" si="7"/>
        <v>6</v>
      </c>
    </row>
    <row r="237" spans="1:9" x14ac:dyDescent="0.2">
      <c r="A237" s="3" t="s">
        <v>12</v>
      </c>
      <c r="B237" s="3" t="s">
        <v>271</v>
      </c>
      <c r="C237" s="3" t="s">
        <v>244</v>
      </c>
      <c r="D237" s="3" t="s">
        <v>163</v>
      </c>
      <c r="E237" s="4">
        <v>0</v>
      </c>
      <c r="F237" s="5">
        <f>IFERROR(3958.8*ACOS(MIN(1,MAX(-1,SIN(RADIANS('ZIP Coordinates'!$C$2))*SIN(RADIANS(INDEX('ZIP Coordinates'!$C:$C,MATCH($A237,'ZIP Coordinates'!$A:$A,0))))+COS(RADIANS('ZIP Coordinates'!$C$2))*COS(RADIANS(INDEX('ZIP Coordinates'!$C:$C,MATCH($A237,'ZIP Coordinates'!$A:$A,0))))*COS(RADIANS(INDEX('ZIP Coordinates'!$D:$D,MATCH($A237,'ZIP Coordinates'!$A:$A,0))-'ZIP Coordinates'!$D$2))))),"N/A")</f>
        <v>175.36797212753649</v>
      </c>
      <c r="G237" s="3" t="str">
        <f t="shared" si="6"/>
        <v>150-199 mi</v>
      </c>
      <c r="H237" s="27">
        <f>IF(RIGHT($B237,1)="P",1,IF(ISNUMBER(SEARCH("HALF GALLON",$C237)),Assumptions!$B$4,IF(ISNUMBER(SEARCH("GALLON",$C237)),Assumptions!$B$3,IF(ISNUMBER(SEARCH("QUART",$C237)),Assumptions!$B$5,IF(ISNUMBER(SEARCH("PINT",$C237)),Assumptions!$B$6,Assumptions!$B$7)))))</f>
        <v>9</v>
      </c>
      <c r="I237" s="27">
        <f t="shared" si="7"/>
        <v>0</v>
      </c>
    </row>
    <row r="238" spans="1:9" x14ac:dyDescent="0.2">
      <c r="A238" s="3" t="s">
        <v>12</v>
      </c>
      <c r="B238" s="3" t="s">
        <v>243</v>
      </c>
      <c r="C238" s="3" t="s">
        <v>244</v>
      </c>
      <c r="D238" s="3" t="s">
        <v>163</v>
      </c>
      <c r="E238" s="4">
        <v>28</v>
      </c>
      <c r="F238" s="5">
        <f>IFERROR(3958.8*ACOS(MIN(1,MAX(-1,SIN(RADIANS('ZIP Coordinates'!$C$2))*SIN(RADIANS(INDEX('ZIP Coordinates'!$C:$C,MATCH($A238,'ZIP Coordinates'!$A:$A,0))))+COS(RADIANS('ZIP Coordinates'!$C$2))*COS(RADIANS(INDEX('ZIP Coordinates'!$C:$C,MATCH($A238,'ZIP Coordinates'!$A:$A,0))))*COS(RADIANS(INDEX('ZIP Coordinates'!$D:$D,MATCH($A238,'ZIP Coordinates'!$A:$A,0))-'ZIP Coordinates'!$D$2))))),"N/A")</f>
        <v>175.36797212753649</v>
      </c>
      <c r="G238" s="3" t="str">
        <f t="shared" si="6"/>
        <v>150-199 mi</v>
      </c>
      <c r="H238" s="27">
        <f>IF(RIGHT($B238,1)="P",1,IF(ISNUMBER(SEARCH("HALF GALLON",$C238)),Assumptions!$B$4,IF(ISNUMBER(SEARCH("GALLON",$C238)),Assumptions!$B$3,IF(ISNUMBER(SEARCH("QUART",$C238)),Assumptions!$B$5,IF(ISNUMBER(SEARCH("PINT",$C238)),Assumptions!$B$6,Assumptions!$B$7)))))</f>
        <v>1</v>
      </c>
      <c r="I238" s="27">
        <f t="shared" si="7"/>
        <v>28</v>
      </c>
    </row>
    <row r="239" spans="1:9" x14ac:dyDescent="0.2">
      <c r="A239" s="3" t="s">
        <v>12</v>
      </c>
      <c r="B239" s="3" t="s">
        <v>276</v>
      </c>
      <c r="C239" s="3" t="s">
        <v>275</v>
      </c>
      <c r="D239" s="3" t="s">
        <v>163</v>
      </c>
      <c r="E239" s="4">
        <v>34</v>
      </c>
      <c r="F239" s="5">
        <f>IFERROR(3958.8*ACOS(MIN(1,MAX(-1,SIN(RADIANS('ZIP Coordinates'!$C$2))*SIN(RADIANS(INDEX('ZIP Coordinates'!$C:$C,MATCH($A239,'ZIP Coordinates'!$A:$A,0))))+COS(RADIANS('ZIP Coordinates'!$C$2))*COS(RADIANS(INDEX('ZIP Coordinates'!$C:$C,MATCH($A239,'ZIP Coordinates'!$A:$A,0))))*COS(RADIANS(INDEX('ZIP Coordinates'!$D:$D,MATCH($A239,'ZIP Coordinates'!$A:$A,0))-'ZIP Coordinates'!$D$2))))),"N/A")</f>
        <v>175.36797212753649</v>
      </c>
      <c r="G239" s="3" t="str">
        <f t="shared" si="6"/>
        <v>150-199 mi</v>
      </c>
      <c r="H239" s="27">
        <f>IF(RIGHT($B239,1)="P",1,IF(ISNUMBER(SEARCH("HALF GALLON",$C239)),Assumptions!$B$4,IF(ISNUMBER(SEARCH("GALLON",$C239)),Assumptions!$B$3,IF(ISNUMBER(SEARCH("QUART",$C239)),Assumptions!$B$5,IF(ISNUMBER(SEARCH("PINT",$C239)),Assumptions!$B$6,Assumptions!$B$7)))))</f>
        <v>1</v>
      </c>
      <c r="I239" s="27">
        <f t="shared" si="7"/>
        <v>34</v>
      </c>
    </row>
    <row r="240" spans="1:9" x14ac:dyDescent="0.2">
      <c r="A240" s="3" t="s">
        <v>12</v>
      </c>
      <c r="B240" s="3" t="s">
        <v>247</v>
      </c>
      <c r="C240" s="3" t="s">
        <v>246</v>
      </c>
      <c r="D240" s="3" t="s">
        <v>184</v>
      </c>
      <c r="E240" s="4">
        <v>4</v>
      </c>
      <c r="F240" s="5">
        <f>IFERROR(3958.8*ACOS(MIN(1,MAX(-1,SIN(RADIANS('ZIP Coordinates'!$C$2))*SIN(RADIANS(INDEX('ZIP Coordinates'!$C:$C,MATCH($A240,'ZIP Coordinates'!$A:$A,0))))+COS(RADIANS('ZIP Coordinates'!$C$2))*COS(RADIANS(INDEX('ZIP Coordinates'!$C:$C,MATCH($A240,'ZIP Coordinates'!$A:$A,0))))*COS(RADIANS(INDEX('ZIP Coordinates'!$D:$D,MATCH($A240,'ZIP Coordinates'!$A:$A,0))-'ZIP Coordinates'!$D$2))))),"N/A")</f>
        <v>175.36797212753649</v>
      </c>
      <c r="G240" s="3" t="str">
        <f t="shared" si="6"/>
        <v>150-199 mi</v>
      </c>
      <c r="H240" s="27">
        <f>IF(RIGHT($B240,1)="P",1,IF(ISNUMBER(SEARCH("HALF GALLON",$C240)),Assumptions!$B$4,IF(ISNUMBER(SEARCH("GALLON",$C240)),Assumptions!$B$3,IF(ISNUMBER(SEARCH("QUART",$C240)),Assumptions!$B$5,IF(ISNUMBER(SEARCH("PINT",$C240)),Assumptions!$B$6,Assumptions!$B$7)))))</f>
        <v>1</v>
      </c>
      <c r="I240" s="27">
        <f t="shared" si="7"/>
        <v>4</v>
      </c>
    </row>
    <row r="241" spans="1:9" x14ac:dyDescent="0.2">
      <c r="A241" s="3" t="s">
        <v>12</v>
      </c>
      <c r="B241" s="3" t="s">
        <v>248</v>
      </c>
      <c r="C241" s="3" t="s">
        <v>249</v>
      </c>
      <c r="D241" s="3" t="s">
        <v>101</v>
      </c>
      <c r="E241" s="4">
        <v>5</v>
      </c>
      <c r="F241" s="5">
        <f>IFERROR(3958.8*ACOS(MIN(1,MAX(-1,SIN(RADIANS('ZIP Coordinates'!$C$2))*SIN(RADIANS(INDEX('ZIP Coordinates'!$C:$C,MATCH($A241,'ZIP Coordinates'!$A:$A,0))))+COS(RADIANS('ZIP Coordinates'!$C$2))*COS(RADIANS(INDEX('ZIP Coordinates'!$C:$C,MATCH($A241,'ZIP Coordinates'!$A:$A,0))))*COS(RADIANS(INDEX('ZIP Coordinates'!$D:$D,MATCH($A241,'ZIP Coordinates'!$A:$A,0))-'ZIP Coordinates'!$D$2))))),"N/A")</f>
        <v>175.36797212753649</v>
      </c>
      <c r="G241" s="3" t="str">
        <f t="shared" si="6"/>
        <v>150-199 mi</v>
      </c>
      <c r="H241" s="27">
        <f>IF(RIGHT($B241,1)="P",1,IF(ISNUMBER(SEARCH("HALF GALLON",$C241)),Assumptions!$B$4,IF(ISNUMBER(SEARCH("GALLON",$C241)),Assumptions!$B$3,IF(ISNUMBER(SEARCH("QUART",$C241)),Assumptions!$B$5,IF(ISNUMBER(SEARCH("PINT",$C241)),Assumptions!$B$6,Assumptions!$B$7)))))</f>
        <v>20</v>
      </c>
      <c r="I241" s="27">
        <f t="shared" si="7"/>
        <v>100</v>
      </c>
    </row>
    <row r="242" spans="1:9" x14ac:dyDescent="0.2">
      <c r="A242" s="3" t="s">
        <v>12</v>
      </c>
      <c r="B242" s="3" t="s">
        <v>250</v>
      </c>
      <c r="C242" s="3" t="s">
        <v>249</v>
      </c>
      <c r="D242" s="3" t="s">
        <v>184</v>
      </c>
      <c r="E242" s="4">
        <v>4</v>
      </c>
      <c r="F242" s="5">
        <f>IFERROR(3958.8*ACOS(MIN(1,MAX(-1,SIN(RADIANS('ZIP Coordinates'!$C$2))*SIN(RADIANS(INDEX('ZIP Coordinates'!$C:$C,MATCH($A242,'ZIP Coordinates'!$A:$A,0))))+COS(RADIANS('ZIP Coordinates'!$C$2))*COS(RADIANS(INDEX('ZIP Coordinates'!$C:$C,MATCH($A242,'ZIP Coordinates'!$A:$A,0))))*COS(RADIANS(INDEX('ZIP Coordinates'!$D:$D,MATCH($A242,'ZIP Coordinates'!$A:$A,0))-'ZIP Coordinates'!$D$2))))),"N/A")</f>
        <v>175.36797212753649</v>
      </c>
      <c r="G242" s="3" t="str">
        <f t="shared" si="6"/>
        <v>150-199 mi</v>
      </c>
      <c r="H242" s="27">
        <f>IF(RIGHT($B242,1)="P",1,IF(ISNUMBER(SEARCH("HALF GALLON",$C242)),Assumptions!$B$4,IF(ISNUMBER(SEARCH("GALLON",$C242)),Assumptions!$B$3,IF(ISNUMBER(SEARCH("QUART",$C242)),Assumptions!$B$5,IF(ISNUMBER(SEARCH("PINT",$C242)),Assumptions!$B$6,Assumptions!$B$7)))))</f>
        <v>1</v>
      </c>
      <c r="I242" s="27">
        <f t="shared" si="7"/>
        <v>4</v>
      </c>
    </row>
    <row r="243" spans="1:9" x14ac:dyDescent="0.2">
      <c r="A243" s="3" t="s">
        <v>12</v>
      </c>
      <c r="B243" s="3" t="s">
        <v>281</v>
      </c>
      <c r="C243" s="3" t="s">
        <v>252</v>
      </c>
      <c r="D243" s="3" t="s">
        <v>101</v>
      </c>
      <c r="E243" s="4">
        <v>8</v>
      </c>
      <c r="F243" s="5">
        <f>IFERROR(3958.8*ACOS(MIN(1,MAX(-1,SIN(RADIANS('ZIP Coordinates'!$C$2))*SIN(RADIANS(INDEX('ZIP Coordinates'!$C:$C,MATCH($A243,'ZIP Coordinates'!$A:$A,0))))+COS(RADIANS('ZIP Coordinates'!$C$2))*COS(RADIANS(INDEX('ZIP Coordinates'!$C:$C,MATCH($A243,'ZIP Coordinates'!$A:$A,0))))*COS(RADIANS(INDEX('ZIP Coordinates'!$D:$D,MATCH($A243,'ZIP Coordinates'!$A:$A,0))-'ZIP Coordinates'!$D$2))))),"N/A")</f>
        <v>175.36797212753649</v>
      </c>
      <c r="G243" s="3" t="str">
        <f t="shared" si="6"/>
        <v>150-199 mi</v>
      </c>
      <c r="H243" s="27">
        <f>IF(RIGHT($B243,1)="P",1,IF(ISNUMBER(SEARCH("HALF GALLON",$C243)),Assumptions!$B$4,IF(ISNUMBER(SEARCH("GALLON",$C243)),Assumptions!$B$3,IF(ISNUMBER(SEARCH("QUART",$C243)),Assumptions!$B$5,IF(ISNUMBER(SEARCH("PINT",$C243)),Assumptions!$B$6,Assumptions!$B$7)))))</f>
        <v>20</v>
      </c>
      <c r="I243" s="27">
        <f t="shared" si="7"/>
        <v>160</v>
      </c>
    </row>
    <row r="244" spans="1:9" x14ac:dyDescent="0.2">
      <c r="A244" s="3" t="s">
        <v>12</v>
      </c>
      <c r="B244" s="3" t="s">
        <v>251</v>
      </c>
      <c r="C244" s="3" t="s">
        <v>252</v>
      </c>
      <c r="D244" s="3" t="s">
        <v>184</v>
      </c>
      <c r="E244" s="4">
        <v>4</v>
      </c>
      <c r="F244" s="5">
        <f>IFERROR(3958.8*ACOS(MIN(1,MAX(-1,SIN(RADIANS('ZIP Coordinates'!$C$2))*SIN(RADIANS(INDEX('ZIP Coordinates'!$C:$C,MATCH($A244,'ZIP Coordinates'!$A:$A,0))))+COS(RADIANS('ZIP Coordinates'!$C$2))*COS(RADIANS(INDEX('ZIP Coordinates'!$C:$C,MATCH($A244,'ZIP Coordinates'!$A:$A,0))))*COS(RADIANS(INDEX('ZIP Coordinates'!$D:$D,MATCH($A244,'ZIP Coordinates'!$A:$A,0))-'ZIP Coordinates'!$D$2))))),"N/A")</f>
        <v>175.36797212753649</v>
      </c>
      <c r="G244" s="3" t="str">
        <f t="shared" si="6"/>
        <v>150-199 mi</v>
      </c>
      <c r="H244" s="27">
        <f>IF(RIGHT($B244,1)="P",1,IF(ISNUMBER(SEARCH("HALF GALLON",$C244)),Assumptions!$B$4,IF(ISNUMBER(SEARCH("GALLON",$C244)),Assumptions!$B$3,IF(ISNUMBER(SEARCH("QUART",$C244)),Assumptions!$B$5,IF(ISNUMBER(SEARCH("PINT",$C244)),Assumptions!$B$6,Assumptions!$B$7)))))</f>
        <v>1</v>
      </c>
      <c r="I244" s="27">
        <f t="shared" si="7"/>
        <v>4</v>
      </c>
    </row>
    <row r="245" spans="1:9" x14ac:dyDescent="0.2">
      <c r="A245" s="3" t="s">
        <v>12</v>
      </c>
      <c r="B245" s="3" t="s">
        <v>255</v>
      </c>
      <c r="C245" s="3" t="s">
        <v>256</v>
      </c>
      <c r="D245" s="3" t="s">
        <v>101</v>
      </c>
      <c r="E245" s="4">
        <v>13</v>
      </c>
      <c r="F245" s="5">
        <f>IFERROR(3958.8*ACOS(MIN(1,MAX(-1,SIN(RADIANS('ZIP Coordinates'!$C$2))*SIN(RADIANS(INDEX('ZIP Coordinates'!$C:$C,MATCH($A245,'ZIP Coordinates'!$A:$A,0))))+COS(RADIANS('ZIP Coordinates'!$C$2))*COS(RADIANS(INDEX('ZIP Coordinates'!$C:$C,MATCH($A245,'ZIP Coordinates'!$A:$A,0))))*COS(RADIANS(INDEX('ZIP Coordinates'!$D:$D,MATCH($A245,'ZIP Coordinates'!$A:$A,0))-'ZIP Coordinates'!$D$2))))),"N/A")</f>
        <v>175.36797212753649</v>
      </c>
      <c r="G245" s="3" t="str">
        <f t="shared" si="6"/>
        <v>150-199 mi</v>
      </c>
      <c r="H245" s="27">
        <f>IF(RIGHT($B245,1)="P",1,IF(ISNUMBER(SEARCH("HALF GALLON",$C245)),Assumptions!$B$4,IF(ISNUMBER(SEARCH("GALLON",$C245)),Assumptions!$B$3,IF(ISNUMBER(SEARCH("QUART",$C245)),Assumptions!$B$5,IF(ISNUMBER(SEARCH("PINT",$C245)),Assumptions!$B$6,Assumptions!$B$7)))))</f>
        <v>20</v>
      </c>
      <c r="I245" s="27">
        <f t="shared" si="7"/>
        <v>260</v>
      </c>
    </row>
    <row r="246" spans="1:9" x14ac:dyDescent="0.2">
      <c r="A246" s="3" t="s">
        <v>12</v>
      </c>
      <c r="B246" s="3" t="s">
        <v>257</v>
      </c>
      <c r="C246" s="3" t="s">
        <v>256</v>
      </c>
      <c r="D246" s="3" t="s">
        <v>184</v>
      </c>
      <c r="E246" s="4">
        <v>4</v>
      </c>
      <c r="F246" s="5">
        <f>IFERROR(3958.8*ACOS(MIN(1,MAX(-1,SIN(RADIANS('ZIP Coordinates'!$C$2))*SIN(RADIANS(INDEX('ZIP Coordinates'!$C:$C,MATCH($A246,'ZIP Coordinates'!$A:$A,0))))+COS(RADIANS('ZIP Coordinates'!$C$2))*COS(RADIANS(INDEX('ZIP Coordinates'!$C:$C,MATCH($A246,'ZIP Coordinates'!$A:$A,0))))*COS(RADIANS(INDEX('ZIP Coordinates'!$D:$D,MATCH($A246,'ZIP Coordinates'!$A:$A,0))-'ZIP Coordinates'!$D$2))))),"N/A")</f>
        <v>175.36797212753649</v>
      </c>
      <c r="G246" s="3" t="str">
        <f t="shared" si="6"/>
        <v>150-199 mi</v>
      </c>
      <c r="H246" s="27">
        <f>IF(RIGHT($B246,1)="P",1,IF(ISNUMBER(SEARCH("HALF GALLON",$C246)),Assumptions!$B$4,IF(ISNUMBER(SEARCH("GALLON",$C246)),Assumptions!$B$3,IF(ISNUMBER(SEARCH("QUART",$C246)),Assumptions!$B$5,IF(ISNUMBER(SEARCH("PINT",$C246)),Assumptions!$B$6,Assumptions!$B$7)))))</f>
        <v>1</v>
      </c>
      <c r="I246" s="27">
        <f t="shared" si="7"/>
        <v>4</v>
      </c>
    </row>
    <row r="247" spans="1:9" x14ac:dyDescent="0.2">
      <c r="A247" s="3" t="s">
        <v>13</v>
      </c>
      <c r="B247" s="3" t="s">
        <v>270</v>
      </c>
      <c r="C247" s="3" t="s">
        <v>242</v>
      </c>
      <c r="D247" s="3" t="s">
        <v>221</v>
      </c>
      <c r="E247" s="4">
        <v>1</v>
      </c>
      <c r="F247" s="5">
        <f>IFERROR(3958.8*ACOS(MIN(1,MAX(-1,SIN(RADIANS('ZIP Coordinates'!$C$2))*SIN(RADIANS(INDEX('ZIP Coordinates'!$C:$C,MATCH($A247,'ZIP Coordinates'!$A:$A,0))))+COS(RADIANS('ZIP Coordinates'!$C$2))*COS(RADIANS(INDEX('ZIP Coordinates'!$C:$C,MATCH($A247,'ZIP Coordinates'!$A:$A,0))))*COS(RADIANS(INDEX('ZIP Coordinates'!$D:$D,MATCH($A247,'ZIP Coordinates'!$A:$A,0))-'ZIP Coordinates'!$D$2))))),"N/A")</f>
        <v>188.62928727380364</v>
      </c>
      <c r="G247" s="3" t="str">
        <f t="shared" si="6"/>
        <v>150-199 mi</v>
      </c>
      <c r="H247" s="27">
        <f>IF(RIGHT($B247,1)="P",1,IF(ISNUMBER(SEARCH("HALF GALLON",$C247)),Assumptions!$B$4,IF(ISNUMBER(SEARCH("GALLON",$C247)),Assumptions!$B$3,IF(ISNUMBER(SEARCH("QUART",$C247)),Assumptions!$B$5,IF(ISNUMBER(SEARCH("PINT",$C247)),Assumptions!$B$6,Assumptions!$B$7)))))</f>
        <v>9</v>
      </c>
      <c r="I247" s="27">
        <f t="shared" si="7"/>
        <v>9</v>
      </c>
    </row>
    <row r="248" spans="1:9" x14ac:dyDescent="0.2">
      <c r="A248" s="3" t="s">
        <v>14</v>
      </c>
      <c r="B248" s="3" t="s">
        <v>239</v>
      </c>
      <c r="C248" s="3" t="s">
        <v>240</v>
      </c>
      <c r="D248" s="3" t="s">
        <v>126</v>
      </c>
      <c r="E248" s="4">
        <v>32</v>
      </c>
      <c r="F248" s="5">
        <f>IFERROR(3958.8*ACOS(MIN(1,MAX(-1,SIN(RADIANS('ZIP Coordinates'!$C$2))*SIN(RADIANS(INDEX('ZIP Coordinates'!$C:$C,MATCH($A248,'ZIP Coordinates'!$A:$A,0))))+COS(RADIANS('ZIP Coordinates'!$C$2))*COS(RADIANS(INDEX('ZIP Coordinates'!$C:$C,MATCH($A248,'ZIP Coordinates'!$A:$A,0))))*COS(RADIANS(INDEX('ZIP Coordinates'!$D:$D,MATCH($A248,'ZIP Coordinates'!$A:$A,0))-'ZIP Coordinates'!$D$2))))),"N/A")</f>
        <v>188.5979879790994</v>
      </c>
      <c r="G248" s="3" t="str">
        <f t="shared" si="6"/>
        <v>150-199 mi</v>
      </c>
      <c r="H248" s="27">
        <f>IF(RIGHT($B248,1)="P",1,IF(ISNUMBER(SEARCH("HALF GALLON",$C248)),Assumptions!$B$4,IF(ISNUMBER(SEARCH("GALLON",$C248)),Assumptions!$B$3,IF(ISNUMBER(SEARCH("QUART",$C248)),Assumptions!$B$5,IF(ISNUMBER(SEARCH("PINT",$C248)),Assumptions!$B$6,Assumptions!$B$7)))))</f>
        <v>1</v>
      </c>
      <c r="I248" s="27">
        <f t="shared" si="7"/>
        <v>32</v>
      </c>
    </row>
    <row r="249" spans="1:9" x14ac:dyDescent="0.2">
      <c r="A249" s="3" t="s">
        <v>14</v>
      </c>
      <c r="B249" s="3" t="s">
        <v>261</v>
      </c>
      <c r="C249" s="3" t="s">
        <v>260</v>
      </c>
      <c r="D249" s="3" t="s">
        <v>126</v>
      </c>
      <c r="E249" s="4">
        <v>34</v>
      </c>
      <c r="F249" s="5">
        <f>IFERROR(3958.8*ACOS(MIN(1,MAX(-1,SIN(RADIANS('ZIP Coordinates'!$C$2))*SIN(RADIANS(INDEX('ZIP Coordinates'!$C:$C,MATCH($A249,'ZIP Coordinates'!$A:$A,0))))+COS(RADIANS('ZIP Coordinates'!$C$2))*COS(RADIANS(INDEX('ZIP Coordinates'!$C:$C,MATCH($A249,'ZIP Coordinates'!$A:$A,0))))*COS(RADIANS(INDEX('ZIP Coordinates'!$D:$D,MATCH($A249,'ZIP Coordinates'!$A:$A,0))-'ZIP Coordinates'!$D$2))))),"N/A")</f>
        <v>188.5979879790994</v>
      </c>
      <c r="G249" s="3" t="str">
        <f t="shared" si="6"/>
        <v>150-199 mi</v>
      </c>
      <c r="H249" s="27">
        <f>IF(RIGHT($B249,1)="P",1,IF(ISNUMBER(SEARCH("HALF GALLON",$C249)),Assumptions!$B$4,IF(ISNUMBER(SEARCH("GALLON",$C249)),Assumptions!$B$3,IF(ISNUMBER(SEARCH("QUART",$C249)),Assumptions!$B$5,IF(ISNUMBER(SEARCH("PINT",$C249)),Assumptions!$B$6,Assumptions!$B$7)))))</f>
        <v>1</v>
      </c>
      <c r="I249" s="27">
        <f t="shared" si="7"/>
        <v>34</v>
      </c>
    </row>
    <row r="250" spans="1:9" x14ac:dyDescent="0.2">
      <c r="A250" s="3" t="s">
        <v>14</v>
      </c>
      <c r="B250" s="3" t="s">
        <v>241</v>
      </c>
      <c r="C250" s="3" t="s">
        <v>242</v>
      </c>
      <c r="D250" s="3" t="s">
        <v>126</v>
      </c>
      <c r="E250" s="4">
        <v>7</v>
      </c>
      <c r="F250" s="5">
        <f>IFERROR(3958.8*ACOS(MIN(1,MAX(-1,SIN(RADIANS('ZIP Coordinates'!$C$2))*SIN(RADIANS(INDEX('ZIP Coordinates'!$C:$C,MATCH($A250,'ZIP Coordinates'!$A:$A,0))))+COS(RADIANS('ZIP Coordinates'!$C$2))*COS(RADIANS(INDEX('ZIP Coordinates'!$C:$C,MATCH($A250,'ZIP Coordinates'!$A:$A,0))))*COS(RADIANS(INDEX('ZIP Coordinates'!$D:$D,MATCH($A250,'ZIP Coordinates'!$A:$A,0))-'ZIP Coordinates'!$D$2))))),"N/A")</f>
        <v>188.5979879790994</v>
      </c>
      <c r="G250" s="3" t="str">
        <f t="shared" si="6"/>
        <v>150-199 mi</v>
      </c>
      <c r="H250" s="27">
        <f>IF(RIGHT($B250,1)="P",1,IF(ISNUMBER(SEARCH("HALF GALLON",$C250)),Assumptions!$B$4,IF(ISNUMBER(SEARCH("GALLON",$C250)),Assumptions!$B$3,IF(ISNUMBER(SEARCH("QUART",$C250)),Assumptions!$B$5,IF(ISNUMBER(SEARCH("PINT",$C250)),Assumptions!$B$6,Assumptions!$B$7)))))</f>
        <v>1</v>
      </c>
      <c r="I250" s="27">
        <f t="shared" si="7"/>
        <v>7</v>
      </c>
    </row>
    <row r="251" spans="1:9" x14ac:dyDescent="0.2">
      <c r="A251" s="3" t="s">
        <v>14</v>
      </c>
      <c r="B251" s="3" t="s">
        <v>243</v>
      </c>
      <c r="C251" s="3" t="s">
        <v>244</v>
      </c>
      <c r="D251" s="3" t="s">
        <v>126</v>
      </c>
      <c r="E251" s="4">
        <v>9</v>
      </c>
      <c r="F251" s="5">
        <f>IFERROR(3958.8*ACOS(MIN(1,MAX(-1,SIN(RADIANS('ZIP Coordinates'!$C$2))*SIN(RADIANS(INDEX('ZIP Coordinates'!$C:$C,MATCH($A251,'ZIP Coordinates'!$A:$A,0))))+COS(RADIANS('ZIP Coordinates'!$C$2))*COS(RADIANS(INDEX('ZIP Coordinates'!$C:$C,MATCH($A251,'ZIP Coordinates'!$A:$A,0))))*COS(RADIANS(INDEX('ZIP Coordinates'!$D:$D,MATCH($A251,'ZIP Coordinates'!$A:$A,0))-'ZIP Coordinates'!$D$2))))),"N/A")</f>
        <v>188.5979879790994</v>
      </c>
      <c r="G251" s="3" t="str">
        <f t="shared" si="6"/>
        <v>150-199 mi</v>
      </c>
      <c r="H251" s="27">
        <f>IF(RIGHT($B251,1)="P",1,IF(ISNUMBER(SEARCH("HALF GALLON",$C251)),Assumptions!$B$4,IF(ISNUMBER(SEARCH("GALLON",$C251)),Assumptions!$B$3,IF(ISNUMBER(SEARCH("QUART",$C251)),Assumptions!$B$5,IF(ISNUMBER(SEARCH("PINT",$C251)),Assumptions!$B$6,Assumptions!$B$7)))))</f>
        <v>1</v>
      </c>
      <c r="I251" s="27">
        <f t="shared" si="7"/>
        <v>9</v>
      </c>
    </row>
    <row r="252" spans="1:9" x14ac:dyDescent="0.2">
      <c r="A252" s="3" t="s">
        <v>14</v>
      </c>
      <c r="B252" s="3" t="s">
        <v>276</v>
      </c>
      <c r="C252" s="3" t="s">
        <v>275</v>
      </c>
      <c r="D252" s="3" t="s">
        <v>126</v>
      </c>
      <c r="E252" s="4">
        <v>31</v>
      </c>
      <c r="F252" s="5">
        <f>IFERROR(3958.8*ACOS(MIN(1,MAX(-1,SIN(RADIANS('ZIP Coordinates'!$C$2))*SIN(RADIANS(INDEX('ZIP Coordinates'!$C:$C,MATCH($A252,'ZIP Coordinates'!$A:$A,0))))+COS(RADIANS('ZIP Coordinates'!$C$2))*COS(RADIANS(INDEX('ZIP Coordinates'!$C:$C,MATCH($A252,'ZIP Coordinates'!$A:$A,0))))*COS(RADIANS(INDEX('ZIP Coordinates'!$D:$D,MATCH($A252,'ZIP Coordinates'!$A:$A,0))-'ZIP Coordinates'!$D$2))))),"N/A")</f>
        <v>188.5979879790994</v>
      </c>
      <c r="G252" s="3" t="str">
        <f t="shared" si="6"/>
        <v>150-199 mi</v>
      </c>
      <c r="H252" s="27">
        <f>IF(RIGHT($B252,1)="P",1,IF(ISNUMBER(SEARCH("HALF GALLON",$C252)),Assumptions!$B$4,IF(ISNUMBER(SEARCH("GALLON",$C252)),Assumptions!$B$3,IF(ISNUMBER(SEARCH("QUART",$C252)),Assumptions!$B$5,IF(ISNUMBER(SEARCH("PINT",$C252)),Assumptions!$B$6,Assumptions!$B$7)))))</f>
        <v>1</v>
      </c>
      <c r="I252" s="27">
        <f t="shared" si="7"/>
        <v>31</v>
      </c>
    </row>
    <row r="253" spans="1:9" x14ac:dyDescent="0.2">
      <c r="A253" s="3" t="s">
        <v>14</v>
      </c>
      <c r="B253" s="3" t="s">
        <v>247</v>
      </c>
      <c r="C253" s="3" t="s">
        <v>246</v>
      </c>
      <c r="D253" s="3" t="s">
        <v>126</v>
      </c>
      <c r="E253" s="4">
        <v>12</v>
      </c>
      <c r="F253" s="5">
        <f>IFERROR(3958.8*ACOS(MIN(1,MAX(-1,SIN(RADIANS('ZIP Coordinates'!$C$2))*SIN(RADIANS(INDEX('ZIP Coordinates'!$C:$C,MATCH($A253,'ZIP Coordinates'!$A:$A,0))))+COS(RADIANS('ZIP Coordinates'!$C$2))*COS(RADIANS(INDEX('ZIP Coordinates'!$C:$C,MATCH($A253,'ZIP Coordinates'!$A:$A,0))))*COS(RADIANS(INDEX('ZIP Coordinates'!$D:$D,MATCH($A253,'ZIP Coordinates'!$A:$A,0))-'ZIP Coordinates'!$D$2))))),"N/A")</f>
        <v>188.5979879790994</v>
      </c>
      <c r="G253" s="3" t="str">
        <f t="shared" si="6"/>
        <v>150-199 mi</v>
      </c>
      <c r="H253" s="27">
        <f>IF(RIGHT($B253,1)="P",1,IF(ISNUMBER(SEARCH("HALF GALLON",$C253)),Assumptions!$B$4,IF(ISNUMBER(SEARCH("GALLON",$C253)),Assumptions!$B$3,IF(ISNUMBER(SEARCH("QUART",$C253)),Assumptions!$B$5,IF(ISNUMBER(SEARCH("PINT",$C253)),Assumptions!$B$6,Assumptions!$B$7)))))</f>
        <v>1</v>
      </c>
      <c r="I253" s="27">
        <f t="shared" si="7"/>
        <v>12</v>
      </c>
    </row>
    <row r="254" spans="1:9" x14ac:dyDescent="0.2">
      <c r="A254" s="3" t="s">
        <v>14</v>
      </c>
      <c r="B254" s="3" t="s">
        <v>250</v>
      </c>
      <c r="C254" s="3" t="s">
        <v>249</v>
      </c>
      <c r="D254" s="3" t="s">
        <v>126</v>
      </c>
      <c r="E254" s="4">
        <v>19</v>
      </c>
      <c r="F254" s="5">
        <f>IFERROR(3958.8*ACOS(MIN(1,MAX(-1,SIN(RADIANS('ZIP Coordinates'!$C$2))*SIN(RADIANS(INDEX('ZIP Coordinates'!$C:$C,MATCH($A254,'ZIP Coordinates'!$A:$A,0))))+COS(RADIANS('ZIP Coordinates'!$C$2))*COS(RADIANS(INDEX('ZIP Coordinates'!$C:$C,MATCH($A254,'ZIP Coordinates'!$A:$A,0))))*COS(RADIANS(INDEX('ZIP Coordinates'!$D:$D,MATCH($A254,'ZIP Coordinates'!$A:$A,0))-'ZIP Coordinates'!$D$2))))),"N/A")</f>
        <v>188.5979879790994</v>
      </c>
      <c r="G254" s="3" t="str">
        <f t="shared" si="6"/>
        <v>150-199 mi</v>
      </c>
      <c r="H254" s="27">
        <f>IF(RIGHT($B254,1)="P",1,IF(ISNUMBER(SEARCH("HALF GALLON",$C254)),Assumptions!$B$4,IF(ISNUMBER(SEARCH("GALLON",$C254)),Assumptions!$B$3,IF(ISNUMBER(SEARCH("QUART",$C254)),Assumptions!$B$5,IF(ISNUMBER(SEARCH("PINT",$C254)),Assumptions!$B$6,Assumptions!$B$7)))))</f>
        <v>1</v>
      </c>
      <c r="I254" s="27">
        <f t="shared" si="7"/>
        <v>19</v>
      </c>
    </row>
    <row r="255" spans="1:9" x14ac:dyDescent="0.2">
      <c r="A255" s="3" t="s">
        <v>14</v>
      </c>
      <c r="B255" s="3" t="s">
        <v>251</v>
      </c>
      <c r="C255" s="3" t="s">
        <v>252</v>
      </c>
      <c r="D255" s="3" t="s">
        <v>126</v>
      </c>
      <c r="E255" s="4">
        <v>24</v>
      </c>
      <c r="F255" s="5">
        <f>IFERROR(3958.8*ACOS(MIN(1,MAX(-1,SIN(RADIANS('ZIP Coordinates'!$C$2))*SIN(RADIANS(INDEX('ZIP Coordinates'!$C:$C,MATCH($A255,'ZIP Coordinates'!$A:$A,0))))+COS(RADIANS('ZIP Coordinates'!$C$2))*COS(RADIANS(INDEX('ZIP Coordinates'!$C:$C,MATCH($A255,'ZIP Coordinates'!$A:$A,0))))*COS(RADIANS(INDEX('ZIP Coordinates'!$D:$D,MATCH($A255,'ZIP Coordinates'!$A:$A,0))-'ZIP Coordinates'!$D$2))))),"N/A")</f>
        <v>188.5979879790994</v>
      </c>
      <c r="G255" s="3" t="str">
        <f t="shared" si="6"/>
        <v>150-199 mi</v>
      </c>
      <c r="H255" s="27">
        <f>IF(RIGHT($B255,1)="P",1,IF(ISNUMBER(SEARCH("HALF GALLON",$C255)),Assumptions!$B$4,IF(ISNUMBER(SEARCH("GALLON",$C255)),Assumptions!$B$3,IF(ISNUMBER(SEARCH("QUART",$C255)),Assumptions!$B$5,IF(ISNUMBER(SEARCH("PINT",$C255)),Assumptions!$B$6,Assumptions!$B$7)))))</f>
        <v>1</v>
      </c>
      <c r="I255" s="27">
        <f t="shared" si="7"/>
        <v>24</v>
      </c>
    </row>
    <row r="256" spans="1:9" x14ac:dyDescent="0.2">
      <c r="A256" s="3" t="s">
        <v>14</v>
      </c>
      <c r="B256" s="3" t="s">
        <v>282</v>
      </c>
      <c r="C256" s="3" t="s">
        <v>283</v>
      </c>
      <c r="D256" s="3" t="s">
        <v>126</v>
      </c>
      <c r="E256" s="4">
        <v>2</v>
      </c>
      <c r="F256" s="5">
        <f>IFERROR(3958.8*ACOS(MIN(1,MAX(-1,SIN(RADIANS('ZIP Coordinates'!$C$2))*SIN(RADIANS(INDEX('ZIP Coordinates'!$C:$C,MATCH($A256,'ZIP Coordinates'!$A:$A,0))))+COS(RADIANS('ZIP Coordinates'!$C$2))*COS(RADIANS(INDEX('ZIP Coordinates'!$C:$C,MATCH($A256,'ZIP Coordinates'!$A:$A,0))))*COS(RADIANS(INDEX('ZIP Coordinates'!$D:$D,MATCH($A256,'ZIP Coordinates'!$A:$A,0))-'ZIP Coordinates'!$D$2))))),"N/A")</f>
        <v>188.5979879790994</v>
      </c>
      <c r="G256" s="3" t="str">
        <f t="shared" si="6"/>
        <v>150-199 mi</v>
      </c>
      <c r="H256" s="27">
        <f>IF(RIGHT($B256,1)="P",1,IF(ISNUMBER(SEARCH("HALF GALLON",$C256)),Assumptions!$B$4,IF(ISNUMBER(SEARCH("GALLON",$C256)),Assumptions!$B$3,IF(ISNUMBER(SEARCH("QUART",$C256)),Assumptions!$B$5,IF(ISNUMBER(SEARCH("PINT",$C256)),Assumptions!$B$6,Assumptions!$B$7)))))</f>
        <v>1</v>
      </c>
      <c r="I256" s="27">
        <f t="shared" si="7"/>
        <v>2</v>
      </c>
    </row>
    <row r="257" spans="1:9" x14ac:dyDescent="0.2">
      <c r="A257" s="3" t="s">
        <v>14</v>
      </c>
      <c r="B257" s="3" t="s">
        <v>284</v>
      </c>
      <c r="C257" s="3" t="s">
        <v>285</v>
      </c>
      <c r="D257" s="3" t="s">
        <v>126</v>
      </c>
      <c r="E257" s="4">
        <v>7</v>
      </c>
      <c r="F257" s="5">
        <f>IFERROR(3958.8*ACOS(MIN(1,MAX(-1,SIN(RADIANS('ZIP Coordinates'!$C$2))*SIN(RADIANS(INDEX('ZIP Coordinates'!$C:$C,MATCH($A257,'ZIP Coordinates'!$A:$A,0))))+COS(RADIANS('ZIP Coordinates'!$C$2))*COS(RADIANS(INDEX('ZIP Coordinates'!$C:$C,MATCH($A257,'ZIP Coordinates'!$A:$A,0))))*COS(RADIANS(INDEX('ZIP Coordinates'!$D:$D,MATCH($A257,'ZIP Coordinates'!$A:$A,0))-'ZIP Coordinates'!$D$2))))),"N/A")</f>
        <v>188.5979879790994</v>
      </c>
      <c r="G257" s="3" t="str">
        <f t="shared" si="6"/>
        <v>150-199 mi</v>
      </c>
      <c r="H257" s="27">
        <f>IF(RIGHT($B257,1)="P",1,IF(ISNUMBER(SEARCH("HALF GALLON",$C257)),Assumptions!$B$4,IF(ISNUMBER(SEARCH("GALLON",$C257)),Assumptions!$B$3,IF(ISNUMBER(SEARCH("QUART",$C257)),Assumptions!$B$5,IF(ISNUMBER(SEARCH("PINT",$C257)),Assumptions!$B$6,Assumptions!$B$7)))))</f>
        <v>1</v>
      </c>
      <c r="I257" s="27">
        <f t="shared" si="7"/>
        <v>7</v>
      </c>
    </row>
    <row r="258" spans="1:9" x14ac:dyDescent="0.2">
      <c r="A258" s="3" t="s">
        <v>14</v>
      </c>
      <c r="B258" s="3" t="s">
        <v>257</v>
      </c>
      <c r="C258" s="3" t="s">
        <v>256</v>
      </c>
      <c r="D258" s="3" t="s">
        <v>126</v>
      </c>
      <c r="E258" s="4">
        <v>100</v>
      </c>
      <c r="F258" s="5">
        <f>IFERROR(3958.8*ACOS(MIN(1,MAX(-1,SIN(RADIANS('ZIP Coordinates'!$C$2))*SIN(RADIANS(INDEX('ZIP Coordinates'!$C:$C,MATCH($A258,'ZIP Coordinates'!$A:$A,0))))+COS(RADIANS('ZIP Coordinates'!$C$2))*COS(RADIANS(INDEX('ZIP Coordinates'!$C:$C,MATCH($A258,'ZIP Coordinates'!$A:$A,0))))*COS(RADIANS(INDEX('ZIP Coordinates'!$D:$D,MATCH($A258,'ZIP Coordinates'!$A:$A,0))-'ZIP Coordinates'!$D$2))))),"N/A")</f>
        <v>188.5979879790994</v>
      </c>
      <c r="G258" s="3" t="str">
        <f t="shared" ref="G258:G321" si="8">IF($F258="N/A","Unknown",IF($F258&lt;50,"0-49 mi",IF($F258&lt;100,"50-99 mi",IF($F258&lt;150,"100-149 mi",IF($F258&lt;200,"150-199 mi","200+ mi")))))</f>
        <v>150-199 mi</v>
      </c>
      <c r="H258" s="27">
        <f>IF(RIGHT($B258,1)="P",1,IF(ISNUMBER(SEARCH("HALF GALLON",$C258)),Assumptions!$B$4,IF(ISNUMBER(SEARCH("GALLON",$C258)),Assumptions!$B$3,IF(ISNUMBER(SEARCH("QUART",$C258)),Assumptions!$B$5,IF(ISNUMBER(SEARCH("PINT",$C258)),Assumptions!$B$6,Assumptions!$B$7)))))</f>
        <v>1</v>
      </c>
      <c r="I258" s="27">
        <f t="shared" si="7"/>
        <v>100</v>
      </c>
    </row>
    <row r="259" spans="1:9" x14ac:dyDescent="0.2">
      <c r="A259" s="3" t="s">
        <v>15</v>
      </c>
      <c r="B259" s="3" t="s">
        <v>258</v>
      </c>
      <c r="C259" s="3" t="s">
        <v>240</v>
      </c>
      <c r="D259" s="3" t="s">
        <v>128</v>
      </c>
      <c r="E259" s="4">
        <v>1</v>
      </c>
      <c r="F259" s="5">
        <f>IFERROR(3958.8*ACOS(MIN(1,MAX(-1,SIN(RADIANS('ZIP Coordinates'!$C$2))*SIN(RADIANS(INDEX('ZIP Coordinates'!$C:$C,MATCH($A259,'ZIP Coordinates'!$A:$A,0))))+COS(RADIANS('ZIP Coordinates'!$C$2))*COS(RADIANS(INDEX('ZIP Coordinates'!$C:$C,MATCH($A259,'ZIP Coordinates'!$A:$A,0))))*COS(RADIANS(INDEX('ZIP Coordinates'!$D:$D,MATCH($A259,'ZIP Coordinates'!$A:$A,0))-'ZIP Coordinates'!$D$2))))),"N/A")</f>
        <v>173.39844145979413</v>
      </c>
      <c r="G259" s="3" t="str">
        <f t="shared" si="8"/>
        <v>150-199 mi</v>
      </c>
      <c r="H259" s="27">
        <f>IF(RIGHT($B259,1)="P",1,IF(ISNUMBER(SEARCH("HALF GALLON",$C259)),Assumptions!$B$4,IF(ISNUMBER(SEARCH("GALLON",$C259)),Assumptions!$B$3,IF(ISNUMBER(SEARCH("QUART",$C259)),Assumptions!$B$5,IF(ISNUMBER(SEARCH("PINT",$C259)),Assumptions!$B$6,Assumptions!$B$7)))))</f>
        <v>4</v>
      </c>
      <c r="I259" s="27">
        <f t="shared" ref="I259:I322" si="9">$E259*$H259</f>
        <v>4</v>
      </c>
    </row>
    <row r="260" spans="1:9" x14ac:dyDescent="0.2">
      <c r="A260" s="3" t="s">
        <v>15</v>
      </c>
      <c r="B260" s="3" t="s">
        <v>258</v>
      </c>
      <c r="C260" s="3" t="s">
        <v>240</v>
      </c>
      <c r="D260" s="3" t="s">
        <v>128</v>
      </c>
      <c r="E260" s="4">
        <v>1</v>
      </c>
      <c r="F260" s="5">
        <f>IFERROR(3958.8*ACOS(MIN(1,MAX(-1,SIN(RADIANS('ZIP Coordinates'!$C$2))*SIN(RADIANS(INDEX('ZIP Coordinates'!$C:$C,MATCH($A260,'ZIP Coordinates'!$A:$A,0))))+COS(RADIANS('ZIP Coordinates'!$C$2))*COS(RADIANS(INDEX('ZIP Coordinates'!$C:$C,MATCH($A260,'ZIP Coordinates'!$A:$A,0))))*COS(RADIANS(INDEX('ZIP Coordinates'!$D:$D,MATCH($A260,'ZIP Coordinates'!$A:$A,0))-'ZIP Coordinates'!$D$2))))),"N/A")</f>
        <v>173.39844145979413</v>
      </c>
      <c r="G260" s="3" t="str">
        <f t="shared" si="8"/>
        <v>150-199 mi</v>
      </c>
      <c r="H260" s="27">
        <f>IF(RIGHT($B260,1)="P",1,IF(ISNUMBER(SEARCH("HALF GALLON",$C260)),Assumptions!$B$4,IF(ISNUMBER(SEARCH("GALLON",$C260)),Assumptions!$B$3,IF(ISNUMBER(SEARCH("QUART",$C260)),Assumptions!$B$5,IF(ISNUMBER(SEARCH("PINT",$C260)),Assumptions!$B$6,Assumptions!$B$7)))))</f>
        <v>4</v>
      </c>
      <c r="I260" s="27">
        <f t="shared" si="9"/>
        <v>4</v>
      </c>
    </row>
    <row r="261" spans="1:9" x14ac:dyDescent="0.2">
      <c r="A261" s="3" t="s">
        <v>15</v>
      </c>
      <c r="B261" s="3" t="s">
        <v>258</v>
      </c>
      <c r="C261" s="3" t="s">
        <v>240</v>
      </c>
      <c r="D261" s="3" t="s">
        <v>128</v>
      </c>
      <c r="E261" s="4">
        <v>1</v>
      </c>
      <c r="F261" s="5">
        <f>IFERROR(3958.8*ACOS(MIN(1,MAX(-1,SIN(RADIANS('ZIP Coordinates'!$C$2))*SIN(RADIANS(INDEX('ZIP Coordinates'!$C:$C,MATCH($A261,'ZIP Coordinates'!$A:$A,0))))+COS(RADIANS('ZIP Coordinates'!$C$2))*COS(RADIANS(INDEX('ZIP Coordinates'!$C:$C,MATCH($A261,'ZIP Coordinates'!$A:$A,0))))*COS(RADIANS(INDEX('ZIP Coordinates'!$D:$D,MATCH($A261,'ZIP Coordinates'!$A:$A,0))-'ZIP Coordinates'!$D$2))))),"N/A")</f>
        <v>173.39844145979413</v>
      </c>
      <c r="G261" s="3" t="str">
        <f t="shared" si="8"/>
        <v>150-199 mi</v>
      </c>
      <c r="H261" s="27">
        <f>IF(RIGHT($B261,1)="P",1,IF(ISNUMBER(SEARCH("HALF GALLON",$C261)),Assumptions!$B$4,IF(ISNUMBER(SEARCH("GALLON",$C261)),Assumptions!$B$3,IF(ISNUMBER(SEARCH("QUART",$C261)),Assumptions!$B$5,IF(ISNUMBER(SEARCH("PINT",$C261)),Assumptions!$B$6,Assumptions!$B$7)))))</f>
        <v>4</v>
      </c>
      <c r="I261" s="27">
        <f t="shared" si="9"/>
        <v>4</v>
      </c>
    </row>
    <row r="262" spans="1:9" x14ac:dyDescent="0.2">
      <c r="A262" s="3" t="s">
        <v>15</v>
      </c>
      <c r="B262" s="3" t="s">
        <v>258</v>
      </c>
      <c r="C262" s="3" t="s">
        <v>240</v>
      </c>
      <c r="D262" s="3" t="s">
        <v>128</v>
      </c>
      <c r="E262" s="4">
        <v>1</v>
      </c>
      <c r="F262" s="5">
        <f>IFERROR(3958.8*ACOS(MIN(1,MAX(-1,SIN(RADIANS('ZIP Coordinates'!$C$2))*SIN(RADIANS(INDEX('ZIP Coordinates'!$C:$C,MATCH($A262,'ZIP Coordinates'!$A:$A,0))))+COS(RADIANS('ZIP Coordinates'!$C$2))*COS(RADIANS(INDEX('ZIP Coordinates'!$C:$C,MATCH($A262,'ZIP Coordinates'!$A:$A,0))))*COS(RADIANS(INDEX('ZIP Coordinates'!$D:$D,MATCH($A262,'ZIP Coordinates'!$A:$A,0))-'ZIP Coordinates'!$D$2))))),"N/A")</f>
        <v>173.39844145979413</v>
      </c>
      <c r="G262" s="3" t="str">
        <f t="shared" si="8"/>
        <v>150-199 mi</v>
      </c>
      <c r="H262" s="27">
        <f>IF(RIGHT($B262,1)="P",1,IF(ISNUMBER(SEARCH("HALF GALLON",$C262)),Assumptions!$B$4,IF(ISNUMBER(SEARCH("GALLON",$C262)),Assumptions!$B$3,IF(ISNUMBER(SEARCH("QUART",$C262)),Assumptions!$B$5,IF(ISNUMBER(SEARCH("PINT",$C262)),Assumptions!$B$6,Assumptions!$B$7)))))</f>
        <v>4</v>
      </c>
      <c r="I262" s="27">
        <f t="shared" si="9"/>
        <v>4</v>
      </c>
    </row>
    <row r="263" spans="1:9" x14ac:dyDescent="0.2">
      <c r="A263" s="3" t="s">
        <v>15</v>
      </c>
      <c r="B263" s="3" t="s">
        <v>258</v>
      </c>
      <c r="C263" s="3" t="s">
        <v>240</v>
      </c>
      <c r="D263" s="3" t="s">
        <v>128</v>
      </c>
      <c r="E263" s="4">
        <v>1</v>
      </c>
      <c r="F263" s="5">
        <f>IFERROR(3958.8*ACOS(MIN(1,MAX(-1,SIN(RADIANS('ZIP Coordinates'!$C$2))*SIN(RADIANS(INDEX('ZIP Coordinates'!$C:$C,MATCH($A263,'ZIP Coordinates'!$A:$A,0))))+COS(RADIANS('ZIP Coordinates'!$C$2))*COS(RADIANS(INDEX('ZIP Coordinates'!$C:$C,MATCH($A263,'ZIP Coordinates'!$A:$A,0))))*COS(RADIANS(INDEX('ZIP Coordinates'!$D:$D,MATCH($A263,'ZIP Coordinates'!$A:$A,0))-'ZIP Coordinates'!$D$2))))),"N/A")</f>
        <v>173.39844145979413</v>
      </c>
      <c r="G263" s="3" t="str">
        <f t="shared" si="8"/>
        <v>150-199 mi</v>
      </c>
      <c r="H263" s="27">
        <f>IF(RIGHT($B263,1)="P",1,IF(ISNUMBER(SEARCH("HALF GALLON",$C263)),Assumptions!$B$4,IF(ISNUMBER(SEARCH("GALLON",$C263)),Assumptions!$B$3,IF(ISNUMBER(SEARCH("QUART",$C263)),Assumptions!$B$5,IF(ISNUMBER(SEARCH("PINT",$C263)),Assumptions!$B$6,Assumptions!$B$7)))))</f>
        <v>4</v>
      </c>
      <c r="I263" s="27">
        <f t="shared" si="9"/>
        <v>4</v>
      </c>
    </row>
    <row r="264" spans="1:9" x14ac:dyDescent="0.2">
      <c r="A264" s="3" t="s">
        <v>15</v>
      </c>
      <c r="B264" s="3" t="s">
        <v>239</v>
      </c>
      <c r="C264" s="3" t="s">
        <v>240</v>
      </c>
      <c r="D264" s="3" t="s">
        <v>93</v>
      </c>
      <c r="E264" s="4">
        <v>50</v>
      </c>
      <c r="F264" s="5">
        <f>IFERROR(3958.8*ACOS(MIN(1,MAX(-1,SIN(RADIANS('ZIP Coordinates'!$C$2))*SIN(RADIANS(INDEX('ZIP Coordinates'!$C:$C,MATCH($A264,'ZIP Coordinates'!$A:$A,0))))+COS(RADIANS('ZIP Coordinates'!$C$2))*COS(RADIANS(INDEX('ZIP Coordinates'!$C:$C,MATCH($A264,'ZIP Coordinates'!$A:$A,0))))*COS(RADIANS(INDEX('ZIP Coordinates'!$D:$D,MATCH($A264,'ZIP Coordinates'!$A:$A,0))-'ZIP Coordinates'!$D$2))))),"N/A")</f>
        <v>173.39844145979413</v>
      </c>
      <c r="G264" s="3" t="str">
        <f t="shared" si="8"/>
        <v>150-199 mi</v>
      </c>
      <c r="H264" s="27">
        <f>IF(RIGHT($B264,1)="P",1,IF(ISNUMBER(SEARCH("HALF GALLON",$C264)),Assumptions!$B$4,IF(ISNUMBER(SEARCH("GALLON",$C264)),Assumptions!$B$3,IF(ISNUMBER(SEARCH("QUART",$C264)),Assumptions!$B$5,IF(ISNUMBER(SEARCH("PINT",$C264)),Assumptions!$B$6,Assumptions!$B$7)))))</f>
        <v>1</v>
      </c>
      <c r="I264" s="27">
        <f t="shared" si="9"/>
        <v>50</v>
      </c>
    </row>
    <row r="265" spans="1:9" x14ac:dyDescent="0.2">
      <c r="A265" s="3" t="s">
        <v>15</v>
      </c>
      <c r="B265" s="3" t="s">
        <v>239</v>
      </c>
      <c r="C265" s="3" t="s">
        <v>240</v>
      </c>
      <c r="D265" s="3" t="s">
        <v>128</v>
      </c>
      <c r="E265" s="4">
        <v>1</v>
      </c>
      <c r="F265" s="5">
        <f>IFERROR(3958.8*ACOS(MIN(1,MAX(-1,SIN(RADIANS('ZIP Coordinates'!$C$2))*SIN(RADIANS(INDEX('ZIP Coordinates'!$C:$C,MATCH($A265,'ZIP Coordinates'!$A:$A,0))))+COS(RADIANS('ZIP Coordinates'!$C$2))*COS(RADIANS(INDEX('ZIP Coordinates'!$C:$C,MATCH($A265,'ZIP Coordinates'!$A:$A,0))))*COS(RADIANS(INDEX('ZIP Coordinates'!$D:$D,MATCH($A265,'ZIP Coordinates'!$A:$A,0))-'ZIP Coordinates'!$D$2))))),"N/A")</f>
        <v>173.39844145979413</v>
      </c>
      <c r="G265" s="3" t="str">
        <f t="shared" si="8"/>
        <v>150-199 mi</v>
      </c>
      <c r="H265" s="27">
        <f>IF(RIGHT($B265,1)="P",1,IF(ISNUMBER(SEARCH("HALF GALLON",$C265)),Assumptions!$B$4,IF(ISNUMBER(SEARCH("GALLON",$C265)),Assumptions!$B$3,IF(ISNUMBER(SEARCH("QUART",$C265)),Assumptions!$B$5,IF(ISNUMBER(SEARCH("PINT",$C265)),Assumptions!$B$6,Assumptions!$B$7)))))</f>
        <v>1</v>
      </c>
      <c r="I265" s="27">
        <f t="shared" si="9"/>
        <v>1</v>
      </c>
    </row>
    <row r="266" spans="1:9" x14ac:dyDescent="0.2">
      <c r="A266" s="3" t="s">
        <v>15</v>
      </c>
      <c r="B266" s="3" t="s">
        <v>239</v>
      </c>
      <c r="C266" s="3" t="s">
        <v>240</v>
      </c>
      <c r="D266" s="3" t="s">
        <v>128</v>
      </c>
      <c r="E266" s="4">
        <v>2</v>
      </c>
      <c r="F266" s="5">
        <f>IFERROR(3958.8*ACOS(MIN(1,MAX(-1,SIN(RADIANS('ZIP Coordinates'!$C$2))*SIN(RADIANS(INDEX('ZIP Coordinates'!$C:$C,MATCH($A266,'ZIP Coordinates'!$A:$A,0))))+COS(RADIANS('ZIP Coordinates'!$C$2))*COS(RADIANS(INDEX('ZIP Coordinates'!$C:$C,MATCH($A266,'ZIP Coordinates'!$A:$A,0))))*COS(RADIANS(INDEX('ZIP Coordinates'!$D:$D,MATCH($A266,'ZIP Coordinates'!$A:$A,0))-'ZIP Coordinates'!$D$2))))),"N/A")</f>
        <v>173.39844145979413</v>
      </c>
      <c r="G266" s="3" t="str">
        <f t="shared" si="8"/>
        <v>150-199 mi</v>
      </c>
      <c r="H266" s="27">
        <f>IF(RIGHT($B266,1)="P",1,IF(ISNUMBER(SEARCH("HALF GALLON",$C266)),Assumptions!$B$4,IF(ISNUMBER(SEARCH("GALLON",$C266)),Assumptions!$B$3,IF(ISNUMBER(SEARCH("QUART",$C266)),Assumptions!$B$5,IF(ISNUMBER(SEARCH("PINT",$C266)),Assumptions!$B$6,Assumptions!$B$7)))))</f>
        <v>1</v>
      </c>
      <c r="I266" s="27">
        <f t="shared" si="9"/>
        <v>2</v>
      </c>
    </row>
    <row r="267" spans="1:9" x14ac:dyDescent="0.2">
      <c r="A267" s="3" t="s">
        <v>15</v>
      </c>
      <c r="B267" s="3" t="s">
        <v>239</v>
      </c>
      <c r="C267" s="3" t="s">
        <v>240</v>
      </c>
      <c r="D267" s="3" t="s">
        <v>128</v>
      </c>
      <c r="E267" s="4">
        <v>2</v>
      </c>
      <c r="F267" s="5">
        <f>IFERROR(3958.8*ACOS(MIN(1,MAX(-1,SIN(RADIANS('ZIP Coordinates'!$C$2))*SIN(RADIANS(INDEX('ZIP Coordinates'!$C:$C,MATCH($A267,'ZIP Coordinates'!$A:$A,0))))+COS(RADIANS('ZIP Coordinates'!$C$2))*COS(RADIANS(INDEX('ZIP Coordinates'!$C:$C,MATCH($A267,'ZIP Coordinates'!$A:$A,0))))*COS(RADIANS(INDEX('ZIP Coordinates'!$D:$D,MATCH($A267,'ZIP Coordinates'!$A:$A,0))-'ZIP Coordinates'!$D$2))))),"N/A")</f>
        <v>173.39844145979413</v>
      </c>
      <c r="G267" s="3" t="str">
        <f t="shared" si="8"/>
        <v>150-199 mi</v>
      </c>
      <c r="H267" s="27">
        <f>IF(RIGHT($B267,1)="P",1,IF(ISNUMBER(SEARCH("HALF GALLON",$C267)),Assumptions!$B$4,IF(ISNUMBER(SEARCH("GALLON",$C267)),Assumptions!$B$3,IF(ISNUMBER(SEARCH("QUART",$C267)),Assumptions!$B$5,IF(ISNUMBER(SEARCH("PINT",$C267)),Assumptions!$B$6,Assumptions!$B$7)))))</f>
        <v>1</v>
      </c>
      <c r="I267" s="27">
        <f t="shared" si="9"/>
        <v>2</v>
      </c>
    </row>
    <row r="268" spans="1:9" x14ac:dyDescent="0.2">
      <c r="A268" s="3" t="s">
        <v>15</v>
      </c>
      <c r="B268" s="3" t="s">
        <v>239</v>
      </c>
      <c r="C268" s="3" t="s">
        <v>240</v>
      </c>
      <c r="D268" s="3" t="s">
        <v>128</v>
      </c>
      <c r="E268" s="4">
        <v>2</v>
      </c>
      <c r="F268" s="5">
        <f>IFERROR(3958.8*ACOS(MIN(1,MAX(-1,SIN(RADIANS('ZIP Coordinates'!$C$2))*SIN(RADIANS(INDEX('ZIP Coordinates'!$C:$C,MATCH($A268,'ZIP Coordinates'!$A:$A,0))))+COS(RADIANS('ZIP Coordinates'!$C$2))*COS(RADIANS(INDEX('ZIP Coordinates'!$C:$C,MATCH($A268,'ZIP Coordinates'!$A:$A,0))))*COS(RADIANS(INDEX('ZIP Coordinates'!$D:$D,MATCH($A268,'ZIP Coordinates'!$A:$A,0))-'ZIP Coordinates'!$D$2))))),"N/A")</f>
        <v>173.39844145979413</v>
      </c>
      <c r="G268" s="3" t="str">
        <f t="shared" si="8"/>
        <v>150-199 mi</v>
      </c>
      <c r="H268" s="27">
        <f>IF(RIGHT($B268,1)="P",1,IF(ISNUMBER(SEARCH("HALF GALLON",$C268)),Assumptions!$B$4,IF(ISNUMBER(SEARCH("GALLON",$C268)),Assumptions!$B$3,IF(ISNUMBER(SEARCH("QUART",$C268)),Assumptions!$B$5,IF(ISNUMBER(SEARCH("PINT",$C268)),Assumptions!$B$6,Assumptions!$B$7)))))</f>
        <v>1</v>
      </c>
      <c r="I268" s="27">
        <f t="shared" si="9"/>
        <v>2</v>
      </c>
    </row>
    <row r="269" spans="1:9" x14ac:dyDescent="0.2">
      <c r="A269" s="3" t="s">
        <v>15</v>
      </c>
      <c r="B269" s="3" t="s">
        <v>239</v>
      </c>
      <c r="C269" s="3" t="s">
        <v>240</v>
      </c>
      <c r="D269" s="3" t="s">
        <v>128</v>
      </c>
      <c r="E269" s="4">
        <v>2</v>
      </c>
      <c r="F269" s="5">
        <f>IFERROR(3958.8*ACOS(MIN(1,MAX(-1,SIN(RADIANS('ZIP Coordinates'!$C$2))*SIN(RADIANS(INDEX('ZIP Coordinates'!$C:$C,MATCH($A269,'ZIP Coordinates'!$A:$A,0))))+COS(RADIANS('ZIP Coordinates'!$C$2))*COS(RADIANS(INDEX('ZIP Coordinates'!$C:$C,MATCH($A269,'ZIP Coordinates'!$A:$A,0))))*COS(RADIANS(INDEX('ZIP Coordinates'!$D:$D,MATCH($A269,'ZIP Coordinates'!$A:$A,0))-'ZIP Coordinates'!$D$2))))),"N/A")</f>
        <v>173.39844145979413</v>
      </c>
      <c r="G269" s="3" t="str">
        <f t="shared" si="8"/>
        <v>150-199 mi</v>
      </c>
      <c r="H269" s="27">
        <f>IF(RIGHT($B269,1)="P",1,IF(ISNUMBER(SEARCH("HALF GALLON",$C269)),Assumptions!$B$4,IF(ISNUMBER(SEARCH("GALLON",$C269)),Assumptions!$B$3,IF(ISNUMBER(SEARCH("QUART",$C269)),Assumptions!$B$5,IF(ISNUMBER(SEARCH("PINT",$C269)),Assumptions!$B$6,Assumptions!$B$7)))))</f>
        <v>1</v>
      </c>
      <c r="I269" s="27">
        <f t="shared" si="9"/>
        <v>2</v>
      </c>
    </row>
    <row r="270" spans="1:9" x14ac:dyDescent="0.2">
      <c r="A270" s="3" t="s">
        <v>15</v>
      </c>
      <c r="B270" s="3" t="s">
        <v>259</v>
      </c>
      <c r="C270" s="3" t="s">
        <v>260</v>
      </c>
      <c r="D270" s="3" t="s">
        <v>93</v>
      </c>
      <c r="E270" s="4">
        <v>15</v>
      </c>
      <c r="F270" s="5">
        <f>IFERROR(3958.8*ACOS(MIN(1,MAX(-1,SIN(RADIANS('ZIP Coordinates'!$C$2))*SIN(RADIANS(INDEX('ZIP Coordinates'!$C:$C,MATCH($A270,'ZIP Coordinates'!$A:$A,0))))+COS(RADIANS('ZIP Coordinates'!$C$2))*COS(RADIANS(INDEX('ZIP Coordinates'!$C:$C,MATCH($A270,'ZIP Coordinates'!$A:$A,0))))*COS(RADIANS(INDEX('ZIP Coordinates'!$D:$D,MATCH($A270,'ZIP Coordinates'!$A:$A,0))-'ZIP Coordinates'!$D$2))))),"N/A")</f>
        <v>173.39844145979413</v>
      </c>
      <c r="G270" s="3" t="str">
        <f t="shared" si="8"/>
        <v>150-199 mi</v>
      </c>
      <c r="H270" s="27">
        <f>IF(RIGHT($B270,1)="P",1,IF(ISNUMBER(SEARCH("HALF GALLON",$C270)),Assumptions!$B$4,IF(ISNUMBER(SEARCH("GALLON",$C270)),Assumptions!$B$3,IF(ISNUMBER(SEARCH("QUART",$C270)),Assumptions!$B$5,IF(ISNUMBER(SEARCH("PINT",$C270)),Assumptions!$B$6,Assumptions!$B$7)))))</f>
        <v>4</v>
      </c>
      <c r="I270" s="27">
        <f t="shared" si="9"/>
        <v>60</v>
      </c>
    </row>
    <row r="271" spans="1:9" x14ac:dyDescent="0.2">
      <c r="A271" s="3" t="s">
        <v>15</v>
      </c>
      <c r="B271" s="3" t="s">
        <v>259</v>
      </c>
      <c r="C271" s="3" t="s">
        <v>260</v>
      </c>
      <c r="D271" s="3" t="s">
        <v>128</v>
      </c>
      <c r="E271" s="4">
        <v>1</v>
      </c>
      <c r="F271" s="5">
        <f>IFERROR(3958.8*ACOS(MIN(1,MAX(-1,SIN(RADIANS('ZIP Coordinates'!$C$2))*SIN(RADIANS(INDEX('ZIP Coordinates'!$C:$C,MATCH($A271,'ZIP Coordinates'!$A:$A,0))))+COS(RADIANS('ZIP Coordinates'!$C$2))*COS(RADIANS(INDEX('ZIP Coordinates'!$C:$C,MATCH($A271,'ZIP Coordinates'!$A:$A,0))))*COS(RADIANS(INDEX('ZIP Coordinates'!$D:$D,MATCH($A271,'ZIP Coordinates'!$A:$A,0))-'ZIP Coordinates'!$D$2))))),"N/A")</f>
        <v>173.39844145979413</v>
      </c>
      <c r="G271" s="3" t="str">
        <f t="shared" si="8"/>
        <v>150-199 mi</v>
      </c>
      <c r="H271" s="27">
        <f>IF(RIGHT($B271,1)="P",1,IF(ISNUMBER(SEARCH("HALF GALLON",$C271)),Assumptions!$B$4,IF(ISNUMBER(SEARCH("GALLON",$C271)),Assumptions!$B$3,IF(ISNUMBER(SEARCH("QUART",$C271)),Assumptions!$B$5,IF(ISNUMBER(SEARCH("PINT",$C271)),Assumptions!$B$6,Assumptions!$B$7)))))</f>
        <v>4</v>
      </c>
      <c r="I271" s="27">
        <f t="shared" si="9"/>
        <v>4</v>
      </c>
    </row>
    <row r="272" spans="1:9" x14ac:dyDescent="0.2">
      <c r="A272" s="3" t="s">
        <v>15</v>
      </c>
      <c r="B272" s="3" t="s">
        <v>259</v>
      </c>
      <c r="C272" s="3" t="s">
        <v>260</v>
      </c>
      <c r="D272" s="3" t="s">
        <v>128</v>
      </c>
      <c r="E272" s="4">
        <v>1</v>
      </c>
      <c r="F272" s="5">
        <f>IFERROR(3958.8*ACOS(MIN(1,MAX(-1,SIN(RADIANS('ZIP Coordinates'!$C$2))*SIN(RADIANS(INDEX('ZIP Coordinates'!$C:$C,MATCH($A272,'ZIP Coordinates'!$A:$A,0))))+COS(RADIANS('ZIP Coordinates'!$C$2))*COS(RADIANS(INDEX('ZIP Coordinates'!$C:$C,MATCH($A272,'ZIP Coordinates'!$A:$A,0))))*COS(RADIANS(INDEX('ZIP Coordinates'!$D:$D,MATCH($A272,'ZIP Coordinates'!$A:$A,0))-'ZIP Coordinates'!$D$2))))),"N/A")</f>
        <v>173.39844145979413</v>
      </c>
      <c r="G272" s="3" t="str">
        <f t="shared" si="8"/>
        <v>150-199 mi</v>
      </c>
      <c r="H272" s="27">
        <f>IF(RIGHT($B272,1)="P",1,IF(ISNUMBER(SEARCH("HALF GALLON",$C272)),Assumptions!$B$4,IF(ISNUMBER(SEARCH("GALLON",$C272)),Assumptions!$B$3,IF(ISNUMBER(SEARCH("QUART",$C272)),Assumptions!$B$5,IF(ISNUMBER(SEARCH("PINT",$C272)),Assumptions!$B$6,Assumptions!$B$7)))))</f>
        <v>4</v>
      </c>
      <c r="I272" s="27">
        <f t="shared" si="9"/>
        <v>4</v>
      </c>
    </row>
    <row r="273" spans="1:9" x14ac:dyDescent="0.2">
      <c r="A273" s="3" t="s">
        <v>15</v>
      </c>
      <c r="B273" s="3" t="s">
        <v>259</v>
      </c>
      <c r="C273" s="3" t="s">
        <v>260</v>
      </c>
      <c r="D273" s="3" t="s">
        <v>128</v>
      </c>
      <c r="E273" s="4">
        <v>1</v>
      </c>
      <c r="F273" s="5">
        <f>IFERROR(3958.8*ACOS(MIN(1,MAX(-1,SIN(RADIANS('ZIP Coordinates'!$C$2))*SIN(RADIANS(INDEX('ZIP Coordinates'!$C:$C,MATCH($A273,'ZIP Coordinates'!$A:$A,0))))+COS(RADIANS('ZIP Coordinates'!$C$2))*COS(RADIANS(INDEX('ZIP Coordinates'!$C:$C,MATCH($A273,'ZIP Coordinates'!$A:$A,0))))*COS(RADIANS(INDEX('ZIP Coordinates'!$D:$D,MATCH($A273,'ZIP Coordinates'!$A:$A,0))-'ZIP Coordinates'!$D$2))))),"N/A")</f>
        <v>173.39844145979413</v>
      </c>
      <c r="G273" s="3" t="str">
        <f t="shared" si="8"/>
        <v>150-199 mi</v>
      </c>
      <c r="H273" s="27">
        <f>IF(RIGHT($B273,1)="P",1,IF(ISNUMBER(SEARCH("HALF GALLON",$C273)),Assumptions!$B$4,IF(ISNUMBER(SEARCH("GALLON",$C273)),Assumptions!$B$3,IF(ISNUMBER(SEARCH("QUART",$C273)),Assumptions!$B$5,IF(ISNUMBER(SEARCH("PINT",$C273)),Assumptions!$B$6,Assumptions!$B$7)))))</f>
        <v>4</v>
      </c>
      <c r="I273" s="27">
        <f t="shared" si="9"/>
        <v>4</v>
      </c>
    </row>
    <row r="274" spans="1:9" x14ac:dyDescent="0.2">
      <c r="A274" s="3" t="s">
        <v>15</v>
      </c>
      <c r="B274" s="3" t="s">
        <v>259</v>
      </c>
      <c r="C274" s="3" t="s">
        <v>260</v>
      </c>
      <c r="D274" s="3" t="s">
        <v>128</v>
      </c>
      <c r="E274" s="4">
        <v>1</v>
      </c>
      <c r="F274" s="5">
        <f>IFERROR(3958.8*ACOS(MIN(1,MAX(-1,SIN(RADIANS('ZIP Coordinates'!$C$2))*SIN(RADIANS(INDEX('ZIP Coordinates'!$C:$C,MATCH($A274,'ZIP Coordinates'!$A:$A,0))))+COS(RADIANS('ZIP Coordinates'!$C$2))*COS(RADIANS(INDEX('ZIP Coordinates'!$C:$C,MATCH($A274,'ZIP Coordinates'!$A:$A,0))))*COS(RADIANS(INDEX('ZIP Coordinates'!$D:$D,MATCH($A274,'ZIP Coordinates'!$A:$A,0))-'ZIP Coordinates'!$D$2))))),"N/A")</f>
        <v>173.39844145979413</v>
      </c>
      <c r="G274" s="3" t="str">
        <f t="shared" si="8"/>
        <v>150-199 mi</v>
      </c>
      <c r="H274" s="27">
        <f>IF(RIGHT($B274,1)="P",1,IF(ISNUMBER(SEARCH("HALF GALLON",$C274)),Assumptions!$B$4,IF(ISNUMBER(SEARCH("GALLON",$C274)),Assumptions!$B$3,IF(ISNUMBER(SEARCH("QUART",$C274)),Assumptions!$B$5,IF(ISNUMBER(SEARCH("PINT",$C274)),Assumptions!$B$6,Assumptions!$B$7)))))</f>
        <v>4</v>
      </c>
      <c r="I274" s="27">
        <f t="shared" si="9"/>
        <v>4</v>
      </c>
    </row>
    <row r="275" spans="1:9" x14ac:dyDescent="0.2">
      <c r="A275" s="3" t="s">
        <v>15</v>
      </c>
      <c r="B275" s="3" t="s">
        <v>261</v>
      </c>
      <c r="C275" s="3" t="s">
        <v>260</v>
      </c>
      <c r="D275" s="3" t="s">
        <v>93</v>
      </c>
      <c r="E275" s="4">
        <v>15</v>
      </c>
      <c r="F275" s="5">
        <f>IFERROR(3958.8*ACOS(MIN(1,MAX(-1,SIN(RADIANS('ZIP Coordinates'!$C$2))*SIN(RADIANS(INDEX('ZIP Coordinates'!$C:$C,MATCH($A275,'ZIP Coordinates'!$A:$A,0))))+COS(RADIANS('ZIP Coordinates'!$C$2))*COS(RADIANS(INDEX('ZIP Coordinates'!$C:$C,MATCH($A275,'ZIP Coordinates'!$A:$A,0))))*COS(RADIANS(INDEX('ZIP Coordinates'!$D:$D,MATCH($A275,'ZIP Coordinates'!$A:$A,0))-'ZIP Coordinates'!$D$2))))),"N/A")</f>
        <v>173.39844145979413</v>
      </c>
      <c r="G275" s="3" t="str">
        <f t="shared" si="8"/>
        <v>150-199 mi</v>
      </c>
      <c r="H275" s="27">
        <f>IF(RIGHT($B275,1)="P",1,IF(ISNUMBER(SEARCH("HALF GALLON",$C275)),Assumptions!$B$4,IF(ISNUMBER(SEARCH("GALLON",$C275)),Assumptions!$B$3,IF(ISNUMBER(SEARCH("QUART",$C275)),Assumptions!$B$5,IF(ISNUMBER(SEARCH("PINT",$C275)),Assumptions!$B$6,Assumptions!$B$7)))))</f>
        <v>1</v>
      </c>
      <c r="I275" s="27">
        <f t="shared" si="9"/>
        <v>15</v>
      </c>
    </row>
    <row r="276" spans="1:9" x14ac:dyDescent="0.2">
      <c r="A276" s="3" t="s">
        <v>15</v>
      </c>
      <c r="B276" s="3" t="s">
        <v>261</v>
      </c>
      <c r="C276" s="3" t="s">
        <v>260</v>
      </c>
      <c r="D276" s="3" t="s">
        <v>128</v>
      </c>
      <c r="E276" s="4">
        <v>2</v>
      </c>
      <c r="F276" s="5">
        <f>IFERROR(3958.8*ACOS(MIN(1,MAX(-1,SIN(RADIANS('ZIP Coordinates'!$C$2))*SIN(RADIANS(INDEX('ZIP Coordinates'!$C:$C,MATCH($A276,'ZIP Coordinates'!$A:$A,0))))+COS(RADIANS('ZIP Coordinates'!$C$2))*COS(RADIANS(INDEX('ZIP Coordinates'!$C:$C,MATCH($A276,'ZIP Coordinates'!$A:$A,0))))*COS(RADIANS(INDEX('ZIP Coordinates'!$D:$D,MATCH($A276,'ZIP Coordinates'!$A:$A,0))-'ZIP Coordinates'!$D$2))))),"N/A")</f>
        <v>173.39844145979413</v>
      </c>
      <c r="G276" s="3" t="str">
        <f t="shared" si="8"/>
        <v>150-199 mi</v>
      </c>
      <c r="H276" s="27">
        <f>IF(RIGHT($B276,1)="P",1,IF(ISNUMBER(SEARCH("HALF GALLON",$C276)),Assumptions!$B$4,IF(ISNUMBER(SEARCH("GALLON",$C276)),Assumptions!$B$3,IF(ISNUMBER(SEARCH("QUART",$C276)),Assumptions!$B$5,IF(ISNUMBER(SEARCH("PINT",$C276)),Assumptions!$B$6,Assumptions!$B$7)))))</f>
        <v>1</v>
      </c>
      <c r="I276" s="27">
        <f t="shared" si="9"/>
        <v>2</v>
      </c>
    </row>
    <row r="277" spans="1:9" x14ac:dyDescent="0.2">
      <c r="A277" s="3" t="s">
        <v>15</v>
      </c>
      <c r="B277" s="3" t="s">
        <v>261</v>
      </c>
      <c r="C277" s="3" t="s">
        <v>260</v>
      </c>
      <c r="D277" s="3" t="s">
        <v>128</v>
      </c>
      <c r="E277" s="4">
        <v>2</v>
      </c>
      <c r="F277" s="5">
        <f>IFERROR(3958.8*ACOS(MIN(1,MAX(-1,SIN(RADIANS('ZIP Coordinates'!$C$2))*SIN(RADIANS(INDEX('ZIP Coordinates'!$C:$C,MATCH($A277,'ZIP Coordinates'!$A:$A,0))))+COS(RADIANS('ZIP Coordinates'!$C$2))*COS(RADIANS(INDEX('ZIP Coordinates'!$C:$C,MATCH($A277,'ZIP Coordinates'!$A:$A,0))))*COS(RADIANS(INDEX('ZIP Coordinates'!$D:$D,MATCH($A277,'ZIP Coordinates'!$A:$A,0))-'ZIP Coordinates'!$D$2))))),"N/A")</f>
        <v>173.39844145979413</v>
      </c>
      <c r="G277" s="3" t="str">
        <f t="shared" si="8"/>
        <v>150-199 mi</v>
      </c>
      <c r="H277" s="27">
        <f>IF(RIGHT($B277,1)="P",1,IF(ISNUMBER(SEARCH("HALF GALLON",$C277)),Assumptions!$B$4,IF(ISNUMBER(SEARCH("GALLON",$C277)),Assumptions!$B$3,IF(ISNUMBER(SEARCH("QUART",$C277)),Assumptions!$B$5,IF(ISNUMBER(SEARCH("PINT",$C277)),Assumptions!$B$6,Assumptions!$B$7)))))</f>
        <v>1</v>
      </c>
      <c r="I277" s="27">
        <f t="shared" si="9"/>
        <v>2</v>
      </c>
    </row>
    <row r="278" spans="1:9" x14ac:dyDescent="0.2">
      <c r="A278" s="3" t="s">
        <v>15</v>
      </c>
      <c r="B278" s="3" t="s">
        <v>261</v>
      </c>
      <c r="C278" s="3" t="s">
        <v>260</v>
      </c>
      <c r="D278" s="3" t="s">
        <v>128</v>
      </c>
      <c r="E278" s="4">
        <v>2</v>
      </c>
      <c r="F278" s="5">
        <f>IFERROR(3958.8*ACOS(MIN(1,MAX(-1,SIN(RADIANS('ZIP Coordinates'!$C$2))*SIN(RADIANS(INDEX('ZIP Coordinates'!$C:$C,MATCH($A278,'ZIP Coordinates'!$A:$A,0))))+COS(RADIANS('ZIP Coordinates'!$C$2))*COS(RADIANS(INDEX('ZIP Coordinates'!$C:$C,MATCH($A278,'ZIP Coordinates'!$A:$A,0))))*COS(RADIANS(INDEX('ZIP Coordinates'!$D:$D,MATCH($A278,'ZIP Coordinates'!$A:$A,0))-'ZIP Coordinates'!$D$2))))),"N/A")</f>
        <v>173.39844145979413</v>
      </c>
      <c r="G278" s="3" t="str">
        <f t="shared" si="8"/>
        <v>150-199 mi</v>
      </c>
      <c r="H278" s="27">
        <f>IF(RIGHT($B278,1)="P",1,IF(ISNUMBER(SEARCH("HALF GALLON",$C278)),Assumptions!$B$4,IF(ISNUMBER(SEARCH("GALLON",$C278)),Assumptions!$B$3,IF(ISNUMBER(SEARCH("QUART",$C278)),Assumptions!$B$5,IF(ISNUMBER(SEARCH("PINT",$C278)),Assumptions!$B$6,Assumptions!$B$7)))))</f>
        <v>1</v>
      </c>
      <c r="I278" s="27">
        <f t="shared" si="9"/>
        <v>2</v>
      </c>
    </row>
    <row r="279" spans="1:9" x14ac:dyDescent="0.2">
      <c r="A279" s="3" t="s">
        <v>15</v>
      </c>
      <c r="B279" s="3" t="s">
        <v>261</v>
      </c>
      <c r="C279" s="3" t="s">
        <v>260</v>
      </c>
      <c r="D279" s="3" t="s">
        <v>128</v>
      </c>
      <c r="E279" s="4">
        <v>2</v>
      </c>
      <c r="F279" s="5">
        <f>IFERROR(3958.8*ACOS(MIN(1,MAX(-1,SIN(RADIANS('ZIP Coordinates'!$C$2))*SIN(RADIANS(INDEX('ZIP Coordinates'!$C:$C,MATCH($A279,'ZIP Coordinates'!$A:$A,0))))+COS(RADIANS('ZIP Coordinates'!$C$2))*COS(RADIANS(INDEX('ZIP Coordinates'!$C:$C,MATCH($A279,'ZIP Coordinates'!$A:$A,0))))*COS(RADIANS(INDEX('ZIP Coordinates'!$D:$D,MATCH($A279,'ZIP Coordinates'!$A:$A,0))-'ZIP Coordinates'!$D$2))))),"N/A")</f>
        <v>173.39844145979413</v>
      </c>
      <c r="G279" s="3" t="str">
        <f t="shared" si="8"/>
        <v>150-199 mi</v>
      </c>
      <c r="H279" s="27">
        <f>IF(RIGHT($B279,1)="P",1,IF(ISNUMBER(SEARCH("HALF GALLON",$C279)),Assumptions!$B$4,IF(ISNUMBER(SEARCH("GALLON",$C279)),Assumptions!$B$3,IF(ISNUMBER(SEARCH("QUART",$C279)),Assumptions!$B$5,IF(ISNUMBER(SEARCH("PINT",$C279)),Assumptions!$B$6,Assumptions!$B$7)))))</f>
        <v>1</v>
      </c>
      <c r="I279" s="27">
        <f t="shared" si="9"/>
        <v>2</v>
      </c>
    </row>
    <row r="280" spans="1:9" x14ac:dyDescent="0.2">
      <c r="A280" s="3" t="s">
        <v>15</v>
      </c>
      <c r="B280" s="3" t="s">
        <v>270</v>
      </c>
      <c r="C280" s="3" t="s">
        <v>242</v>
      </c>
      <c r="D280" s="3" t="s">
        <v>128</v>
      </c>
      <c r="E280" s="4">
        <v>1</v>
      </c>
      <c r="F280" s="5">
        <f>IFERROR(3958.8*ACOS(MIN(1,MAX(-1,SIN(RADIANS('ZIP Coordinates'!$C$2))*SIN(RADIANS(INDEX('ZIP Coordinates'!$C:$C,MATCH($A280,'ZIP Coordinates'!$A:$A,0))))+COS(RADIANS('ZIP Coordinates'!$C$2))*COS(RADIANS(INDEX('ZIP Coordinates'!$C:$C,MATCH($A280,'ZIP Coordinates'!$A:$A,0))))*COS(RADIANS(INDEX('ZIP Coordinates'!$D:$D,MATCH($A280,'ZIP Coordinates'!$A:$A,0))-'ZIP Coordinates'!$D$2))))),"N/A")</f>
        <v>173.39844145979413</v>
      </c>
      <c r="G280" s="3" t="str">
        <f t="shared" si="8"/>
        <v>150-199 mi</v>
      </c>
      <c r="H280" s="27">
        <f>IF(RIGHT($B280,1)="P",1,IF(ISNUMBER(SEARCH("HALF GALLON",$C280)),Assumptions!$B$4,IF(ISNUMBER(SEARCH("GALLON",$C280)),Assumptions!$B$3,IF(ISNUMBER(SEARCH("QUART",$C280)),Assumptions!$B$5,IF(ISNUMBER(SEARCH("PINT",$C280)),Assumptions!$B$6,Assumptions!$B$7)))))</f>
        <v>9</v>
      </c>
      <c r="I280" s="27">
        <f t="shared" si="9"/>
        <v>9</v>
      </c>
    </row>
    <row r="281" spans="1:9" x14ac:dyDescent="0.2">
      <c r="A281" s="3" t="s">
        <v>15</v>
      </c>
      <c r="B281" s="3" t="s">
        <v>241</v>
      </c>
      <c r="C281" s="3" t="s">
        <v>242</v>
      </c>
      <c r="D281" s="3" t="s">
        <v>93</v>
      </c>
      <c r="E281" s="4">
        <v>47</v>
      </c>
      <c r="F281" s="5">
        <f>IFERROR(3958.8*ACOS(MIN(1,MAX(-1,SIN(RADIANS('ZIP Coordinates'!$C$2))*SIN(RADIANS(INDEX('ZIP Coordinates'!$C:$C,MATCH($A281,'ZIP Coordinates'!$A:$A,0))))+COS(RADIANS('ZIP Coordinates'!$C$2))*COS(RADIANS(INDEX('ZIP Coordinates'!$C:$C,MATCH($A281,'ZIP Coordinates'!$A:$A,0))))*COS(RADIANS(INDEX('ZIP Coordinates'!$D:$D,MATCH($A281,'ZIP Coordinates'!$A:$A,0))-'ZIP Coordinates'!$D$2))))),"N/A")</f>
        <v>173.39844145979413</v>
      </c>
      <c r="G281" s="3" t="str">
        <f t="shared" si="8"/>
        <v>150-199 mi</v>
      </c>
      <c r="H281" s="27">
        <f>IF(RIGHT($B281,1)="P",1,IF(ISNUMBER(SEARCH("HALF GALLON",$C281)),Assumptions!$B$4,IF(ISNUMBER(SEARCH("GALLON",$C281)),Assumptions!$B$3,IF(ISNUMBER(SEARCH("QUART",$C281)),Assumptions!$B$5,IF(ISNUMBER(SEARCH("PINT",$C281)),Assumptions!$B$6,Assumptions!$B$7)))))</f>
        <v>1</v>
      </c>
      <c r="I281" s="27">
        <f t="shared" si="9"/>
        <v>47</v>
      </c>
    </row>
    <row r="282" spans="1:9" x14ac:dyDescent="0.2">
      <c r="A282" s="3" t="s">
        <v>15</v>
      </c>
      <c r="B282" s="3" t="s">
        <v>241</v>
      </c>
      <c r="C282" s="3" t="s">
        <v>242</v>
      </c>
      <c r="D282" s="3" t="s">
        <v>128</v>
      </c>
      <c r="E282" s="4">
        <v>6</v>
      </c>
      <c r="F282" s="5">
        <f>IFERROR(3958.8*ACOS(MIN(1,MAX(-1,SIN(RADIANS('ZIP Coordinates'!$C$2))*SIN(RADIANS(INDEX('ZIP Coordinates'!$C:$C,MATCH($A282,'ZIP Coordinates'!$A:$A,0))))+COS(RADIANS('ZIP Coordinates'!$C$2))*COS(RADIANS(INDEX('ZIP Coordinates'!$C:$C,MATCH($A282,'ZIP Coordinates'!$A:$A,0))))*COS(RADIANS(INDEX('ZIP Coordinates'!$D:$D,MATCH($A282,'ZIP Coordinates'!$A:$A,0))-'ZIP Coordinates'!$D$2))))),"N/A")</f>
        <v>173.39844145979413</v>
      </c>
      <c r="G282" s="3" t="str">
        <f t="shared" si="8"/>
        <v>150-199 mi</v>
      </c>
      <c r="H282" s="27">
        <f>IF(RIGHT($B282,1)="P",1,IF(ISNUMBER(SEARCH("HALF GALLON",$C282)),Assumptions!$B$4,IF(ISNUMBER(SEARCH("GALLON",$C282)),Assumptions!$B$3,IF(ISNUMBER(SEARCH("QUART",$C282)),Assumptions!$B$5,IF(ISNUMBER(SEARCH("PINT",$C282)),Assumptions!$B$6,Assumptions!$B$7)))))</f>
        <v>1</v>
      </c>
      <c r="I282" s="27">
        <f t="shared" si="9"/>
        <v>6</v>
      </c>
    </row>
    <row r="283" spans="1:9" x14ac:dyDescent="0.2">
      <c r="A283" s="3" t="s">
        <v>15</v>
      </c>
      <c r="B283" s="3" t="s">
        <v>241</v>
      </c>
      <c r="C283" s="3" t="s">
        <v>242</v>
      </c>
      <c r="D283" s="3" t="s">
        <v>128</v>
      </c>
      <c r="E283" s="4">
        <v>6</v>
      </c>
      <c r="F283" s="5">
        <f>IFERROR(3958.8*ACOS(MIN(1,MAX(-1,SIN(RADIANS('ZIP Coordinates'!$C$2))*SIN(RADIANS(INDEX('ZIP Coordinates'!$C:$C,MATCH($A283,'ZIP Coordinates'!$A:$A,0))))+COS(RADIANS('ZIP Coordinates'!$C$2))*COS(RADIANS(INDEX('ZIP Coordinates'!$C:$C,MATCH($A283,'ZIP Coordinates'!$A:$A,0))))*COS(RADIANS(INDEX('ZIP Coordinates'!$D:$D,MATCH($A283,'ZIP Coordinates'!$A:$A,0))-'ZIP Coordinates'!$D$2))))),"N/A")</f>
        <v>173.39844145979413</v>
      </c>
      <c r="G283" s="3" t="str">
        <f t="shared" si="8"/>
        <v>150-199 mi</v>
      </c>
      <c r="H283" s="27">
        <f>IF(RIGHT($B283,1)="P",1,IF(ISNUMBER(SEARCH("HALF GALLON",$C283)),Assumptions!$B$4,IF(ISNUMBER(SEARCH("GALLON",$C283)),Assumptions!$B$3,IF(ISNUMBER(SEARCH("QUART",$C283)),Assumptions!$B$5,IF(ISNUMBER(SEARCH("PINT",$C283)),Assumptions!$B$6,Assumptions!$B$7)))))</f>
        <v>1</v>
      </c>
      <c r="I283" s="27">
        <f t="shared" si="9"/>
        <v>6</v>
      </c>
    </row>
    <row r="284" spans="1:9" x14ac:dyDescent="0.2">
      <c r="A284" s="3" t="s">
        <v>15</v>
      </c>
      <c r="B284" s="3" t="s">
        <v>241</v>
      </c>
      <c r="C284" s="3" t="s">
        <v>242</v>
      </c>
      <c r="D284" s="3" t="s">
        <v>128</v>
      </c>
      <c r="E284" s="4">
        <v>6</v>
      </c>
      <c r="F284" s="5">
        <f>IFERROR(3958.8*ACOS(MIN(1,MAX(-1,SIN(RADIANS('ZIP Coordinates'!$C$2))*SIN(RADIANS(INDEX('ZIP Coordinates'!$C:$C,MATCH($A284,'ZIP Coordinates'!$A:$A,0))))+COS(RADIANS('ZIP Coordinates'!$C$2))*COS(RADIANS(INDEX('ZIP Coordinates'!$C:$C,MATCH($A284,'ZIP Coordinates'!$A:$A,0))))*COS(RADIANS(INDEX('ZIP Coordinates'!$D:$D,MATCH($A284,'ZIP Coordinates'!$A:$A,0))-'ZIP Coordinates'!$D$2))))),"N/A")</f>
        <v>173.39844145979413</v>
      </c>
      <c r="G284" s="3" t="str">
        <f t="shared" si="8"/>
        <v>150-199 mi</v>
      </c>
      <c r="H284" s="27">
        <f>IF(RIGHT($B284,1)="P",1,IF(ISNUMBER(SEARCH("HALF GALLON",$C284)),Assumptions!$B$4,IF(ISNUMBER(SEARCH("GALLON",$C284)),Assumptions!$B$3,IF(ISNUMBER(SEARCH("QUART",$C284)),Assumptions!$B$5,IF(ISNUMBER(SEARCH("PINT",$C284)),Assumptions!$B$6,Assumptions!$B$7)))))</f>
        <v>1</v>
      </c>
      <c r="I284" s="27">
        <f t="shared" si="9"/>
        <v>6</v>
      </c>
    </row>
    <row r="285" spans="1:9" x14ac:dyDescent="0.2">
      <c r="A285" s="3" t="s">
        <v>15</v>
      </c>
      <c r="B285" s="3" t="s">
        <v>241</v>
      </c>
      <c r="C285" s="3" t="s">
        <v>242</v>
      </c>
      <c r="D285" s="3" t="s">
        <v>128</v>
      </c>
      <c r="E285" s="4">
        <v>6</v>
      </c>
      <c r="F285" s="5">
        <f>IFERROR(3958.8*ACOS(MIN(1,MAX(-1,SIN(RADIANS('ZIP Coordinates'!$C$2))*SIN(RADIANS(INDEX('ZIP Coordinates'!$C:$C,MATCH($A285,'ZIP Coordinates'!$A:$A,0))))+COS(RADIANS('ZIP Coordinates'!$C$2))*COS(RADIANS(INDEX('ZIP Coordinates'!$C:$C,MATCH($A285,'ZIP Coordinates'!$A:$A,0))))*COS(RADIANS(INDEX('ZIP Coordinates'!$D:$D,MATCH($A285,'ZIP Coordinates'!$A:$A,0))-'ZIP Coordinates'!$D$2))))),"N/A")</f>
        <v>173.39844145979413</v>
      </c>
      <c r="G285" s="3" t="str">
        <f t="shared" si="8"/>
        <v>150-199 mi</v>
      </c>
      <c r="H285" s="27">
        <f>IF(RIGHT($B285,1)="P",1,IF(ISNUMBER(SEARCH("HALF GALLON",$C285)),Assumptions!$B$4,IF(ISNUMBER(SEARCH("GALLON",$C285)),Assumptions!$B$3,IF(ISNUMBER(SEARCH("QUART",$C285)),Assumptions!$B$5,IF(ISNUMBER(SEARCH("PINT",$C285)),Assumptions!$B$6,Assumptions!$B$7)))))</f>
        <v>1</v>
      </c>
      <c r="I285" s="27">
        <f t="shared" si="9"/>
        <v>6</v>
      </c>
    </row>
    <row r="286" spans="1:9" x14ac:dyDescent="0.2">
      <c r="A286" s="3" t="s">
        <v>15</v>
      </c>
      <c r="B286" s="3" t="s">
        <v>243</v>
      </c>
      <c r="C286" s="3" t="s">
        <v>244</v>
      </c>
      <c r="D286" s="3" t="s">
        <v>93</v>
      </c>
      <c r="E286" s="4">
        <v>45</v>
      </c>
      <c r="F286" s="5">
        <f>IFERROR(3958.8*ACOS(MIN(1,MAX(-1,SIN(RADIANS('ZIP Coordinates'!$C$2))*SIN(RADIANS(INDEX('ZIP Coordinates'!$C:$C,MATCH($A286,'ZIP Coordinates'!$A:$A,0))))+COS(RADIANS('ZIP Coordinates'!$C$2))*COS(RADIANS(INDEX('ZIP Coordinates'!$C:$C,MATCH($A286,'ZIP Coordinates'!$A:$A,0))))*COS(RADIANS(INDEX('ZIP Coordinates'!$D:$D,MATCH($A286,'ZIP Coordinates'!$A:$A,0))-'ZIP Coordinates'!$D$2))))),"N/A")</f>
        <v>173.39844145979413</v>
      </c>
      <c r="G286" s="3" t="str">
        <f t="shared" si="8"/>
        <v>150-199 mi</v>
      </c>
      <c r="H286" s="27">
        <f>IF(RIGHT($B286,1)="P",1,IF(ISNUMBER(SEARCH("HALF GALLON",$C286)),Assumptions!$B$4,IF(ISNUMBER(SEARCH("GALLON",$C286)),Assumptions!$B$3,IF(ISNUMBER(SEARCH("QUART",$C286)),Assumptions!$B$5,IF(ISNUMBER(SEARCH("PINT",$C286)),Assumptions!$B$6,Assumptions!$B$7)))))</f>
        <v>1</v>
      </c>
      <c r="I286" s="27">
        <f t="shared" si="9"/>
        <v>45</v>
      </c>
    </row>
    <row r="287" spans="1:9" x14ac:dyDescent="0.2">
      <c r="A287" s="3" t="s">
        <v>15</v>
      </c>
      <c r="B287" s="3" t="s">
        <v>243</v>
      </c>
      <c r="C287" s="3" t="s">
        <v>244</v>
      </c>
      <c r="D287" s="3" t="s">
        <v>128</v>
      </c>
      <c r="E287" s="4">
        <v>6</v>
      </c>
      <c r="F287" s="5">
        <f>IFERROR(3958.8*ACOS(MIN(1,MAX(-1,SIN(RADIANS('ZIP Coordinates'!$C$2))*SIN(RADIANS(INDEX('ZIP Coordinates'!$C:$C,MATCH($A287,'ZIP Coordinates'!$A:$A,0))))+COS(RADIANS('ZIP Coordinates'!$C$2))*COS(RADIANS(INDEX('ZIP Coordinates'!$C:$C,MATCH($A287,'ZIP Coordinates'!$A:$A,0))))*COS(RADIANS(INDEX('ZIP Coordinates'!$D:$D,MATCH($A287,'ZIP Coordinates'!$A:$A,0))-'ZIP Coordinates'!$D$2))))),"N/A")</f>
        <v>173.39844145979413</v>
      </c>
      <c r="G287" s="3" t="str">
        <f t="shared" si="8"/>
        <v>150-199 mi</v>
      </c>
      <c r="H287" s="27">
        <f>IF(RIGHT($B287,1)="P",1,IF(ISNUMBER(SEARCH("HALF GALLON",$C287)),Assumptions!$B$4,IF(ISNUMBER(SEARCH("GALLON",$C287)),Assumptions!$B$3,IF(ISNUMBER(SEARCH("QUART",$C287)),Assumptions!$B$5,IF(ISNUMBER(SEARCH("PINT",$C287)),Assumptions!$B$6,Assumptions!$B$7)))))</f>
        <v>1</v>
      </c>
      <c r="I287" s="27">
        <f t="shared" si="9"/>
        <v>6</v>
      </c>
    </row>
    <row r="288" spans="1:9" x14ac:dyDescent="0.2">
      <c r="A288" s="3" t="s">
        <v>15</v>
      </c>
      <c r="B288" s="3" t="s">
        <v>243</v>
      </c>
      <c r="C288" s="3" t="s">
        <v>244</v>
      </c>
      <c r="D288" s="3" t="s">
        <v>128</v>
      </c>
      <c r="E288" s="4">
        <v>6</v>
      </c>
      <c r="F288" s="5">
        <f>IFERROR(3958.8*ACOS(MIN(1,MAX(-1,SIN(RADIANS('ZIP Coordinates'!$C$2))*SIN(RADIANS(INDEX('ZIP Coordinates'!$C:$C,MATCH($A288,'ZIP Coordinates'!$A:$A,0))))+COS(RADIANS('ZIP Coordinates'!$C$2))*COS(RADIANS(INDEX('ZIP Coordinates'!$C:$C,MATCH($A288,'ZIP Coordinates'!$A:$A,0))))*COS(RADIANS(INDEX('ZIP Coordinates'!$D:$D,MATCH($A288,'ZIP Coordinates'!$A:$A,0))-'ZIP Coordinates'!$D$2))))),"N/A")</f>
        <v>173.39844145979413</v>
      </c>
      <c r="G288" s="3" t="str">
        <f t="shared" si="8"/>
        <v>150-199 mi</v>
      </c>
      <c r="H288" s="27">
        <f>IF(RIGHT($B288,1)="P",1,IF(ISNUMBER(SEARCH("HALF GALLON",$C288)),Assumptions!$B$4,IF(ISNUMBER(SEARCH("GALLON",$C288)),Assumptions!$B$3,IF(ISNUMBER(SEARCH("QUART",$C288)),Assumptions!$B$5,IF(ISNUMBER(SEARCH("PINT",$C288)),Assumptions!$B$6,Assumptions!$B$7)))))</f>
        <v>1</v>
      </c>
      <c r="I288" s="27">
        <f t="shared" si="9"/>
        <v>6</v>
      </c>
    </row>
    <row r="289" spans="1:9" x14ac:dyDescent="0.2">
      <c r="A289" s="3" t="s">
        <v>15</v>
      </c>
      <c r="B289" s="3" t="s">
        <v>243</v>
      </c>
      <c r="C289" s="3" t="s">
        <v>244</v>
      </c>
      <c r="D289" s="3" t="s">
        <v>128</v>
      </c>
      <c r="E289" s="4">
        <v>6</v>
      </c>
      <c r="F289" s="5">
        <f>IFERROR(3958.8*ACOS(MIN(1,MAX(-1,SIN(RADIANS('ZIP Coordinates'!$C$2))*SIN(RADIANS(INDEX('ZIP Coordinates'!$C:$C,MATCH($A289,'ZIP Coordinates'!$A:$A,0))))+COS(RADIANS('ZIP Coordinates'!$C$2))*COS(RADIANS(INDEX('ZIP Coordinates'!$C:$C,MATCH($A289,'ZIP Coordinates'!$A:$A,0))))*COS(RADIANS(INDEX('ZIP Coordinates'!$D:$D,MATCH($A289,'ZIP Coordinates'!$A:$A,0))-'ZIP Coordinates'!$D$2))))),"N/A")</f>
        <v>173.39844145979413</v>
      </c>
      <c r="G289" s="3" t="str">
        <f t="shared" si="8"/>
        <v>150-199 mi</v>
      </c>
      <c r="H289" s="27">
        <f>IF(RIGHT($B289,1)="P",1,IF(ISNUMBER(SEARCH("HALF GALLON",$C289)),Assumptions!$B$4,IF(ISNUMBER(SEARCH("GALLON",$C289)),Assumptions!$B$3,IF(ISNUMBER(SEARCH("QUART",$C289)),Assumptions!$B$5,IF(ISNUMBER(SEARCH("PINT",$C289)),Assumptions!$B$6,Assumptions!$B$7)))))</f>
        <v>1</v>
      </c>
      <c r="I289" s="27">
        <f t="shared" si="9"/>
        <v>6</v>
      </c>
    </row>
    <row r="290" spans="1:9" x14ac:dyDescent="0.2">
      <c r="A290" s="3" t="s">
        <v>15</v>
      </c>
      <c r="B290" s="3" t="s">
        <v>243</v>
      </c>
      <c r="C290" s="3" t="s">
        <v>244</v>
      </c>
      <c r="D290" s="3" t="s">
        <v>128</v>
      </c>
      <c r="E290" s="4">
        <v>6</v>
      </c>
      <c r="F290" s="5">
        <f>IFERROR(3958.8*ACOS(MIN(1,MAX(-1,SIN(RADIANS('ZIP Coordinates'!$C$2))*SIN(RADIANS(INDEX('ZIP Coordinates'!$C:$C,MATCH($A290,'ZIP Coordinates'!$A:$A,0))))+COS(RADIANS('ZIP Coordinates'!$C$2))*COS(RADIANS(INDEX('ZIP Coordinates'!$C:$C,MATCH($A290,'ZIP Coordinates'!$A:$A,0))))*COS(RADIANS(INDEX('ZIP Coordinates'!$D:$D,MATCH($A290,'ZIP Coordinates'!$A:$A,0))-'ZIP Coordinates'!$D$2))))),"N/A")</f>
        <v>173.39844145979413</v>
      </c>
      <c r="G290" s="3" t="str">
        <f t="shared" si="8"/>
        <v>150-199 mi</v>
      </c>
      <c r="H290" s="27">
        <f>IF(RIGHT($B290,1)="P",1,IF(ISNUMBER(SEARCH("HALF GALLON",$C290)),Assumptions!$B$4,IF(ISNUMBER(SEARCH("GALLON",$C290)),Assumptions!$B$3,IF(ISNUMBER(SEARCH("QUART",$C290)),Assumptions!$B$5,IF(ISNUMBER(SEARCH("PINT",$C290)),Assumptions!$B$6,Assumptions!$B$7)))))</f>
        <v>1</v>
      </c>
      <c r="I290" s="27">
        <f t="shared" si="9"/>
        <v>6</v>
      </c>
    </row>
    <row r="291" spans="1:9" x14ac:dyDescent="0.2">
      <c r="A291" s="3" t="s">
        <v>15</v>
      </c>
      <c r="B291" s="3" t="s">
        <v>243</v>
      </c>
      <c r="C291" s="3" t="s">
        <v>244</v>
      </c>
      <c r="D291" s="3" t="s">
        <v>128</v>
      </c>
      <c r="E291" s="4">
        <v>6</v>
      </c>
      <c r="F291" s="5">
        <f>IFERROR(3958.8*ACOS(MIN(1,MAX(-1,SIN(RADIANS('ZIP Coordinates'!$C$2))*SIN(RADIANS(INDEX('ZIP Coordinates'!$C:$C,MATCH($A291,'ZIP Coordinates'!$A:$A,0))))+COS(RADIANS('ZIP Coordinates'!$C$2))*COS(RADIANS(INDEX('ZIP Coordinates'!$C:$C,MATCH($A291,'ZIP Coordinates'!$A:$A,0))))*COS(RADIANS(INDEX('ZIP Coordinates'!$D:$D,MATCH($A291,'ZIP Coordinates'!$A:$A,0))-'ZIP Coordinates'!$D$2))))),"N/A")</f>
        <v>173.39844145979413</v>
      </c>
      <c r="G291" s="3" t="str">
        <f t="shared" si="8"/>
        <v>150-199 mi</v>
      </c>
      <c r="H291" s="27">
        <f>IF(RIGHT($B291,1)="P",1,IF(ISNUMBER(SEARCH("HALF GALLON",$C291)),Assumptions!$B$4,IF(ISNUMBER(SEARCH("GALLON",$C291)),Assumptions!$B$3,IF(ISNUMBER(SEARCH("QUART",$C291)),Assumptions!$B$5,IF(ISNUMBER(SEARCH("PINT",$C291)),Assumptions!$B$6,Assumptions!$B$7)))))</f>
        <v>1</v>
      </c>
      <c r="I291" s="27">
        <f t="shared" si="9"/>
        <v>6</v>
      </c>
    </row>
    <row r="292" spans="1:9" x14ac:dyDescent="0.2">
      <c r="A292" s="3" t="s">
        <v>15</v>
      </c>
      <c r="B292" s="3" t="s">
        <v>276</v>
      </c>
      <c r="C292" s="3" t="s">
        <v>275</v>
      </c>
      <c r="D292" s="3" t="s">
        <v>93</v>
      </c>
      <c r="E292" s="4">
        <v>63</v>
      </c>
      <c r="F292" s="5">
        <f>IFERROR(3958.8*ACOS(MIN(1,MAX(-1,SIN(RADIANS('ZIP Coordinates'!$C$2))*SIN(RADIANS(INDEX('ZIP Coordinates'!$C:$C,MATCH($A292,'ZIP Coordinates'!$A:$A,0))))+COS(RADIANS('ZIP Coordinates'!$C$2))*COS(RADIANS(INDEX('ZIP Coordinates'!$C:$C,MATCH($A292,'ZIP Coordinates'!$A:$A,0))))*COS(RADIANS(INDEX('ZIP Coordinates'!$D:$D,MATCH($A292,'ZIP Coordinates'!$A:$A,0))-'ZIP Coordinates'!$D$2))))),"N/A")</f>
        <v>173.39844145979413</v>
      </c>
      <c r="G292" s="3" t="str">
        <f t="shared" si="8"/>
        <v>150-199 mi</v>
      </c>
      <c r="H292" s="27">
        <f>IF(RIGHT($B292,1)="P",1,IF(ISNUMBER(SEARCH("HALF GALLON",$C292)),Assumptions!$B$4,IF(ISNUMBER(SEARCH("GALLON",$C292)),Assumptions!$B$3,IF(ISNUMBER(SEARCH("QUART",$C292)),Assumptions!$B$5,IF(ISNUMBER(SEARCH("PINT",$C292)),Assumptions!$B$6,Assumptions!$B$7)))))</f>
        <v>1</v>
      </c>
      <c r="I292" s="27">
        <f t="shared" si="9"/>
        <v>63</v>
      </c>
    </row>
    <row r="293" spans="1:9" x14ac:dyDescent="0.2">
      <c r="A293" s="3" t="s">
        <v>15</v>
      </c>
      <c r="B293" s="3" t="s">
        <v>276</v>
      </c>
      <c r="C293" s="3" t="s">
        <v>275</v>
      </c>
      <c r="D293" s="3" t="s">
        <v>128</v>
      </c>
      <c r="E293" s="4">
        <v>6</v>
      </c>
      <c r="F293" s="5">
        <f>IFERROR(3958.8*ACOS(MIN(1,MAX(-1,SIN(RADIANS('ZIP Coordinates'!$C$2))*SIN(RADIANS(INDEX('ZIP Coordinates'!$C:$C,MATCH($A293,'ZIP Coordinates'!$A:$A,0))))+COS(RADIANS('ZIP Coordinates'!$C$2))*COS(RADIANS(INDEX('ZIP Coordinates'!$C:$C,MATCH($A293,'ZIP Coordinates'!$A:$A,0))))*COS(RADIANS(INDEX('ZIP Coordinates'!$D:$D,MATCH($A293,'ZIP Coordinates'!$A:$A,0))-'ZIP Coordinates'!$D$2))))),"N/A")</f>
        <v>173.39844145979413</v>
      </c>
      <c r="G293" s="3" t="str">
        <f t="shared" si="8"/>
        <v>150-199 mi</v>
      </c>
      <c r="H293" s="27">
        <f>IF(RIGHT($B293,1)="P",1,IF(ISNUMBER(SEARCH("HALF GALLON",$C293)),Assumptions!$B$4,IF(ISNUMBER(SEARCH("GALLON",$C293)),Assumptions!$B$3,IF(ISNUMBER(SEARCH("QUART",$C293)),Assumptions!$B$5,IF(ISNUMBER(SEARCH("PINT",$C293)),Assumptions!$B$6,Assumptions!$B$7)))))</f>
        <v>1</v>
      </c>
      <c r="I293" s="27">
        <f t="shared" si="9"/>
        <v>6</v>
      </c>
    </row>
    <row r="294" spans="1:9" x14ac:dyDescent="0.2">
      <c r="A294" s="3" t="s">
        <v>15</v>
      </c>
      <c r="B294" s="3" t="s">
        <v>276</v>
      </c>
      <c r="C294" s="3" t="s">
        <v>275</v>
      </c>
      <c r="D294" s="3" t="s">
        <v>128</v>
      </c>
      <c r="E294" s="4">
        <v>6</v>
      </c>
      <c r="F294" s="5">
        <f>IFERROR(3958.8*ACOS(MIN(1,MAX(-1,SIN(RADIANS('ZIP Coordinates'!$C$2))*SIN(RADIANS(INDEX('ZIP Coordinates'!$C:$C,MATCH($A294,'ZIP Coordinates'!$A:$A,0))))+COS(RADIANS('ZIP Coordinates'!$C$2))*COS(RADIANS(INDEX('ZIP Coordinates'!$C:$C,MATCH($A294,'ZIP Coordinates'!$A:$A,0))))*COS(RADIANS(INDEX('ZIP Coordinates'!$D:$D,MATCH($A294,'ZIP Coordinates'!$A:$A,0))-'ZIP Coordinates'!$D$2))))),"N/A")</f>
        <v>173.39844145979413</v>
      </c>
      <c r="G294" s="3" t="str">
        <f t="shared" si="8"/>
        <v>150-199 mi</v>
      </c>
      <c r="H294" s="27">
        <f>IF(RIGHT($B294,1)="P",1,IF(ISNUMBER(SEARCH("HALF GALLON",$C294)),Assumptions!$B$4,IF(ISNUMBER(SEARCH("GALLON",$C294)),Assumptions!$B$3,IF(ISNUMBER(SEARCH("QUART",$C294)),Assumptions!$B$5,IF(ISNUMBER(SEARCH("PINT",$C294)),Assumptions!$B$6,Assumptions!$B$7)))))</f>
        <v>1</v>
      </c>
      <c r="I294" s="27">
        <f t="shared" si="9"/>
        <v>6</v>
      </c>
    </row>
    <row r="295" spans="1:9" x14ac:dyDescent="0.2">
      <c r="A295" s="3" t="s">
        <v>15</v>
      </c>
      <c r="B295" s="3" t="s">
        <v>276</v>
      </c>
      <c r="C295" s="3" t="s">
        <v>275</v>
      </c>
      <c r="D295" s="3" t="s">
        <v>128</v>
      </c>
      <c r="E295" s="4">
        <v>6</v>
      </c>
      <c r="F295" s="5">
        <f>IFERROR(3958.8*ACOS(MIN(1,MAX(-1,SIN(RADIANS('ZIP Coordinates'!$C$2))*SIN(RADIANS(INDEX('ZIP Coordinates'!$C:$C,MATCH($A295,'ZIP Coordinates'!$A:$A,0))))+COS(RADIANS('ZIP Coordinates'!$C$2))*COS(RADIANS(INDEX('ZIP Coordinates'!$C:$C,MATCH($A295,'ZIP Coordinates'!$A:$A,0))))*COS(RADIANS(INDEX('ZIP Coordinates'!$D:$D,MATCH($A295,'ZIP Coordinates'!$A:$A,0))-'ZIP Coordinates'!$D$2))))),"N/A")</f>
        <v>173.39844145979413</v>
      </c>
      <c r="G295" s="3" t="str">
        <f t="shared" si="8"/>
        <v>150-199 mi</v>
      </c>
      <c r="H295" s="27">
        <f>IF(RIGHT($B295,1)="P",1,IF(ISNUMBER(SEARCH("HALF GALLON",$C295)),Assumptions!$B$4,IF(ISNUMBER(SEARCH("GALLON",$C295)),Assumptions!$B$3,IF(ISNUMBER(SEARCH("QUART",$C295)),Assumptions!$B$5,IF(ISNUMBER(SEARCH("PINT",$C295)),Assumptions!$B$6,Assumptions!$B$7)))))</f>
        <v>1</v>
      </c>
      <c r="I295" s="27">
        <f t="shared" si="9"/>
        <v>6</v>
      </c>
    </row>
    <row r="296" spans="1:9" x14ac:dyDescent="0.2">
      <c r="A296" s="3" t="s">
        <v>15</v>
      </c>
      <c r="B296" s="3" t="s">
        <v>276</v>
      </c>
      <c r="C296" s="3" t="s">
        <v>275</v>
      </c>
      <c r="D296" s="3" t="s">
        <v>128</v>
      </c>
      <c r="E296" s="4">
        <v>4</v>
      </c>
      <c r="F296" s="5">
        <f>IFERROR(3958.8*ACOS(MIN(1,MAX(-1,SIN(RADIANS('ZIP Coordinates'!$C$2))*SIN(RADIANS(INDEX('ZIP Coordinates'!$C:$C,MATCH($A296,'ZIP Coordinates'!$A:$A,0))))+COS(RADIANS('ZIP Coordinates'!$C$2))*COS(RADIANS(INDEX('ZIP Coordinates'!$C:$C,MATCH($A296,'ZIP Coordinates'!$A:$A,0))))*COS(RADIANS(INDEX('ZIP Coordinates'!$D:$D,MATCH($A296,'ZIP Coordinates'!$A:$A,0))-'ZIP Coordinates'!$D$2))))),"N/A")</f>
        <v>173.39844145979413</v>
      </c>
      <c r="G296" s="3" t="str">
        <f t="shared" si="8"/>
        <v>150-199 mi</v>
      </c>
      <c r="H296" s="27">
        <f>IF(RIGHT($B296,1)="P",1,IF(ISNUMBER(SEARCH("HALF GALLON",$C296)),Assumptions!$B$4,IF(ISNUMBER(SEARCH("GALLON",$C296)),Assumptions!$B$3,IF(ISNUMBER(SEARCH("QUART",$C296)),Assumptions!$B$5,IF(ISNUMBER(SEARCH("PINT",$C296)),Assumptions!$B$6,Assumptions!$B$7)))))</f>
        <v>1</v>
      </c>
      <c r="I296" s="27">
        <f t="shared" si="9"/>
        <v>4</v>
      </c>
    </row>
    <row r="297" spans="1:9" x14ac:dyDescent="0.2">
      <c r="A297" s="3" t="s">
        <v>15</v>
      </c>
      <c r="B297" s="3" t="s">
        <v>276</v>
      </c>
      <c r="C297" s="3" t="s">
        <v>275</v>
      </c>
      <c r="D297" s="3" t="s">
        <v>128</v>
      </c>
      <c r="E297" s="4">
        <v>6</v>
      </c>
      <c r="F297" s="5">
        <f>IFERROR(3958.8*ACOS(MIN(1,MAX(-1,SIN(RADIANS('ZIP Coordinates'!$C$2))*SIN(RADIANS(INDEX('ZIP Coordinates'!$C:$C,MATCH($A297,'ZIP Coordinates'!$A:$A,0))))+COS(RADIANS('ZIP Coordinates'!$C$2))*COS(RADIANS(INDEX('ZIP Coordinates'!$C:$C,MATCH($A297,'ZIP Coordinates'!$A:$A,0))))*COS(RADIANS(INDEX('ZIP Coordinates'!$D:$D,MATCH($A297,'ZIP Coordinates'!$A:$A,0))-'ZIP Coordinates'!$D$2))))),"N/A")</f>
        <v>173.39844145979413</v>
      </c>
      <c r="G297" s="3" t="str">
        <f t="shared" si="8"/>
        <v>150-199 mi</v>
      </c>
      <c r="H297" s="27">
        <f>IF(RIGHT($B297,1)="P",1,IF(ISNUMBER(SEARCH("HALF GALLON",$C297)),Assumptions!$B$4,IF(ISNUMBER(SEARCH("GALLON",$C297)),Assumptions!$B$3,IF(ISNUMBER(SEARCH("QUART",$C297)),Assumptions!$B$5,IF(ISNUMBER(SEARCH("PINT",$C297)),Assumptions!$B$6,Assumptions!$B$7)))))</f>
        <v>1</v>
      </c>
      <c r="I297" s="27">
        <f t="shared" si="9"/>
        <v>6</v>
      </c>
    </row>
    <row r="298" spans="1:9" x14ac:dyDescent="0.2">
      <c r="A298" s="3" t="s">
        <v>15</v>
      </c>
      <c r="B298" s="3" t="s">
        <v>277</v>
      </c>
      <c r="C298" s="3" t="s">
        <v>278</v>
      </c>
      <c r="D298" s="3" t="s">
        <v>93</v>
      </c>
      <c r="E298" s="4">
        <v>43</v>
      </c>
      <c r="F298" s="5">
        <f>IFERROR(3958.8*ACOS(MIN(1,MAX(-1,SIN(RADIANS('ZIP Coordinates'!$C$2))*SIN(RADIANS(INDEX('ZIP Coordinates'!$C:$C,MATCH($A298,'ZIP Coordinates'!$A:$A,0))))+COS(RADIANS('ZIP Coordinates'!$C$2))*COS(RADIANS(INDEX('ZIP Coordinates'!$C:$C,MATCH($A298,'ZIP Coordinates'!$A:$A,0))))*COS(RADIANS(INDEX('ZIP Coordinates'!$D:$D,MATCH($A298,'ZIP Coordinates'!$A:$A,0))-'ZIP Coordinates'!$D$2))))),"N/A")</f>
        <v>173.39844145979413</v>
      </c>
      <c r="G298" s="3" t="str">
        <f t="shared" si="8"/>
        <v>150-199 mi</v>
      </c>
      <c r="H298" s="27">
        <f>IF(RIGHT($B298,1)="P",1,IF(ISNUMBER(SEARCH("HALF GALLON",$C298)),Assumptions!$B$4,IF(ISNUMBER(SEARCH("GALLON",$C298)),Assumptions!$B$3,IF(ISNUMBER(SEARCH("QUART",$C298)),Assumptions!$B$5,IF(ISNUMBER(SEARCH("PINT",$C298)),Assumptions!$B$6,Assumptions!$B$7)))))</f>
        <v>1</v>
      </c>
      <c r="I298" s="27">
        <f t="shared" si="9"/>
        <v>43</v>
      </c>
    </row>
    <row r="299" spans="1:9" x14ac:dyDescent="0.2">
      <c r="A299" s="3" t="s">
        <v>15</v>
      </c>
      <c r="B299" s="3" t="s">
        <v>279</v>
      </c>
      <c r="C299" s="3" t="s">
        <v>280</v>
      </c>
      <c r="D299" s="3" t="s">
        <v>93</v>
      </c>
      <c r="E299" s="4">
        <v>39</v>
      </c>
      <c r="F299" s="5">
        <f>IFERROR(3958.8*ACOS(MIN(1,MAX(-1,SIN(RADIANS('ZIP Coordinates'!$C$2))*SIN(RADIANS(INDEX('ZIP Coordinates'!$C:$C,MATCH($A299,'ZIP Coordinates'!$A:$A,0))))+COS(RADIANS('ZIP Coordinates'!$C$2))*COS(RADIANS(INDEX('ZIP Coordinates'!$C:$C,MATCH($A299,'ZIP Coordinates'!$A:$A,0))))*COS(RADIANS(INDEX('ZIP Coordinates'!$D:$D,MATCH($A299,'ZIP Coordinates'!$A:$A,0))-'ZIP Coordinates'!$D$2))))),"N/A")</f>
        <v>173.39844145979413</v>
      </c>
      <c r="G299" s="3" t="str">
        <f t="shared" si="8"/>
        <v>150-199 mi</v>
      </c>
      <c r="H299" s="27">
        <f>IF(RIGHT($B299,1)="P",1,IF(ISNUMBER(SEARCH("HALF GALLON",$C299)),Assumptions!$B$4,IF(ISNUMBER(SEARCH("GALLON",$C299)),Assumptions!$B$3,IF(ISNUMBER(SEARCH("QUART",$C299)),Assumptions!$B$5,IF(ISNUMBER(SEARCH("PINT",$C299)),Assumptions!$B$6,Assumptions!$B$7)))))</f>
        <v>1</v>
      </c>
      <c r="I299" s="27">
        <f t="shared" si="9"/>
        <v>39</v>
      </c>
    </row>
    <row r="300" spans="1:9" x14ac:dyDescent="0.2">
      <c r="A300" s="3" t="s">
        <v>15</v>
      </c>
      <c r="B300" s="3" t="s">
        <v>247</v>
      </c>
      <c r="C300" s="3" t="s">
        <v>246</v>
      </c>
      <c r="D300" s="3" t="s">
        <v>93</v>
      </c>
      <c r="E300" s="4">
        <v>56</v>
      </c>
      <c r="F300" s="5">
        <f>IFERROR(3958.8*ACOS(MIN(1,MAX(-1,SIN(RADIANS('ZIP Coordinates'!$C$2))*SIN(RADIANS(INDEX('ZIP Coordinates'!$C:$C,MATCH($A300,'ZIP Coordinates'!$A:$A,0))))+COS(RADIANS('ZIP Coordinates'!$C$2))*COS(RADIANS(INDEX('ZIP Coordinates'!$C:$C,MATCH($A300,'ZIP Coordinates'!$A:$A,0))))*COS(RADIANS(INDEX('ZIP Coordinates'!$D:$D,MATCH($A300,'ZIP Coordinates'!$A:$A,0))-'ZIP Coordinates'!$D$2))))),"N/A")</f>
        <v>173.39844145979413</v>
      </c>
      <c r="G300" s="3" t="str">
        <f t="shared" si="8"/>
        <v>150-199 mi</v>
      </c>
      <c r="H300" s="27">
        <f>IF(RIGHT($B300,1)="P",1,IF(ISNUMBER(SEARCH("HALF GALLON",$C300)),Assumptions!$B$4,IF(ISNUMBER(SEARCH("GALLON",$C300)),Assumptions!$B$3,IF(ISNUMBER(SEARCH("QUART",$C300)),Assumptions!$B$5,IF(ISNUMBER(SEARCH("PINT",$C300)),Assumptions!$B$6,Assumptions!$B$7)))))</f>
        <v>1</v>
      </c>
      <c r="I300" s="27">
        <f t="shared" si="9"/>
        <v>56</v>
      </c>
    </row>
    <row r="301" spans="1:9" x14ac:dyDescent="0.2">
      <c r="A301" s="3" t="s">
        <v>15</v>
      </c>
      <c r="B301" s="3" t="s">
        <v>247</v>
      </c>
      <c r="C301" s="3" t="s">
        <v>246</v>
      </c>
      <c r="D301" s="3" t="s">
        <v>128</v>
      </c>
      <c r="E301" s="4">
        <v>6</v>
      </c>
      <c r="F301" s="5">
        <f>IFERROR(3958.8*ACOS(MIN(1,MAX(-1,SIN(RADIANS('ZIP Coordinates'!$C$2))*SIN(RADIANS(INDEX('ZIP Coordinates'!$C:$C,MATCH($A301,'ZIP Coordinates'!$A:$A,0))))+COS(RADIANS('ZIP Coordinates'!$C$2))*COS(RADIANS(INDEX('ZIP Coordinates'!$C:$C,MATCH($A301,'ZIP Coordinates'!$A:$A,0))))*COS(RADIANS(INDEX('ZIP Coordinates'!$D:$D,MATCH($A301,'ZIP Coordinates'!$A:$A,0))-'ZIP Coordinates'!$D$2))))),"N/A")</f>
        <v>173.39844145979413</v>
      </c>
      <c r="G301" s="3" t="str">
        <f t="shared" si="8"/>
        <v>150-199 mi</v>
      </c>
      <c r="H301" s="27">
        <f>IF(RIGHT($B301,1)="P",1,IF(ISNUMBER(SEARCH("HALF GALLON",$C301)),Assumptions!$B$4,IF(ISNUMBER(SEARCH("GALLON",$C301)),Assumptions!$B$3,IF(ISNUMBER(SEARCH("QUART",$C301)),Assumptions!$B$5,IF(ISNUMBER(SEARCH("PINT",$C301)),Assumptions!$B$6,Assumptions!$B$7)))))</f>
        <v>1</v>
      </c>
      <c r="I301" s="27">
        <f t="shared" si="9"/>
        <v>6</v>
      </c>
    </row>
    <row r="302" spans="1:9" x14ac:dyDescent="0.2">
      <c r="A302" s="3" t="s">
        <v>15</v>
      </c>
      <c r="B302" s="3" t="s">
        <v>247</v>
      </c>
      <c r="C302" s="3" t="s">
        <v>246</v>
      </c>
      <c r="D302" s="3" t="s">
        <v>128</v>
      </c>
      <c r="E302" s="4">
        <v>6</v>
      </c>
      <c r="F302" s="5">
        <f>IFERROR(3958.8*ACOS(MIN(1,MAX(-1,SIN(RADIANS('ZIP Coordinates'!$C$2))*SIN(RADIANS(INDEX('ZIP Coordinates'!$C:$C,MATCH($A302,'ZIP Coordinates'!$A:$A,0))))+COS(RADIANS('ZIP Coordinates'!$C$2))*COS(RADIANS(INDEX('ZIP Coordinates'!$C:$C,MATCH($A302,'ZIP Coordinates'!$A:$A,0))))*COS(RADIANS(INDEX('ZIP Coordinates'!$D:$D,MATCH($A302,'ZIP Coordinates'!$A:$A,0))-'ZIP Coordinates'!$D$2))))),"N/A")</f>
        <v>173.39844145979413</v>
      </c>
      <c r="G302" s="3" t="str">
        <f t="shared" si="8"/>
        <v>150-199 mi</v>
      </c>
      <c r="H302" s="27">
        <f>IF(RIGHT($B302,1)="P",1,IF(ISNUMBER(SEARCH("HALF GALLON",$C302)),Assumptions!$B$4,IF(ISNUMBER(SEARCH("GALLON",$C302)),Assumptions!$B$3,IF(ISNUMBER(SEARCH("QUART",$C302)),Assumptions!$B$5,IF(ISNUMBER(SEARCH("PINT",$C302)),Assumptions!$B$6,Assumptions!$B$7)))))</f>
        <v>1</v>
      </c>
      <c r="I302" s="27">
        <f t="shared" si="9"/>
        <v>6</v>
      </c>
    </row>
    <row r="303" spans="1:9" x14ac:dyDescent="0.2">
      <c r="A303" s="3" t="s">
        <v>15</v>
      </c>
      <c r="B303" s="3" t="s">
        <v>247</v>
      </c>
      <c r="C303" s="3" t="s">
        <v>246</v>
      </c>
      <c r="D303" s="3" t="s">
        <v>128</v>
      </c>
      <c r="E303" s="4">
        <v>6</v>
      </c>
      <c r="F303" s="5">
        <f>IFERROR(3958.8*ACOS(MIN(1,MAX(-1,SIN(RADIANS('ZIP Coordinates'!$C$2))*SIN(RADIANS(INDEX('ZIP Coordinates'!$C:$C,MATCH($A303,'ZIP Coordinates'!$A:$A,0))))+COS(RADIANS('ZIP Coordinates'!$C$2))*COS(RADIANS(INDEX('ZIP Coordinates'!$C:$C,MATCH($A303,'ZIP Coordinates'!$A:$A,0))))*COS(RADIANS(INDEX('ZIP Coordinates'!$D:$D,MATCH($A303,'ZIP Coordinates'!$A:$A,0))-'ZIP Coordinates'!$D$2))))),"N/A")</f>
        <v>173.39844145979413</v>
      </c>
      <c r="G303" s="3" t="str">
        <f t="shared" si="8"/>
        <v>150-199 mi</v>
      </c>
      <c r="H303" s="27">
        <f>IF(RIGHT($B303,1)="P",1,IF(ISNUMBER(SEARCH("HALF GALLON",$C303)),Assumptions!$B$4,IF(ISNUMBER(SEARCH("GALLON",$C303)),Assumptions!$B$3,IF(ISNUMBER(SEARCH("QUART",$C303)),Assumptions!$B$5,IF(ISNUMBER(SEARCH("PINT",$C303)),Assumptions!$B$6,Assumptions!$B$7)))))</f>
        <v>1</v>
      </c>
      <c r="I303" s="27">
        <f t="shared" si="9"/>
        <v>6</v>
      </c>
    </row>
    <row r="304" spans="1:9" x14ac:dyDescent="0.2">
      <c r="A304" s="3" t="s">
        <v>15</v>
      </c>
      <c r="B304" s="3" t="s">
        <v>247</v>
      </c>
      <c r="C304" s="3" t="s">
        <v>246</v>
      </c>
      <c r="D304" s="3" t="s">
        <v>128</v>
      </c>
      <c r="E304" s="4">
        <v>5</v>
      </c>
      <c r="F304" s="5">
        <f>IFERROR(3958.8*ACOS(MIN(1,MAX(-1,SIN(RADIANS('ZIP Coordinates'!$C$2))*SIN(RADIANS(INDEX('ZIP Coordinates'!$C:$C,MATCH($A304,'ZIP Coordinates'!$A:$A,0))))+COS(RADIANS('ZIP Coordinates'!$C$2))*COS(RADIANS(INDEX('ZIP Coordinates'!$C:$C,MATCH($A304,'ZIP Coordinates'!$A:$A,0))))*COS(RADIANS(INDEX('ZIP Coordinates'!$D:$D,MATCH($A304,'ZIP Coordinates'!$A:$A,0))-'ZIP Coordinates'!$D$2))))),"N/A")</f>
        <v>173.39844145979413</v>
      </c>
      <c r="G304" s="3" t="str">
        <f t="shared" si="8"/>
        <v>150-199 mi</v>
      </c>
      <c r="H304" s="27">
        <f>IF(RIGHT($B304,1)="P",1,IF(ISNUMBER(SEARCH("HALF GALLON",$C304)),Assumptions!$B$4,IF(ISNUMBER(SEARCH("GALLON",$C304)),Assumptions!$B$3,IF(ISNUMBER(SEARCH("QUART",$C304)),Assumptions!$B$5,IF(ISNUMBER(SEARCH("PINT",$C304)),Assumptions!$B$6,Assumptions!$B$7)))))</f>
        <v>1</v>
      </c>
      <c r="I304" s="27">
        <f t="shared" si="9"/>
        <v>5</v>
      </c>
    </row>
    <row r="305" spans="1:9" x14ac:dyDescent="0.2">
      <c r="A305" s="3" t="s">
        <v>15</v>
      </c>
      <c r="B305" s="3" t="s">
        <v>247</v>
      </c>
      <c r="C305" s="3" t="s">
        <v>246</v>
      </c>
      <c r="D305" s="3" t="s">
        <v>128</v>
      </c>
      <c r="E305" s="4">
        <v>5</v>
      </c>
      <c r="F305" s="5">
        <f>IFERROR(3958.8*ACOS(MIN(1,MAX(-1,SIN(RADIANS('ZIP Coordinates'!$C$2))*SIN(RADIANS(INDEX('ZIP Coordinates'!$C:$C,MATCH($A305,'ZIP Coordinates'!$A:$A,0))))+COS(RADIANS('ZIP Coordinates'!$C$2))*COS(RADIANS(INDEX('ZIP Coordinates'!$C:$C,MATCH($A305,'ZIP Coordinates'!$A:$A,0))))*COS(RADIANS(INDEX('ZIP Coordinates'!$D:$D,MATCH($A305,'ZIP Coordinates'!$A:$A,0))-'ZIP Coordinates'!$D$2))))),"N/A")</f>
        <v>173.39844145979413</v>
      </c>
      <c r="G305" s="3" t="str">
        <f t="shared" si="8"/>
        <v>150-199 mi</v>
      </c>
      <c r="H305" s="27">
        <f>IF(RIGHT($B305,1)="P",1,IF(ISNUMBER(SEARCH("HALF GALLON",$C305)),Assumptions!$B$4,IF(ISNUMBER(SEARCH("GALLON",$C305)),Assumptions!$B$3,IF(ISNUMBER(SEARCH("QUART",$C305)),Assumptions!$B$5,IF(ISNUMBER(SEARCH("PINT",$C305)),Assumptions!$B$6,Assumptions!$B$7)))))</f>
        <v>1</v>
      </c>
      <c r="I305" s="27">
        <f t="shared" si="9"/>
        <v>5</v>
      </c>
    </row>
    <row r="306" spans="1:9" x14ac:dyDescent="0.2">
      <c r="A306" s="3" t="s">
        <v>15</v>
      </c>
      <c r="B306" s="3" t="s">
        <v>250</v>
      </c>
      <c r="C306" s="3" t="s">
        <v>249</v>
      </c>
      <c r="D306" s="3" t="s">
        <v>93</v>
      </c>
      <c r="E306" s="4">
        <v>40</v>
      </c>
      <c r="F306" s="5">
        <f>IFERROR(3958.8*ACOS(MIN(1,MAX(-1,SIN(RADIANS('ZIP Coordinates'!$C$2))*SIN(RADIANS(INDEX('ZIP Coordinates'!$C:$C,MATCH($A306,'ZIP Coordinates'!$A:$A,0))))+COS(RADIANS('ZIP Coordinates'!$C$2))*COS(RADIANS(INDEX('ZIP Coordinates'!$C:$C,MATCH($A306,'ZIP Coordinates'!$A:$A,0))))*COS(RADIANS(INDEX('ZIP Coordinates'!$D:$D,MATCH($A306,'ZIP Coordinates'!$A:$A,0))-'ZIP Coordinates'!$D$2))))),"N/A")</f>
        <v>173.39844145979413</v>
      </c>
      <c r="G306" s="3" t="str">
        <f t="shared" si="8"/>
        <v>150-199 mi</v>
      </c>
      <c r="H306" s="27">
        <f>IF(RIGHT($B306,1)="P",1,IF(ISNUMBER(SEARCH("HALF GALLON",$C306)),Assumptions!$B$4,IF(ISNUMBER(SEARCH("GALLON",$C306)),Assumptions!$B$3,IF(ISNUMBER(SEARCH("QUART",$C306)),Assumptions!$B$5,IF(ISNUMBER(SEARCH("PINT",$C306)),Assumptions!$B$6,Assumptions!$B$7)))))</f>
        <v>1</v>
      </c>
      <c r="I306" s="27">
        <f t="shared" si="9"/>
        <v>40</v>
      </c>
    </row>
    <row r="307" spans="1:9" x14ac:dyDescent="0.2">
      <c r="A307" s="3" t="s">
        <v>15</v>
      </c>
      <c r="B307" s="3" t="s">
        <v>250</v>
      </c>
      <c r="C307" s="3" t="s">
        <v>249</v>
      </c>
      <c r="D307" s="3" t="s">
        <v>128</v>
      </c>
      <c r="E307" s="4">
        <v>6</v>
      </c>
      <c r="F307" s="5">
        <f>IFERROR(3958.8*ACOS(MIN(1,MAX(-1,SIN(RADIANS('ZIP Coordinates'!$C$2))*SIN(RADIANS(INDEX('ZIP Coordinates'!$C:$C,MATCH($A307,'ZIP Coordinates'!$A:$A,0))))+COS(RADIANS('ZIP Coordinates'!$C$2))*COS(RADIANS(INDEX('ZIP Coordinates'!$C:$C,MATCH($A307,'ZIP Coordinates'!$A:$A,0))))*COS(RADIANS(INDEX('ZIP Coordinates'!$D:$D,MATCH($A307,'ZIP Coordinates'!$A:$A,0))-'ZIP Coordinates'!$D$2))))),"N/A")</f>
        <v>173.39844145979413</v>
      </c>
      <c r="G307" s="3" t="str">
        <f t="shared" si="8"/>
        <v>150-199 mi</v>
      </c>
      <c r="H307" s="27">
        <f>IF(RIGHT($B307,1)="P",1,IF(ISNUMBER(SEARCH("HALF GALLON",$C307)),Assumptions!$B$4,IF(ISNUMBER(SEARCH("GALLON",$C307)),Assumptions!$B$3,IF(ISNUMBER(SEARCH("QUART",$C307)),Assumptions!$B$5,IF(ISNUMBER(SEARCH("PINT",$C307)),Assumptions!$B$6,Assumptions!$B$7)))))</f>
        <v>1</v>
      </c>
      <c r="I307" s="27">
        <f t="shared" si="9"/>
        <v>6</v>
      </c>
    </row>
    <row r="308" spans="1:9" x14ac:dyDescent="0.2">
      <c r="A308" s="3" t="s">
        <v>15</v>
      </c>
      <c r="B308" s="3" t="s">
        <v>250</v>
      </c>
      <c r="C308" s="3" t="s">
        <v>249</v>
      </c>
      <c r="D308" s="3" t="s">
        <v>128</v>
      </c>
      <c r="E308" s="4">
        <v>6</v>
      </c>
      <c r="F308" s="5">
        <f>IFERROR(3958.8*ACOS(MIN(1,MAX(-1,SIN(RADIANS('ZIP Coordinates'!$C$2))*SIN(RADIANS(INDEX('ZIP Coordinates'!$C:$C,MATCH($A308,'ZIP Coordinates'!$A:$A,0))))+COS(RADIANS('ZIP Coordinates'!$C$2))*COS(RADIANS(INDEX('ZIP Coordinates'!$C:$C,MATCH($A308,'ZIP Coordinates'!$A:$A,0))))*COS(RADIANS(INDEX('ZIP Coordinates'!$D:$D,MATCH($A308,'ZIP Coordinates'!$A:$A,0))-'ZIP Coordinates'!$D$2))))),"N/A")</f>
        <v>173.39844145979413</v>
      </c>
      <c r="G308" s="3" t="str">
        <f t="shared" si="8"/>
        <v>150-199 mi</v>
      </c>
      <c r="H308" s="27">
        <f>IF(RIGHT($B308,1)="P",1,IF(ISNUMBER(SEARCH("HALF GALLON",$C308)),Assumptions!$B$4,IF(ISNUMBER(SEARCH("GALLON",$C308)),Assumptions!$B$3,IF(ISNUMBER(SEARCH("QUART",$C308)),Assumptions!$B$5,IF(ISNUMBER(SEARCH("PINT",$C308)),Assumptions!$B$6,Assumptions!$B$7)))))</f>
        <v>1</v>
      </c>
      <c r="I308" s="27">
        <f t="shared" si="9"/>
        <v>6</v>
      </c>
    </row>
    <row r="309" spans="1:9" x14ac:dyDescent="0.2">
      <c r="A309" s="3" t="s">
        <v>15</v>
      </c>
      <c r="B309" s="3" t="s">
        <v>250</v>
      </c>
      <c r="C309" s="3" t="s">
        <v>249</v>
      </c>
      <c r="D309" s="3" t="s">
        <v>128</v>
      </c>
      <c r="E309" s="4">
        <v>6</v>
      </c>
      <c r="F309" s="5">
        <f>IFERROR(3958.8*ACOS(MIN(1,MAX(-1,SIN(RADIANS('ZIP Coordinates'!$C$2))*SIN(RADIANS(INDEX('ZIP Coordinates'!$C:$C,MATCH($A309,'ZIP Coordinates'!$A:$A,0))))+COS(RADIANS('ZIP Coordinates'!$C$2))*COS(RADIANS(INDEX('ZIP Coordinates'!$C:$C,MATCH($A309,'ZIP Coordinates'!$A:$A,0))))*COS(RADIANS(INDEX('ZIP Coordinates'!$D:$D,MATCH($A309,'ZIP Coordinates'!$A:$A,0))-'ZIP Coordinates'!$D$2))))),"N/A")</f>
        <v>173.39844145979413</v>
      </c>
      <c r="G309" s="3" t="str">
        <f t="shared" si="8"/>
        <v>150-199 mi</v>
      </c>
      <c r="H309" s="27">
        <f>IF(RIGHT($B309,1)="P",1,IF(ISNUMBER(SEARCH("HALF GALLON",$C309)),Assumptions!$B$4,IF(ISNUMBER(SEARCH("GALLON",$C309)),Assumptions!$B$3,IF(ISNUMBER(SEARCH("QUART",$C309)),Assumptions!$B$5,IF(ISNUMBER(SEARCH("PINT",$C309)),Assumptions!$B$6,Assumptions!$B$7)))))</f>
        <v>1</v>
      </c>
      <c r="I309" s="27">
        <f t="shared" si="9"/>
        <v>6</v>
      </c>
    </row>
    <row r="310" spans="1:9" x14ac:dyDescent="0.2">
      <c r="A310" s="3" t="s">
        <v>15</v>
      </c>
      <c r="B310" s="3" t="s">
        <v>250</v>
      </c>
      <c r="C310" s="3" t="s">
        <v>249</v>
      </c>
      <c r="D310" s="3" t="s">
        <v>128</v>
      </c>
      <c r="E310" s="4">
        <v>5</v>
      </c>
      <c r="F310" s="5">
        <f>IFERROR(3958.8*ACOS(MIN(1,MAX(-1,SIN(RADIANS('ZIP Coordinates'!$C$2))*SIN(RADIANS(INDEX('ZIP Coordinates'!$C:$C,MATCH($A310,'ZIP Coordinates'!$A:$A,0))))+COS(RADIANS('ZIP Coordinates'!$C$2))*COS(RADIANS(INDEX('ZIP Coordinates'!$C:$C,MATCH($A310,'ZIP Coordinates'!$A:$A,0))))*COS(RADIANS(INDEX('ZIP Coordinates'!$D:$D,MATCH($A310,'ZIP Coordinates'!$A:$A,0))-'ZIP Coordinates'!$D$2))))),"N/A")</f>
        <v>173.39844145979413</v>
      </c>
      <c r="G310" s="3" t="str">
        <f t="shared" si="8"/>
        <v>150-199 mi</v>
      </c>
      <c r="H310" s="27">
        <f>IF(RIGHT($B310,1)="P",1,IF(ISNUMBER(SEARCH("HALF GALLON",$C310)),Assumptions!$B$4,IF(ISNUMBER(SEARCH("GALLON",$C310)),Assumptions!$B$3,IF(ISNUMBER(SEARCH("QUART",$C310)),Assumptions!$B$5,IF(ISNUMBER(SEARCH("PINT",$C310)),Assumptions!$B$6,Assumptions!$B$7)))))</f>
        <v>1</v>
      </c>
      <c r="I310" s="27">
        <f t="shared" si="9"/>
        <v>5</v>
      </c>
    </row>
    <row r="311" spans="1:9" x14ac:dyDescent="0.2">
      <c r="A311" s="3" t="s">
        <v>15</v>
      </c>
      <c r="B311" s="3" t="s">
        <v>250</v>
      </c>
      <c r="C311" s="3" t="s">
        <v>249</v>
      </c>
      <c r="D311" s="3" t="s">
        <v>128</v>
      </c>
      <c r="E311" s="4">
        <v>6</v>
      </c>
      <c r="F311" s="5">
        <f>IFERROR(3958.8*ACOS(MIN(1,MAX(-1,SIN(RADIANS('ZIP Coordinates'!$C$2))*SIN(RADIANS(INDEX('ZIP Coordinates'!$C:$C,MATCH($A311,'ZIP Coordinates'!$A:$A,0))))+COS(RADIANS('ZIP Coordinates'!$C$2))*COS(RADIANS(INDEX('ZIP Coordinates'!$C:$C,MATCH($A311,'ZIP Coordinates'!$A:$A,0))))*COS(RADIANS(INDEX('ZIP Coordinates'!$D:$D,MATCH($A311,'ZIP Coordinates'!$A:$A,0))-'ZIP Coordinates'!$D$2))))),"N/A")</f>
        <v>173.39844145979413</v>
      </c>
      <c r="G311" s="3" t="str">
        <f t="shared" si="8"/>
        <v>150-199 mi</v>
      </c>
      <c r="H311" s="27">
        <f>IF(RIGHT($B311,1)="P",1,IF(ISNUMBER(SEARCH("HALF GALLON",$C311)),Assumptions!$B$4,IF(ISNUMBER(SEARCH("GALLON",$C311)),Assumptions!$B$3,IF(ISNUMBER(SEARCH("QUART",$C311)),Assumptions!$B$5,IF(ISNUMBER(SEARCH("PINT",$C311)),Assumptions!$B$6,Assumptions!$B$7)))))</f>
        <v>1</v>
      </c>
      <c r="I311" s="27">
        <f t="shared" si="9"/>
        <v>6</v>
      </c>
    </row>
    <row r="312" spans="1:9" x14ac:dyDescent="0.2">
      <c r="A312" s="3" t="s">
        <v>15</v>
      </c>
      <c r="B312" s="3" t="s">
        <v>251</v>
      </c>
      <c r="C312" s="3" t="s">
        <v>252</v>
      </c>
      <c r="D312" s="3" t="s">
        <v>93</v>
      </c>
      <c r="E312" s="4">
        <v>106</v>
      </c>
      <c r="F312" s="5">
        <f>IFERROR(3958.8*ACOS(MIN(1,MAX(-1,SIN(RADIANS('ZIP Coordinates'!$C$2))*SIN(RADIANS(INDEX('ZIP Coordinates'!$C:$C,MATCH($A312,'ZIP Coordinates'!$A:$A,0))))+COS(RADIANS('ZIP Coordinates'!$C$2))*COS(RADIANS(INDEX('ZIP Coordinates'!$C:$C,MATCH($A312,'ZIP Coordinates'!$A:$A,0))))*COS(RADIANS(INDEX('ZIP Coordinates'!$D:$D,MATCH($A312,'ZIP Coordinates'!$A:$A,0))-'ZIP Coordinates'!$D$2))))),"N/A")</f>
        <v>173.39844145979413</v>
      </c>
      <c r="G312" s="3" t="str">
        <f t="shared" si="8"/>
        <v>150-199 mi</v>
      </c>
      <c r="H312" s="27">
        <f>IF(RIGHT($B312,1)="P",1,IF(ISNUMBER(SEARCH("HALF GALLON",$C312)),Assumptions!$B$4,IF(ISNUMBER(SEARCH("GALLON",$C312)),Assumptions!$B$3,IF(ISNUMBER(SEARCH("QUART",$C312)),Assumptions!$B$5,IF(ISNUMBER(SEARCH("PINT",$C312)),Assumptions!$B$6,Assumptions!$B$7)))))</f>
        <v>1</v>
      </c>
      <c r="I312" s="27">
        <f t="shared" si="9"/>
        <v>106</v>
      </c>
    </row>
    <row r="313" spans="1:9" x14ac:dyDescent="0.2">
      <c r="A313" s="3" t="s">
        <v>15</v>
      </c>
      <c r="B313" s="3" t="s">
        <v>251</v>
      </c>
      <c r="C313" s="3" t="s">
        <v>252</v>
      </c>
      <c r="D313" s="3" t="s">
        <v>128</v>
      </c>
      <c r="E313" s="4">
        <v>5</v>
      </c>
      <c r="F313" s="5">
        <f>IFERROR(3958.8*ACOS(MIN(1,MAX(-1,SIN(RADIANS('ZIP Coordinates'!$C$2))*SIN(RADIANS(INDEX('ZIP Coordinates'!$C:$C,MATCH($A313,'ZIP Coordinates'!$A:$A,0))))+COS(RADIANS('ZIP Coordinates'!$C$2))*COS(RADIANS(INDEX('ZIP Coordinates'!$C:$C,MATCH($A313,'ZIP Coordinates'!$A:$A,0))))*COS(RADIANS(INDEX('ZIP Coordinates'!$D:$D,MATCH($A313,'ZIP Coordinates'!$A:$A,0))-'ZIP Coordinates'!$D$2))))),"N/A")</f>
        <v>173.39844145979413</v>
      </c>
      <c r="G313" s="3" t="str">
        <f t="shared" si="8"/>
        <v>150-199 mi</v>
      </c>
      <c r="H313" s="27">
        <f>IF(RIGHT($B313,1)="P",1,IF(ISNUMBER(SEARCH("HALF GALLON",$C313)),Assumptions!$B$4,IF(ISNUMBER(SEARCH("GALLON",$C313)),Assumptions!$B$3,IF(ISNUMBER(SEARCH("QUART",$C313)),Assumptions!$B$5,IF(ISNUMBER(SEARCH("PINT",$C313)),Assumptions!$B$6,Assumptions!$B$7)))))</f>
        <v>1</v>
      </c>
      <c r="I313" s="27">
        <f t="shared" si="9"/>
        <v>5</v>
      </c>
    </row>
    <row r="314" spans="1:9" x14ac:dyDescent="0.2">
      <c r="A314" s="3" t="s">
        <v>15</v>
      </c>
      <c r="B314" s="3" t="s">
        <v>251</v>
      </c>
      <c r="C314" s="3" t="s">
        <v>252</v>
      </c>
      <c r="D314" s="3" t="s">
        <v>128</v>
      </c>
      <c r="E314" s="4">
        <v>6</v>
      </c>
      <c r="F314" s="5">
        <f>IFERROR(3958.8*ACOS(MIN(1,MAX(-1,SIN(RADIANS('ZIP Coordinates'!$C$2))*SIN(RADIANS(INDEX('ZIP Coordinates'!$C:$C,MATCH($A314,'ZIP Coordinates'!$A:$A,0))))+COS(RADIANS('ZIP Coordinates'!$C$2))*COS(RADIANS(INDEX('ZIP Coordinates'!$C:$C,MATCH($A314,'ZIP Coordinates'!$A:$A,0))))*COS(RADIANS(INDEX('ZIP Coordinates'!$D:$D,MATCH($A314,'ZIP Coordinates'!$A:$A,0))-'ZIP Coordinates'!$D$2))))),"N/A")</f>
        <v>173.39844145979413</v>
      </c>
      <c r="G314" s="3" t="str">
        <f t="shared" si="8"/>
        <v>150-199 mi</v>
      </c>
      <c r="H314" s="27">
        <f>IF(RIGHT($B314,1)="P",1,IF(ISNUMBER(SEARCH("HALF GALLON",$C314)),Assumptions!$B$4,IF(ISNUMBER(SEARCH("GALLON",$C314)),Assumptions!$B$3,IF(ISNUMBER(SEARCH("QUART",$C314)),Assumptions!$B$5,IF(ISNUMBER(SEARCH("PINT",$C314)),Assumptions!$B$6,Assumptions!$B$7)))))</f>
        <v>1</v>
      </c>
      <c r="I314" s="27">
        <f t="shared" si="9"/>
        <v>6</v>
      </c>
    </row>
    <row r="315" spans="1:9" x14ac:dyDescent="0.2">
      <c r="A315" s="3" t="s">
        <v>15</v>
      </c>
      <c r="B315" s="3" t="s">
        <v>251</v>
      </c>
      <c r="C315" s="3" t="s">
        <v>252</v>
      </c>
      <c r="D315" s="3" t="s">
        <v>128</v>
      </c>
      <c r="E315" s="4">
        <v>6</v>
      </c>
      <c r="F315" s="5">
        <f>IFERROR(3958.8*ACOS(MIN(1,MAX(-1,SIN(RADIANS('ZIP Coordinates'!$C$2))*SIN(RADIANS(INDEX('ZIP Coordinates'!$C:$C,MATCH($A315,'ZIP Coordinates'!$A:$A,0))))+COS(RADIANS('ZIP Coordinates'!$C$2))*COS(RADIANS(INDEX('ZIP Coordinates'!$C:$C,MATCH($A315,'ZIP Coordinates'!$A:$A,0))))*COS(RADIANS(INDEX('ZIP Coordinates'!$D:$D,MATCH($A315,'ZIP Coordinates'!$A:$A,0))-'ZIP Coordinates'!$D$2))))),"N/A")</f>
        <v>173.39844145979413</v>
      </c>
      <c r="G315" s="3" t="str">
        <f t="shared" si="8"/>
        <v>150-199 mi</v>
      </c>
      <c r="H315" s="27">
        <f>IF(RIGHT($B315,1)="P",1,IF(ISNUMBER(SEARCH("HALF GALLON",$C315)),Assumptions!$B$4,IF(ISNUMBER(SEARCH("GALLON",$C315)),Assumptions!$B$3,IF(ISNUMBER(SEARCH("QUART",$C315)),Assumptions!$B$5,IF(ISNUMBER(SEARCH("PINT",$C315)),Assumptions!$B$6,Assumptions!$B$7)))))</f>
        <v>1</v>
      </c>
      <c r="I315" s="27">
        <f t="shared" si="9"/>
        <v>6</v>
      </c>
    </row>
    <row r="316" spans="1:9" x14ac:dyDescent="0.2">
      <c r="A316" s="3" t="s">
        <v>15</v>
      </c>
      <c r="B316" s="3" t="s">
        <v>251</v>
      </c>
      <c r="C316" s="3" t="s">
        <v>252</v>
      </c>
      <c r="D316" s="3" t="s">
        <v>128</v>
      </c>
      <c r="E316" s="4">
        <v>5</v>
      </c>
      <c r="F316" s="5">
        <f>IFERROR(3958.8*ACOS(MIN(1,MAX(-1,SIN(RADIANS('ZIP Coordinates'!$C$2))*SIN(RADIANS(INDEX('ZIP Coordinates'!$C:$C,MATCH($A316,'ZIP Coordinates'!$A:$A,0))))+COS(RADIANS('ZIP Coordinates'!$C$2))*COS(RADIANS(INDEX('ZIP Coordinates'!$C:$C,MATCH($A316,'ZIP Coordinates'!$A:$A,0))))*COS(RADIANS(INDEX('ZIP Coordinates'!$D:$D,MATCH($A316,'ZIP Coordinates'!$A:$A,0))-'ZIP Coordinates'!$D$2))))),"N/A")</f>
        <v>173.39844145979413</v>
      </c>
      <c r="G316" s="3" t="str">
        <f t="shared" si="8"/>
        <v>150-199 mi</v>
      </c>
      <c r="H316" s="27">
        <f>IF(RIGHT($B316,1)="P",1,IF(ISNUMBER(SEARCH("HALF GALLON",$C316)),Assumptions!$B$4,IF(ISNUMBER(SEARCH("GALLON",$C316)),Assumptions!$B$3,IF(ISNUMBER(SEARCH("QUART",$C316)),Assumptions!$B$5,IF(ISNUMBER(SEARCH("PINT",$C316)),Assumptions!$B$6,Assumptions!$B$7)))))</f>
        <v>1</v>
      </c>
      <c r="I316" s="27">
        <f t="shared" si="9"/>
        <v>5</v>
      </c>
    </row>
    <row r="317" spans="1:9" x14ac:dyDescent="0.2">
      <c r="A317" s="3" t="s">
        <v>15</v>
      </c>
      <c r="B317" s="3" t="s">
        <v>251</v>
      </c>
      <c r="C317" s="3" t="s">
        <v>252</v>
      </c>
      <c r="D317" s="3" t="s">
        <v>128</v>
      </c>
      <c r="E317" s="4">
        <v>6</v>
      </c>
      <c r="F317" s="5">
        <f>IFERROR(3958.8*ACOS(MIN(1,MAX(-1,SIN(RADIANS('ZIP Coordinates'!$C$2))*SIN(RADIANS(INDEX('ZIP Coordinates'!$C:$C,MATCH($A317,'ZIP Coordinates'!$A:$A,0))))+COS(RADIANS('ZIP Coordinates'!$C$2))*COS(RADIANS(INDEX('ZIP Coordinates'!$C:$C,MATCH($A317,'ZIP Coordinates'!$A:$A,0))))*COS(RADIANS(INDEX('ZIP Coordinates'!$D:$D,MATCH($A317,'ZIP Coordinates'!$A:$A,0))-'ZIP Coordinates'!$D$2))))),"N/A")</f>
        <v>173.39844145979413</v>
      </c>
      <c r="G317" s="3" t="str">
        <f t="shared" si="8"/>
        <v>150-199 mi</v>
      </c>
      <c r="H317" s="27">
        <f>IF(RIGHT($B317,1)="P",1,IF(ISNUMBER(SEARCH("HALF GALLON",$C317)),Assumptions!$B$4,IF(ISNUMBER(SEARCH("GALLON",$C317)),Assumptions!$B$3,IF(ISNUMBER(SEARCH("QUART",$C317)),Assumptions!$B$5,IF(ISNUMBER(SEARCH("PINT",$C317)),Assumptions!$B$6,Assumptions!$B$7)))))</f>
        <v>1</v>
      </c>
      <c r="I317" s="27">
        <f t="shared" si="9"/>
        <v>6</v>
      </c>
    </row>
    <row r="318" spans="1:9" x14ac:dyDescent="0.2">
      <c r="A318" s="3" t="s">
        <v>15</v>
      </c>
      <c r="B318" s="3" t="s">
        <v>282</v>
      </c>
      <c r="C318" s="3" t="s">
        <v>283</v>
      </c>
      <c r="D318" s="3" t="s">
        <v>93</v>
      </c>
      <c r="E318" s="4">
        <v>15</v>
      </c>
      <c r="F318" s="5">
        <f>IFERROR(3958.8*ACOS(MIN(1,MAX(-1,SIN(RADIANS('ZIP Coordinates'!$C$2))*SIN(RADIANS(INDEX('ZIP Coordinates'!$C:$C,MATCH($A318,'ZIP Coordinates'!$A:$A,0))))+COS(RADIANS('ZIP Coordinates'!$C$2))*COS(RADIANS(INDEX('ZIP Coordinates'!$C:$C,MATCH($A318,'ZIP Coordinates'!$A:$A,0))))*COS(RADIANS(INDEX('ZIP Coordinates'!$D:$D,MATCH($A318,'ZIP Coordinates'!$A:$A,0))-'ZIP Coordinates'!$D$2))))),"N/A")</f>
        <v>173.39844145979413</v>
      </c>
      <c r="G318" s="3" t="str">
        <f t="shared" si="8"/>
        <v>150-199 mi</v>
      </c>
      <c r="H318" s="27">
        <f>IF(RIGHT($B318,1)="P",1,IF(ISNUMBER(SEARCH("HALF GALLON",$C318)),Assumptions!$B$4,IF(ISNUMBER(SEARCH("GALLON",$C318)),Assumptions!$B$3,IF(ISNUMBER(SEARCH("QUART",$C318)),Assumptions!$B$5,IF(ISNUMBER(SEARCH("PINT",$C318)),Assumptions!$B$6,Assumptions!$B$7)))))</f>
        <v>1</v>
      </c>
      <c r="I318" s="27">
        <f t="shared" si="9"/>
        <v>15</v>
      </c>
    </row>
    <row r="319" spans="1:9" x14ac:dyDescent="0.2">
      <c r="A319" s="3" t="s">
        <v>15</v>
      </c>
      <c r="B319" s="3" t="s">
        <v>282</v>
      </c>
      <c r="C319" s="3" t="s">
        <v>283</v>
      </c>
      <c r="D319" s="3" t="s">
        <v>128</v>
      </c>
      <c r="E319" s="4">
        <v>4</v>
      </c>
      <c r="F319" s="5">
        <f>IFERROR(3958.8*ACOS(MIN(1,MAX(-1,SIN(RADIANS('ZIP Coordinates'!$C$2))*SIN(RADIANS(INDEX('ZIP Coordinates'!$C:$C,MATCH($A319,'ZIP Coordinates'!$A:$A,0))))+COS(RADIANS('ZIP Coordinates'!$C$2))*COS(RADIANS(INDEX('ZIP Coordinates'!$C:$C,MATCH($A319,'ZIP Coordinates'!$A:$A,0))))*COS(RADIANS(INDEX('ZIP Coordinates'!$D:$D,MATCH($A319,'ZIP Coordinates'!$A:$A,0))-'ZIP Coordinates'!$D$2))))),"N/A")</f>
        <v>173.39844145979413</v>
      </c>
      <c r="G319" s="3" t="str">
        <f t="shared" si="8"/>
        <v>150-199 mi</v>
      </c>
      <c r="H319" s="27">
        <f>IF(RIGHT($B319,1)="P",1,IF(ISNUMBER(SEARCH("HALF GALLON",$C319)),Assumptions!$B$4,IF(ISNUMBER(SEARCH("GALLON",$C319)),Assumptions!$B$3,IF(ISNUMBER(SEARCH("QUART",$C319)),Assumptions!$B$5,IF(ISNUMBER(SEARCH("PINT",$C319)),Assumptions!$B$6,Assumptions!$B$7)))))</f>
        <v>1</v>
      </c>
      <c r="I319" s="27">
        <f t="shared" si="9"/>
        <v>4</v>
      </c>
    </row>
    <row r="320" spans="1:9" x14ac:dyDescent="0.2">
      <c r="A320" s="3" t="s">
        <v>15</v>
      </c>
      <c r="B320" s="3" t="s">
        <v>284</v>
      </c>
      <c r="C320" s="3" t="s">
        <v>285</v>
      </c>
      <c r="D320" s="3" t="s">
        <v>93</v>
      </c>
      <c r="E320" s="4">
        <v>23</v>
      </c>
      <c r="F320" s="5">
        <f>IFERROR(3958.8*ACOS(MIN(1,MAX(-1,SIN(RADIANS('ZIP Coordinates'!$C$2))*SIN(RADIANS(INDEX('ZIP Coordinates'!$C:$C,MATCH($A320,'ZIP Coordinates'!$A:$A,0))))+COS(RADIANS('ZIP Coordinates'!$C$2))*COS(RADIANS(INDEX('ZIP Coordinates'!$C:$C,MATCH($A320,'ZIP Coordinates'!$A:$A,0))))*COS(RADIANS(INDEX('ZIP Coordinates'!$D:$D,MATCH($A320,'ZIP Coordinates'!$A:$A,0))-'ZIP Coordinates'!$D$2))))),"N/A")</f>
        <v>173.39844145979413</v>
      </c>
      <c r="G320" s="3" t="str">
        <f t="shared" si="8"/>
        <v>150-199 mi</v>
      </c>
      <c r="H320" s="27">
        <f>IF(RIGHT($B320,1)="P",1,IF(ISNUMBER(SEARCH("HALF GALLON",$C320)),Assumptions!$B$4,IF(ISNUMBER(SEARCH("GALLON",$C320)),Assumptions!$B$3,IF(ISNUMBER(SEARCH("QUART",$C320)),Assumptions!$B$5,IF(ISNUMBER(SEARCH("PINT",$C320)),Assumptions!$B$6,Assumptions!$B$7)))))</f>
        <v>1</v>
      </c>
      <c r="I320" s="27">
        <f t="shared" si="9"/>
        <v>23</v>
      </c>
    </row>
    <row r="321" spans="1:9" x14ac:dyDescent="0.2">
      <c r="A321" s="3" t="s">
        <v>15</v>
      </c>
      <c r="B321" s="3" t="s">
        <v>284</v>
      </c>
      <c r="C321" s="3" t="s">
        <v>285</v>
      </c>
      <c r="D321" s="3" t="s">
        <v>128</v>
      </c>
      <c r="E321" s="4">
        <v>2</v>
      </c>
      <c r="F321" s="5">
        <f>IFERROR(3958.8*ACOS(MIN(1,MAX(-1,SIN(RADIANS('ZIP Coordinates'!$C$2))*SIN(RADIANS(INDEX('ZIP Coordinates'!$C:$C,MATCH($A321,'ZIP Coordinates'!$A:$A,0))))+COS(RADIANS('ZIP Coordinates'!$C$2))*COS(RADIANS(INDEX('ZIP Coordinates'!$C:$C,MATCH($A321,'ZIP Coordinates'!$A:$A,0))))*COS(RADIANS(INDEX('ZIP Coordinates'!$D:$D,MATCH($A321,'ZIP Coordinates'!$A:$A,0))-'ZIP Coordinates'!$D$2))))),"N/A")</f>
        <v>173.39844145979413</v>
      </c>
      <c r="G321" s="3" t="str">
        <f t="shared" si="8"/>
        <v>150-199 mi</v>
      </c>
      <c r="H321" s="27">
        <f>IF(RIGHT($B321,1)="P",1,IF(ISNUMBER(SEARCH("HALF GALLON",$C321)),Assumptions!$B$4,IF(ISNUMBER(SEARCH("GALLON",$C321)),Assumptions!$B$3,IF(ISNUMBER(SEARCH("QUART",$C321)),Assumptions!$B$5,IF(ISNUMBER(SEARCH("PINT",$C321)),Assumptions!$B$6,Assumptions!$B$7)))))</f>
        <v>1</v>
      </c>
      <c r="I321" s="27">
        <f t="shared" si="9"/>
        <v>2</v>
      </c>
    </row>
    <row r="322" spans="1:9" x14ac:dyDescent="0.2">
      <c r="A322" s="3" t="s">
        <v>15</v>
      </c>
      <c r="B322" s="3" t="s">
        <v>284</v>
      </c>
      <c r="C322" s="3" t="s">
        <v>285</v>
      </c>
      <c r="D322" s="3" t="s">
        <v>128</v>
      </c>
      <c r="E322" s="4">
        <v>4</v>
      </c>
      <c r="F322" s="5">
        <f>IFERROR(3958.8*ACOS(MIN(1,MAX(-1,SIN(RADIANS('ZIP Coordinates'!$C$2))*SIN(RADIANS(INDEX('ZIP Coordinates'!$C:$C,MATCH($A322,'ZIP Coordinates'!$A:$A,0))))+COS(RADIANS('ZIP Coordinates'!$C$2))*COS(RADIANS(INDEX('ZIP Coordinates'!$C:$C,MATCH($A322,'ZIP Coordinates'!$A:$A,0))))*COS(RADIANS(INDEX('ZIP Coordinates'!$D:$D,MATCH($A322,'ZIP Coordinates'!$A:$A,0))-'ZIP Coordinates'!$D$2))))),"N/A")</f>
        <v>173.39844145979413</v>
      </c>
      <c r="G322" s="3" t="str">
        <f t="shared" ref="G322:G385" si="10">IF($F322="N/A","Unknown",IF($F322&lt;50,"0-49 mi",IF($F322&lt;100,"50-99 mi",IF($F322&lt;150,"100-149 mi",IF($F322&lt;200,"150-199 mi","200+ mi")))))</f>
        <v>150-199 mi</v>
      </c>
      <c r="H322" s="27">
        <f>IF(RIGHT($B322,1)="P",1,IF(ISNUMBER(SEARCH("HALF GALLON",$C322)),Assumptions!$B$4,IF(ISNUMBER(SEARCH("GALLON",$C322)),Assumptions!$B$3,IF(ISNUMBER(SEARCH("QUART",$C322)),Assumptions!$B$5,IF(ISNUMBER(SEARCH("PINT",$C322)),Assumptions!$B$6,Assumptions!$B$7)))))</f>
        <v>1</v>
      </c>
      <c r="I322" s="27">
        <f t="shared" si="9"/>
        <v>4</v>
      </c>
    </row>
    <row r="323" spans="1:9" x14ac:dyDescent="0.2">
      <c r="A323" s="3" t="s">
        <v>15</v>
      </c>
      <c r="B323" s="3" t="s">
        <v>284</v>
      </c>
      <c r="C323" s="3" t="s">
        <v>285</v>
      </c>
      <c r="D323" s="3" t="s">
        <v>128</v>
      </c>
      <c r="E323" s="4">
        <v>2</v>
      </c>
      <c r="F323" s="5">
        <f>IFERROR(3958.8*ACOS(MIN(1,MAX(-1,SIN(RADIANS('ZIP Coordinates'!$C$2))*SIN(RADIANS(INDEX('ZIP Coordinates'!$C:$C,MATCH($A323,'ZIP Coordinates'!$A:$A,0))))+COS(RADIANS('ZIP Coordinates'!$C$2))*COS(RADIANS(INDEX('ZIP Coordinates'!$C:$C,MATCH($A323,'ZIP Coordinates'!$A:$A,0))))*COS(RADIANS(INDEX('ZIP Coordinates'!$D:$D,MATCH($A323,'ZIP Coordinates'!$A:$A,0))-'ZIP Coordinates'!$D$2))))),"N/A")</f>
        <v>173.39844145979413</v>
      </c>
      <c r="G323" s="3" t="str">
        <f t="shared" si="10"/>
        <v>150-199 mi</v>
      </c>
      <c r="H323" s="27">
        <f>IF(RIGHT($B323,1)="P",1,IF(ISNUMBER(SEARCH("HALF GALLON",$C323)),Assumptions!$B$4,IF(ISNUMBER(SEARCH("GALLON",$C323)),Assumptions!$B$3,IF(ISNUMBER(SEARCH("QUART",$C323)),Assumptions!$B$5,IF(ISNUMBER(SEARCH("PINT",$C323)),Assumptions!$B$6,Assumptions!$B$7)))))</f>
        <v>1</v>
      </c>
      <c r="I323" s="27">
        <f t="shared" ref="I323:I386" si="11">$E323*$H323</f>
        <v>2</v>
      </c>
    </row>
    <row r="324" spans="1:9" x14ac:dyDescent="0.2">
      <c r="A324" s="3" t="s">
        <v>15</v>
      </c>
      <c r="B324" s="3" t="s">
        <v>253</v>
      </c>
      <c r="C324" s="3" t="s">
        <v>254</v>
      </c>
      <c r="D324" s="3" t="s">
        <v>128</v>
      </c>
      <c r="E324" s="4">
        <v>1</v>
      </c>
      <c r="F324" s="5">
        <f>IFERROR(3958.8*ACOS(MIN(1,MAX(-1,SIN(RADIANS('ZIP Coordinates'!$C$2))*SIN(RADIANS(INDEX('ZIP Coordinates'!$C:$C,MATCH($A324,'ZIP Coordinates'!$A:$A,0))))+COS(RADIANS('ZIP Coordinates'!$C$2))*COS(RADIANS(INDEX('ZIP Coordinates'!$C:$C,MATCH($A324,'ZIP Coordinates'!$A:$A,0))))*COS(RADIANS(INDEX('ZIP Coordinates'!$D:$D,MATCH($A324,'ZIP Coordinates'!$A:$A,0))-'ZIP Coordinates'!$D$2))))),"N/A")</f>
        <v>173.39844145979413</v>
      </c>
      <c r="G324" s="3" t="str">
        <f t="shared" si="10"/>
        <v>150-199 mi</v>
      </c>
      <c r="H324" s="27">
        <f>IF(RIGHT($B324,1)="P",1,IF(ISNUMBER(SEARCH("HALF GALLON",$C324)),Assumptions!$B$4,IF(ISNUMBER(SEARCH("GALLON",$C324)),Assumptions!$B$3,IF(ISNUMBER(SEARCH("QUART",$C324)),Assumptions!$B$5,IF(ISNUMBER(SEARCH("PINT",$C324)),Assumptions!$B$6,Assumptions!$B$7)))))</f>
        <v>1</v>
      </c>
      <c r="I324" s="27">
        <f t="shared" si="11"/>
        <v>1</v>
      </c>
    </row>
    <row r="325" spans="1:9" x14ac:dyDescent="0.2">
      <c r="A325" s="3" t="s">
        <v>15</v>
      </c>
      <c r="B325" s="3" t="s">
        <v>253</v>
      </c>
      <c r="C325" s="3" t="s">
        <v>254</v>
      </c>
      <c r="D325" s="3" t="s">
        <v>128</v>
      </c>
      <c r="E325" s="4">
        <v>1</v>
      </c>
      <c r="F325" s="5">
        <f>IFERROR(3958.8*ACOS(MIN(1,MAX(-1,SIN(RADIANS('ZIP Coordinates'!$C$2))*SIN(RADIANS(INDEX('ZIP Coordinates'!$C:$C,MATCH($A325,'ZIP Coordinates'!$A:$A,0))))+COS(RADIANS('ZIP Coordinates'!$C$2))*COS(RADIANS(INDEX('ZIP Coordinates'!$C:$C,MATCH($A325,'ZIP Coordinates'!$A:$A,0))))*COS(RADIANS(INDEX('ZIP Coordinates'!$D:$D,MATCH($A325,'ZIP Coordinates'!$A:$A,0))-'ZIP Coordinates'!$D$2))))),"N/A")</f>
        <v>173.39844145979413</v>
      </c>
      <c r="G325" s="3" t="str">
        <f t="shared" si="10"/>
        <v>150-199 mi</v>
      </c>
      <c r="H325" s="27">
        <f>IF(RIGHT($B325,1)="P",1,IF(ISNUMBER(SEARCH("HALF GALLON",$C325)),Assumptions!$B$4,IF(ISNUMBER(SEARCH("GALLON",$C325)),Assumptions!$B$3,IF(ISNUMBER(SEARCH("QUART",$C325)),Assumptions!$B$5,IF(ISNUMBER(SEARCH("PINT",$C325)),Assumptions!$B$6,Assumptions!$B$7)))))</f>
        <v>1</v>
      </c>
      <c r="I325" s="27">
        <f t="shared" si="11"/>
        <v>1</v>
      </c>
    </row>
    <row r="326" spans="1:9" x14ac:dyDescent="0.2">
      <c r="A326" s="3" t="s">
        <v>15</v>
      </c>
      <c r="B326" s="3" t="s">
        <v>253</v>
      </c>
      <c r="C326" s="3" t="s">
        <v>254</v>
      </c>
      <c r="D326" s="3" t="s">
        <v>128</v>
      </c>
      <c r="E326" s="4">
        <v>1</v>
      </c>
      <c r="F326" s="5">
        <f>IFERROR(3958.8*ACOS(MIN(1,MAX(-1,SIN(RADIANS('ZIP Coordinates'!$C$2))*SIN(RADIANS(INDEX('ZIP Coordinates'!$C:$C,MATCH($A326,'ZIP Coordinates'!$A:$A,0))))+COS(RADIANS('ZIP Coordinates'!$C$2))*COS(RADIANS(INDEX('ZIP Coordinates'!$C:$C,MATCH($A326,'ZIP Coordinates'!$A:$A,0))))*COS(RADIANS(INDEX('ZIP Coordinates'!$D:$D,MATCH($A326,'ZIP Coordinates'!$A:$A,0))-'ZIP Coordinates'!$D$2))))),"N/A")</f>
        <v>173.39844145979413</v>
      </c>
      <c r="G326" s="3" t="str">
        <f t="shared" si="10"/>
        <v>150-199 mi</v>
      </c>
      <c r="H326" s="27">
        <f>IF(RIGHT($B326,1)="P",1,IF(ISNUMBER(SEARCH("HALF GALLON",$C326)),Assumptions!$B$4,IF(ISNUMBER(SEARCH("GALLON",$C326)),Assumptions!$B$3,IF(ISNUMBER(SEARCH("QUART",$C326)),Assumptions!$B$5,IF(ISNUMBER(SEARCH("PINT",$C326)),Assumptions!$B$6,Assumptions!$B$7)))))</f>
        <v>1</v>
      </c>
      <c r="I326" s="27">
        <f t="shared" si="11"/>
        <v>1</v>
      </c>
    </row>
    <row r="327" spans="1:9" x14ac:dyDescent="0.2">
      <c r="A327" s="3" t="s">
        <v>15</v>
      </c>
      <c r="B327" s="3" t="s">
        <v>253</v>
      </c>
      <c r="C327" s="3" t="s">
        <v>254</v>
      </c>
      <c r="D327" s="3" t="s">
        <v>128</v>
      </c>
      <c r="E327" s="4">
        <v>2</v>
      </c>
      <c r="F327" s="5">
        <f>IFERROR(3958.8*ACOS(MIN(1,MAX(-1,SIN(RADIANS('ZIP Coordinates'!$C$2))*SIN(RADIANS(INDEX('ZIP Coordinates'!$C:$C,MATCH($A327,'ZIP Coordinates'!$A:$A,0))))+COS(RADIANS('ZIP Coordinates'!$C$2))*COS(RADIANS(INDEX('ZIP Coordinates'!$C:$C,MATCH($A327,'ZIP Coordinates'!$A:$A,0))))*COS(RADIANS(INDEX('ZIP Coordinates'!$D:$D,MATCH($A327,'ZIP Coordinates'!$A:$A,0))-'ZIP Coordinates'!$D$2))))),"N/A")</f>
        <v>173.39844145979413</v>
      </c>
      <c r="G327" s="3" t="str">
        <f t="shared" si="10"/>
        <v>150-199 mi</v>
      </c>
      <c r="H327" s="27">
        <f>IF(RIGHT($B327,1)="P",1,IF(ISNUMBER(SEARCH("HALF GALLON",$C327)),Assumptions!$B$4,IF(ISNUMBER(SEARCH("GALLON",$C327)),Assumptions!$B$3,IF(ISNUMBER(SEARCH("QUART",$C327)),Assumptions!$B$5,IF(ISNUMBER(SEARCH("PINT",$C327)),Assumptions!$B$6,Assumptions!$B$7)))))</f>
        <v>1</v>
      </c>
      <c r="I327" s="27">
        <f t="shared" si="11"/>
        <v>2</v>
      </c>
    </row>
    <row r="328" spans="1:9" x14ac:dyDescent="0.2">
      <c r="A328" s="3" t="s">
        <v>15</v>
      </c>
      <c r="B328" s="3" t="s">
        <v>288</v>
      </c>
      <c r="C328" s="3" t="s">
        <v>287</v>
      </c>
      <c r="D328" s="3" t="s">
        <v>93</v>
      </c>
      <c r="E328" s="4">
        <v>166</v>
      </c>
      <c r="F328" s="5">
        <f>IFERROR(3958.8*ACOS(MIN(1,MAX(-1,SIN(RADIANS('ZIP Coordinates'!$C$2))*SIN(RADIANS(INDEX('ZIP Coordinates'!$C:$C,MATCH($A328,'ZIP Coordinates'!$A:$A,0))))+COS(RADIANS('ZIP Coordinates'!$C$2))*COS(RADIANS(INDEX('ZIP Coordinates'!$C:$C,MATCH($A328,'ZIP Coordinates'!$A:$A,0))))*COS(RADIANS(INDEX('ZIP Coordinates'!$D:$D,MATCH($A328,'ZIP Coordinates'!$A:$A,0))-'ZIP Coordinates'!$D$2))))),"N/A")</f>
        <v>173.39844145979413</v>
      </c>
      <c r="G328" s="3" t="str">
        <f t="shared" si="10"/>
        <v>150-199 mi</v>
      </c>
      <c r="H328" s="27">
        <f>IF(RIGHT($B328,1)="P",1,IF(ISNUMBER(SEARCH("HALF GALLON",$C328)),Assumptions!$B$4,IF(ISNUMBER(SEARCH("GALLON",$C328)),Assumptions!$B$3,IF(ISNUMBER(SEARCH("QUART",$C328)),Assumptions!$B$5,IF(ISNUMBER(SEARCH("PINT",$C328)),Assumptions!$B$6,Assumptions!$B$7)))))</f>
        <v>1</v>
      </c>
      <c r="I328" s="27">
        <f t="shared" si="11"/>
        <v>166</v>
      </c>
    </row>
    <row r="329" spans="1:9" x14ac:dyDescent="0.2">
      <c r="A329" s="3" t="s">
        <v>15</v>
      </c>
      <c r="B329" s="3" t="s">
        <v>257</v>
      </c>
      <c r="C329" s="3" t="s">
        <v>256</v>
      </c>
      <c r="D329" s="3" t="s">
        <v>93</v>
      </c>
      <c r="E329" s="4">
        <v>630</v>
      </c>
      <c r="F329" s="5">
        <f>IFERROR(3958.8*ACOS(MIN(1,MAX(-1,SIN(RADIANS('ZIP Coordinates'!$C$2))*SIN(RADIANS(INDEX('ZIP Coordinates'!$C:$C,MATCH($A329,'ZIP Coordinates'!$A:$A,0))))+COS(RADIANS('ZIP Coordinates'!$C$2))*COS(RADIANS(INDEX('ZIP Coordinates'!$C:$C,MATCH($A329,'ZIP Coordinates'!$A:$A,0))))*COS(RADIANS(INDEX('ZIP Coordinates'!$D:$D,MATCH($A329,'ZIP Coordinates'!$A:$A,0))-'ZIP Coordinates'!$D$2))))),"N/A")</f>
        <v>173.39844145979413</v>
      </c>
      <c r="G329" s="3" t="str">
        <f t="shared" si="10"/>
        <v>150-199 mi</v>
      </c>
      <c r="H329" s="27">
        <f>IF(RIGHT($B329,1)="P",1,IF(ISNUMBER(SEARCH("HALF GALLON",$C329)),Assumptions!$B$4,IF(ISNUMBER(SEARCH("GALLON",$C329)),Assumptions!$B$3,IF(ISNUMBER(SEARCH("QUART",$C329)),Assumptions!$B$5,IF(ISNUMBER(SEARCH("PINT",$C329)),Assumptions!$B$6,Assumptions!$B$7)))))</f>
        <v>1</v>
      </c>
      <c r="I329" s="27">
        <f t="shared" si="11"/>
        <v>630</v>
      </c>
    </row>
    <row r="330" spans="1:9" x14ac:dyDescent="0.2">
      <c r="A330" s="3" t="s">
        <v>15</v>
      </c>
      <c r="B330" s="3" t="s">
        <v>257</v>
      </c>
      <c r="C330" s="3" t="s">
        <v>256</v>
      </c>
      <c r="D330" s="3" t="s">
        <v>128</v>
      </c>
      <c r="E330" s="4">
        <v>8</v>
      </c>
      <c r="F330" s="5">
        <f>IFERROR(3958.8*ACOS(MIN(1,MAX(-1,SIN(RADIANS('ZIP Coordinates'!$C$2))*SIN(RADIANS(INDEX('ZIP Coordinates'!$C:$C,MATCH($A330,'ZIP Coordinates'!$A:$A,0))))+COS(RADIANS('ZIP Coordinates'!$C$2))*COS(RADIANS(INDEX('ZIP Coordinates'!$C:$C,MATCH($A330,'ZIP Coordinates'!$A:$A,0))))*COS(RADIANS(INDEX('ZIP Coordinates'!$D:$D,MATCH($A330,'ZIP Coordinates'!$A:$A,0))-'ZIP Coordinates'!$D$2))))),"N/A")</f>
        <v>173.39844145979413</v>
      </c>
      <c r="G330" s="3" t="str">
        <f t="shared" si="10"/>
        <v>150-199 mi</v>
      </c>
      <c r="H330" s="27">
        <f>IF(RIGHT($B330,1)="P",1,IF(ISNUMBER(SEARCH("HALF GALLON",$C330)),Assumptions!$B$4,IF(ISNUMBER(SEARCH("GALLON",$C330)),Assumptions!$B$3,IF(ISNUMBER(SEARCH("QUART",$C330)),Assumptions!$B$5,IF(ISNUMBER(SEARCH("PINT",$C330)),Assumptions!$B$6,Assumptions!$B$7)))))</f>
        <v>1</v>
      </c>
      <c r="I330" s="27">
        <f t="shared" si="11"/>
        <v>8</v>
      </c>
    </row>
    <row r="331" spans="1:9" x14ac:dyDescent="0.2">
      <c r="A331" s="3" t="s">
        <v>15</v>
      </c>
      <c r="B331" s="3" t="s">
        <v>257</v>
      </c>
      <c r="C331" s="3" t="s">
        <v>256</v>
      </c>
      <c r="D331" s="3" t="s">
        <v>128</v>
      </c>
      <c r="E331" s="4">
        <v>7</v>
      </c>
      <c r="F331" s="5">
        <f>IFERROR(3958.8*ACOS(MIN(1,MAX(-1,SIN(RADIANS('ZIP Coordinates'!$C$2))*SIN(RADIANS(INDEX('ZIP Coordinates'!$C:$C,MATCH($A331,'ZIP Coordinates'!$A:$A,0))))+COS(RADIANS('ZIP Coordinates'!$C$2))*COS(RADIANS(INDEX('ZIP Coordinates'!$C:$C,MATCH($A331,'ZIP Coordinates'!$A:$A,0))))*COS(RADIANS(INDEX('ZIP Coordinates'!$D:$D,MATCH($A331,'ZIP Coordinates'!$A:$A,0))-'ZIP Coordinates'!$D$2))))),"N/A")</f>
        <v>173.39844145979413</v>
      </c>
      <c r="G331" s="3" t="str">
        <f t="shared" si="10"/>
        <v>150-199 mi</v>
      </c>
      <c r="H331" s="27">
        <f>IF(RIGHT($B331,1)="P",1,IF(ISNUMBER(SEARCH("HALF GALLON",$C331)),Assumptions!$B$4,IF(ISNUMBER(SEARCH("GALLON",$C331)),Assumptions!$B$3,IF(ISNUMBER(SEARCH("QUART",$C331)),Assumptions!$B$5,IF(ISNUMBER(SEARCH("PINT",$C331)),Assumptions!$B$6,Assumptions!$B$7)))))</f>
        <v>1</v>
      </c>
      <c r="I331" s="27">
        <f t="shared" si="11"/>
        <v>7</v>
      </c>
    </row>
    <row r="332" spans="1:9" x14ac:dyDescent="0.2">
      <c r="A332" s="3" t="s">
        <v>15</v>
      </c>
      <c r="B332" s="3" t="s">
        <v>257</v>
      </c>
      <c r="C332" s="3" t="s">
        <v>256</v>
      </c>
      <c r="D332" s="3" t="s">
        <v>128</v>
      </c>
      <c r="E332" s="4">
        <v>8</v>
      </c>
      <c r="F332" s="5">
        <f>IFERROR(3958.8*ACOS(MIN(1,MAX(-1,SIN(RADIANS('ZIP Coordinates'!$C$2))*SIN(RADIANS(INDEX('ZIP Coordinates'!$C:$C,MATCH($A332,'ZIP Coordinates'!$A:$A,0))))+COS(RADIANS('ZIP Coordinates'!$C$2))*COS(RADIANS(INDEX('ZIP Coordinates'!$C:$C,MATCH($A332,'ZIP Coordinates'!$A:$A,0))))*COS(RADIANS(INDEX('ZIP Coordinates'!$D:$D,MATCH($A332,'ZIP Coordinates'!$A:$A,0))-'ZIP Coordinates'!$D$2))))),"N/A")</f>
        <v>173.39844145979413</v>
      </c>
      <c r="G332" s="3" t="str">
        <f t="shared" si="10"/>
        <v>150-199 mi</v>
      </c>
      <c r="H332" s="27">
        <f>IF(RIGHT($B332,1)="P",1,IF(ISNUMBER(SEARCH("HALF GALLON",$C332)),Assumptions!$B$4,IF(ISNUMBER(SEARCH("GALLON",$C332)),Assumptions!$B$3,IF(ISNUMBER(SEARCH("QUART",$C332)),Assumptions!$B$5,IF(ISNUMBER(SEARCH("PINT",$C332)),Assumptions!$B$6,Assumptions!$B$7)))))</f>
        <v>1</v>
      </c>
      <c r="I332" s="27">
        <f t="shared" si="11"/>
        <v>8</v>
      </c>
    </row>
    <row r="333" spans="1:9" x14ac:dyDescent="0.2">
      <c r="A333" s="3" t="s">
        <v>15</v>
      </c>
      <c r="B333" s="3" t="s">
        <v>257</v>
      </c>
      <c r="C333" s="3" t="s">
        <v>256</v>
      </c>
      <c r="D333" s="3" t="s">
        <v>128</v>
      </c>
      <c r="E333" s="4">
        <v>6</v>
      </c>
      <c r="F333" s="5">
        <f>IFERROR(3958.8*ACOS(MIN(1,MAX(-1,SIN(RADIANS('ZIP Coordinates'!$C$2))*SIN(RADIANS(INDEX('ZIP Coordinates'!$C:$C,MATCH($A333,'ZIP Coordinates'!$A:$A,0))))+COS(RADIANS('ZIP Coordinates'!$C$2))*COS(RADIANS(INDEX('ZIP Coordinates'!$C:$C,MATCH($A333,'ZIP Coordinates'!$A:$A,0))))*COS(RADIANS(INDEX('ZIP Coordinates'!$D:$D,MATCH($A333,'ZIP Coordinates'!$A:$A,0))-'ZIP Coordinates'!$D$2))))),"N/A")</f>
        <v>173.39844145979413</v>
      </c>
      <c r="G333" s="3" t="str">
        <f t="shared" si="10"/>
        <v>150-199 mi</v>
      </c>
      <c r="H333" s="27">
        <f>IF(RIGHT($B333,1)="P",1,IF(ISNUMBER(SEARCH("HALF GALLON",$C333)),Assumptions!$B$4,IF(ISNUMBER(SEARCH("GALLON",$C333)),Assumptions!$B$3,IF(ISNUMBER(SEARCH("QUART",$C333)),Assumptions!$B$5,IF(ISNUMBER(SEARCH("PINT",$C333)),Assumptions!$B$6,Assumptions!$B$7)))))</f>
        <v>1</v>
      </c>
      <c r="I333" s="27">
        <f t="shared" si="11"/>
        <v>6</v>
      </c>
    </row>
    <row r="334" spans="1:9" x14ac:dyDescent="0.2">
      <c r="A334" s="3" t="s">
        <v>15</v>
      </c>
      <c r="B334" s="3" t="s">
        <v>257</v>
      </c>
      <c r="C334" s="3" t="s">
        <v>256</v>
      </c>
      <c r="D334" s="3" t="s">
        <v>128</v>
      </c>
      <c r="E334" s="4">
        <v>10</v>
      </c>
      <c r="F334" s="5">
        <f>IFERROR(3958.8*ACOS(MIN(1,MAX(-1,SIN(RADIANS('ZIP Coordinates'!$C$2))*SIN(RADIANS(INDEX('ZIP Coordinates'!$C:$C,MATCH($A334,'ZIP Coordinates'!$A:$A,0))))+COS(RADIANS('ZIP Coordinates'!$C$2))*COS(RADIANS(INDEX('ZIP Coordinates'!$C:$C,MATCH($A334,'ZIP Coordinates'!$A:$A,0))))*COS(RADIANS(INDEX('ZIP Coordinates'!$D:$D,MATCH($A334,'ZIP Coordinates'!$A:$A,0))-'ZIP Coordinates'!$D$2))))),"N/A")</f>
        <v>173.39844145979413</v>
      </c>
      <c r="G334" s="3" t="str">
        <f t="shared" si="10"/>
        <v>150-199 mi</v>
      </c>
      <c r="H334" s="27">
        <f>IF(RIGHT($B334,1)="P",1,IF(ISNUMBER(SEARCH("HALF GALLON",$C334)),Assumptions!$B$4,IF(ISNUMBER(SEARCH("GALLON",$C334)),Assumptions!$B$3,IF(ISNUMBER(SEARCH("QUART",$C334)),Assumptions!$B$5,IF(ISNUMBER(SEARCH("PINT",$C334)),Assumptions!$B$6,Assumptions!$B$7)))))</f>
        <v>1</v>
      </c>
      <c r="I334" s="27">
        <f t="shared" si="11"/>
        <v>10</v>
      </c>
    </row>
    <row r="335" spans="1:9" x14ac:dyDescent="0.2">
      <c r="A335" s="3" t="s">
        <v>16</v>
      </c>
      <c r="B335" s="3" t="s">
        <v>258</v>
      </c>
      <c r="C335" s="3" t="s">
        <v>240</v>
      </c>
      <c r="D335" s="3" t="s">
        <v>106</v>
      </c>
      <c r="E335" s="4">
        <v>19</v>
      </c>
      <c r="F335" s="5">
        <f>IFERROR(3958.8*ACOS(MIN(1,MAX(-1,SIN(RADIANS('ZIP Coordinates'!$C$2))*SIN(RADIANS(INDEX('ZIP Coordinates'!$C:$C,MATCH($A335,'ZIP Coordinates'!$A:$A,0))))+COS(RADIANS('ZIP Coordinates'!$C$2))*COS(RADIANS(INDEX('ZIP Coordinates'!$C:$C,MATCH($A335,'ZIP Coordinates'!$A:$A,0))))*COS(RADIANS(INDEX('ZIP Coordinates'!$D:$D,MATCH($A335,'ZIP Coordinates'!$A:$A,0))-'ZIP Coordinates'!$D$2))))),"N/A")</f>
        <v>177.87377120840873</v>
      </c>
      <c r="G335" s="3" t="str">
        <f t="shared" si="10"/>
        <v>150-199 mi</v>
      </c>
      <c r="H335" s="27">
        <f>IF(RIGHT($B335,1)="P",1,IF(ISNUMBER(SEARCH("HALF GALLON",$C335)),Assumptions!$B$4,IF(ISNUMBER(SEARCH("GALLON",$C335)),Assumptions!$B$3,IF(ISNUMBER(SEARCH("QUART",$C335)),Assumptions!$B$5,IF(ISNUMBER(SEARCH("PINT",$C335)),Assumptions!$B$6,Assumptions!$B$7)))))</f>
        <v>4</v>
      </c>
      <c r="I335" s="27">
        <f t="shared" si="11"/>
        <v>76</v>
      </c>
    </row>
    <row r="336" spans="1:9" x14ac:dyDescent="0.2">
      <c r="A336" s="3" t="s">
        <v>16</v>
      </c>
      <c r="B336" s="3" t="s">
        <v>259</v>
      </c>
      <c r="C336" s="3" t="s">
        <v>260</v>
      </c>
      <c r="D336" s="3" t="s">
        <v>106</v>
      </c>
      <c r="E336" s="4">
        <v>23</v>
      </c>
      <c r="F336" s="5">
        <f>IFERROR(3958.8*ACOS(MIN(1,MAX(-1,SIN(RADIANS('ZIP Coordinates'!$C$2))*SIN(RADIANS(INDEX('ZIP Coordinates'!$C:$C,MATCH($A336,'ZIP Coordinates'!$A:$A,0))))+COS(RADIANS('ZIP Coordinates'!$C$2))*COS(RADIANS(INDEX('ZIP Coordinates'!$C:$C,MATCH($A336,'ZIP Coordinates'!$A:$A,0))))*COS(RADIANS(INDEX('ZIP Coordinates'!$D:$D,MATCH($A336,'ZIP Coordinates'!$A:$A,0))-'ZIP Coordinates'!$D$2))))),"N/A")</f>
        <v>177.87377120840873</v>
      </c>
      <c r="G336" s="3" t="str">
        <f t="shared" si="10"/>
        <v>150-199 mi</v>
      </c>
      <c r="H336" s="27">
        <f>IF(RIGHT($B336,1)="P",1,IF(ISNUMBER(SEARCH("HALF GALLON",$C336)),Assumptions!$B$4,IF(ISNUMBER(SEARCH("GALLON",$C336)),Assumptions!$B$3,IF(ISNUMBER(SEARCH("QUART",$C336)),Assumptions!$B$5,IF(ISNUMBER(SEARCH("PINT",$C336)),Assumptions!$B$6,Assumptions!$B$7)))))</f>
        <v>4</v>
      </c>
      <c r="I336" s="27">
        <f t="shared" si="11"/>
        <v>92</v>
      </c>
    </row>
    <row r="337" spans="1:9" x14ac:dyDescent="0.2">
      <c r="A337" s="3" t="s">
        <v>16</v>
      </c>
      <c r="B337" s="3" t="s">
        <v>261</v>
      </c>
      <c r="C337" s="3" t="s">
        <v>260</v>
      </c>
      <c r="D337" s="3" t="s">
        <v>106</v>
      </c>
      <c r="E337" s="4">
        <v>2</v>
      </c>
      <c r="F337" s="5">
        <f>IFERROR(3958.8*ACOS(MIN(1,MAX(-1,SIN(RADIANS('ZIP Coordinates'!$C$2))*SIN(RADIANS(INDEX('ZIP Coordinates'!$C:$C,MATCH($A337,'ZIP Coordinates'!$A:$A,0))))+COS(RADIANS('ZIP Coordinates'!$C$2))*COS(RADIANS(INDEX('ZIP Coordinates'!$C:$C,MATCH($A337,'ZIP Coordinates'!$A:$A,0))))*COS(RADIANS(INDEX('ZIP Coordinates'!$D:$D,MATCH($A337,'ZIP Coordinates'!$A:$A,0))-'ZIP Coordinates'!$D$2))))),"N/A")</f>
        <v>177.87377120840873</v>
      </c>
      <c r="G337" s="3" t="str">
        <f t="shared" si="10"/>
        <v>150-199 mi</v>
      </c>
      <c r="H337" s="27">
        <f>IF(RIGHT($B337,1)="P",1,IF(ISNUMBER(SEARCH("HALF GALLON",$C337)),Assumptions!$B$4,IF(ISNUMBER(SEARCH("GALLON",$C337)),Assumptions!$B$3,IF(ISNUMBER(SEARCH("QUART",$C337)),Assumptions!$B$5,IF(ISNUMBER(SEARCH("PINT",$C337)),Assumptions!$B$6,Assumptions!$B$7)))))</f>
        <v>1</v>
      </c>
      <c r="I337" s="27">
        <f t="shared" si="11"/>
        <v>2</v>
      </c>
    </row>
    <row r="338" spans="1:9" x14ac:dyDescent="0.2">
      <c r="A338" s="3" t="s">
        <v>16</v>
      </c>
      <c r="B338" s="3" t="s">
        <v>241</v>
      </c>
      <c r="C338" s="3" t="s">
        <v>242</v>
      </c>
      <c r="D338" s="3" t="s">
        <v>106</v>
      </c>
      <c r="E338" s="4">
        <v>72</v>
      </c>
      <c r="F338" s="5">
        <f>IFERROR(3958.8*ACOS(MIN(1,MAX(-1,SIN(RADIANS('ZIP Coordinates'!$C$2))*SIN(RADIANS(INDEX('ZIP Coordinates'!$C:$C,MATCH($A338,'ZIP Coordinates'!$A:$A,0))))+COS(RADIANS('ZIP Coordinates'!$C$2))*COS(RADIANS(INDEX('ZIP Coordinates'!$C:$C,MATCH($A338,'ZIP Coordinates'!$A:$A,0))))*COS(RADIANS(INDEX('ZIP Coordinates'!$D:$D,MATCH($A338,'ZIP Coordinates'!$A:$A,0))-'ZIP Coordinates'!$D$2))))),"N/A")</f>
        <v>177.87377120840873</v>
      </c>
      <c r="G338" s="3" t="str">
        <f t="shared" si="10"/>
        <v>150-199 mi</v>
      </c>
      <c r="H338" s="27">
        <f>IF(RIGHT($B338,1)="P",1,IF(ISNUMBER(SEARCH("HALF GALLON",$C338)),Assumptions!$B$4,IF(ISNUMBER(SEARCH("GALLON",$C338)),Assumptions!$B$3,IF(ISNUMBER(SEARCH("QUART",$C338)),Assumptions!$B$5,IF(ISNUMBER(SEARCH("PINT",$C338)),Assumptions!$B$6,Assumptions!$B$7)))))</f>
        <v>1</v>
      </c>
      <c r="I338" s="27">
        <f t="shared" si="11"/>
        <v>72</v>
      </c>
    </row>
    <row r="339" spans="1:9" x14ac:dyDescent="0.2">
      <c r="A339" s="3" t="s">
        <v>16</v>
      </c>
      <c r="B339" s="3" t="s">
        <v>243</v>
      </c>
      <c r="C339" s="3" t="s">
        <v>244</v>
      </c>
      <c r="D339" s="3" t="s">
        <v>106</v>
      </c>
      <c r="E339" s="4">
        <v>79</v>
      </c>
      <c r="F339" s="5">
        <f>IFERROR(3958.8*ACOS(MIN(1,MAX(-1,SIN(RADIANS('ZIP Coordinates'!$C$2))*SIN(RADIANS(INDEX('ZIP Coordinates'!$C:$C,MATCH($A339,'ZIP Coordinates'!$A:$A,0))))+COS(RADIANS('ZIP Coordinates'!$C$2))*COS(RADIANS(INDEX('ZIP Coordinates'!$C:$C,MATCH($A339,'ZIP Coordinates'!$A:$A,0))))*COS(RADIANS(INDEX('ZIP Coordinates'!$D:$D,MATCH($A339,'ZIP Coordinates'!$A:$A,0))-'ZIP Coordinates'!$D$2))))),"N/A")</f>
        <v>177.87377120840873</v>
      </c>
      <c r="G339" s="3" t="str">
        <f t="shared" si="10"/>
        <v>150-199 mi</v>
      </c>
      <c r="H339" s="27">
        <f>IF(RIGHT($B339,1)="P",1,IF(ISNUMBER(SEARCH("HALF GALLON",$C339)),Assumptions!$B$4,IF(ISNUMBER(SEARCH("GALLON",$C339)),Assumptions!$B$3,IF(ISNUMBER(SEARCH("QUART",$C339)),Assumptions!$B$5,IF(ISNUMBER(SEARCH("PINT",$C339)),Assumptions!$B$6,Assumptions!$B$7)))))</f>
        <v>1</v>
      </c>
      <c r="I339" s="27">
        <f t="shared" si="11"/>
        <v>79</v>
      </c>
    </row>
    <row r="340" spans="1:9" x14ac:dyDescent="0.2">
      <c r="A340" s="3" t="s">
        <v>16</v>
      </c>
      <c r="B340" s="3" t="s">
        <v>272</v>
      </c>
      <c r="C340" s="3" t="s">
        <v>273</v>
      </c>
      <c r="D340" s="3" t="s">
        <v>106</v>
      </c>
      <c r="E340" s="4">
        <v>38</v>
      </c>
      <c r="F340" s="5">
        <f>IFERROR(3958.8*ACOS(MIN(1,MAX(-1,SIN(RADIANS('ZIP Coordinates'!$C$2))*SIN(RADIANS(INDEX('ZIP Coordinates'!$C:$C,MATCH($A340,'ZIP Coordinates'!$A:$A,0))))+COS(RADIANS('ZIP Coordinates'!$C$2))*COS(RADIANS(INDEX('ZIP Coordinates'!$C:$C,MATCH($A340,'ZIP Coordinates'!$A:$A,0))))*COS(RADIANS(INDEX('ZIP Coordinates'!$D:$D,MATCH($A340,'ZIP Coordinates'!$A:$A,0))-'ZIP Coordinates'!$D$2))))),"N/A")</f>
        <v>177.87377120840873</v>
      </c>
      <c r="G340" s="3" t="str">
        <f t="shared" si="10"/>
        <v>150-199 mi</v>
      </c>
      <c r="H340" s="27">
        <f>IF(RIGHT($B340,1)="P",1,IF(ISNUMBER(SEARCH("HALF GALLON",$C340)),Assumptions!$B$4,IF(ISNUMBER(SEARCH("GALLON",$C340)),Assumptions!$B$3,IF(ISNUMBER(SEARCH("QUART",$C340)),Assumptions!$B$5,IF(ISNUMBER(SEARCH("PINT",$C340)),Assumptions!$B$6,Assumptions!$B$7)))))</f>
        <v>1</v>
      </c>
      <c r="I340" s="27">
        <f t="shared" si="11"/>
        <v>38</v>
      </c>
    </row>
    <row r="341" spans="1:9" x14ac:dyDescent="0.2">
      <c r="A341" s="3" t="s">
        <v>16</v>
      </c>
      <c r="B341" s="3" t="s">
        <v>276</v>
      </c>
      <c r="C341" s="3" t="s">
        <v>275</v>
      </c>
      <c r="D341" s="3" t="s">
        <v>106</v>
      </c>
      <c r="E341" s="4">
        <v>59</v>
      </c>
      <c r="F341" s="5">
        <f>IFERROR(3958.8*ACOS(MIN(1,MAX(-1,SIN(RADIANS('ZIP Coordinates'!$C$2))*SIN(RADIANS(INDEX('ZIP Coordinates'!$C:$C,MATCH($A341,'ZIP Coordinates'!$A:$A,0))))+COS(RADIANS('ZIP Coordinates'!$C$2))*COS(RADIANS(INDEX('ZIP Coordinates'!$C:$C,MATCH($A341,'ZIP Coordinates'!$A:$A,0))))*COS(RADIANS(INDEX('ZIP Coordinates'!$D:$D,MATCH($A341,'ZIP Coordinates'!$A:$A,0))-'ZIP Coordinates'!$D$2))))),"N/A")</f>
        <v>177.87377120840873</v>
      </c>
      <c r="G341" s="3" t="str">
        <f t="shared" si="10"/>
        <v>150-199 mi</v>
      </c>
      <c r="H341" s="27">
        <f>IF(RIGHT($B341,1)="P",1,IF(ISNUMBER(SEARCH("HALF GALLON",$C341)),Assumptions!$B$4,IF(ISNUMBER(SEARCH("GALLON",$C341)),Assumptions!$B$3,IF(ISNUMBER(SEARCH("QUART",$C341)),Assumptions!$B$5,IF(ISNUMBER(SEARCH("PINT",$C341)),Assumptions!$B$6,Assumptions!$B$7)))))</f>
        <v>1</v>
      </c>
      <c r="I341" s="27">
        <f t="shared" si="11"/>
        <v>59</v>
      </c>
    </row>
    <row r="342" spans="1:9" x14ac:dyDescent="0.2">
      <c r="A342" s="3" t="s">
        <v>16</v>
      </c>
      <c r="B342" s="3" t="s">
        <v>277</v>
      </c>
      <c r="C342" s="3" t="s">
        <v>278</v>
      </c>
      <c r="D342" s="3" t="s">
        <v>106</v>
      </c>
      <c r="E342" s="4">
        <v>21</v>
      </c>
      <c r="F342" s="5">
        <f>IFERROR(3958.8*ACOS(MIN(1,MAX(-1,SIN(RADIANS('ZIP Coordinates'!$C$2))*SIN(RADIANS(INDEX('ZIP Coordinates'!$C:$C,MATCH($A342,'ZIP Coordinates'!$A:$A,0))))+COS(RADIANS('ZIP Coordinates'!$C$2))*COS(RADIANS(INDEX('ZIP Coordinates'!$C:$C,MATCH($A342,'ZIP Coordinates'!$A:$A,0))))*COS(RADIANS(INDEX('ZIP Coordinates'!$D:$D,MATCH($A342,'ZIP Coordinates'!$A:$A,0))-'ZIP Coordinates'!$D$2))))),"N/A")</f>
        <v>177.87377120840873</v>
      </c>
      <c r="G342" s="3" t="str">
        <f t="shared" si="10"/>
        <v>150-199 mi</v>
      </c>
      <c r="H342" s="27">
        <f>IF(RIGHT($B342,1)="P",1,IF(ISNUMBER(SEARCH("HALF GALLON",$C342)),Assumptions!$B$4,IF(ISNUMBER(SEARCH("GALLON",$C342)),Assumptions!$B$3,IF(ISNUMBER(SEARCH("QUART",$C342)),Assumptions!$B$5,IF(ISNUMBER(SEARCH("PINT",$C342)),Assumptions!$B$6,Assumptions!$B$7)))))</f>
        <v>1</v>
      </c>
      <c r="I342" s="27">
        <f t="shared" si="11"/>
        <v>21</v>
      </c>
    </row>
    <row r="343" spans="1:9" x14ac:dyDescent="0.2">
      <c r="A343" s="3" t="s">
        <v>16</v>
      </c>
      <c r="B343" s="3" t="s">
        <v>289</v>
      </c>
      <c r="C343" s="3" t="s">
        <v>280</v>
      </c>
      <c r="D343" s="3" t="s">
        <v>106</v>
      </c>
      <c r="E343" s="4">
        <v>2</v>
      </c>
      <c r="F343" s="5">
        <f>IFERROR(3958.8*ACOS(MIN(1,MAX(-1,SIN(RADIANS('ZIP Coordinates'!$C$2))*SIN(RADIANS(INDEX('ZIP Coordinates'!$C:$C,MATCH($A343,'ZIP Coordinates'!$A:$A,0))))+COS(RADIANS('ZIP Coordinates'!$C$2))*COS(RADIANS(INDEX('ZIP Coordinates'!$C:$C,MATCH($A343,'ZIP Coordinates'!$A:$A,0))))*COS(RADIANS(INDEX('ZIP Coordinates'!$D:$D,MATCH($A343,'ZIP Coordinates'!$A:$A,0))-'ZIP Coordinates'!$D$2))))),"N/A")</f>
        <v>177.87377120840873</v>
      </c>
      <c r="G343" s="3" t="str">
        <f t="shared" si="10"/>
        <v>150-199 mi</v>
      </c>
      <c r="H343" s="27">
        <f>IF(RIGHT($B343,1)="P",1,IF(ISNUMBER(SEARCH("HALF GALLON",$C343)),Assumptions!$B$4,IF(ISNUMBER(SEARCH("GALLON",$C343)),Assumptions!$B$3,IF(ISNUMBER(SEARCH("QUART",$C343)),Assumptions!$B$5,IF(ISNUMBER(SEARCH("PINT",$C343)),Assumptions!$B$6,Assumptions!$B$7)))))</f>
        <v>9</v>
      </c>
      <c r="I343" s="27">
        <f t="shared" si="11"/>
        <v>18</v>
      </c>
    </row>
    <row r="344" spans="1:9" x14ac:dyDescent="0.2">
      <c r="A344" s="3" t="s">
        <v>16</v>
      </c>
      <c r="B344" s="3" t="s">
        <v>279</v>
      </c>
      <c r="C344" s="3" t="s">
        <v>280</v>
      </c>
      <c r="D344" s="3" t="s">
        <v>106</v>
      </c>
      <c r="E344" s="4">
        <v>30</v>
      </c>
      <c r="F344" s="5">
        <f>IFERROR(3958.8*ACOS(MIN(1,MAX(-1,SIN(RADIANS('ZIP Coordinates'!$C$2))*SIN(RADIANS(INDEX('ZIP Coordinates'!$C:$C,MATCH($A344,'ZIP Coordinates'!$A:$A,0))))+COS(RADIANS('ZIP Coordinates'!$C$2))*COS(RADIANS(INDEX('ZIP Coordinates'!$C:$C,MATCH($A344,'ZIP Coordinates'!$A:$A,0))))*COS(RADIANS(INDEX('ZIP Coordinates'!$D:$D,MATCH($A344,'ZIP Coordinates'!$A:$A,0))-'ZIP Coordinates'!$D$2))))),"N/A")</f>
        <v>177.87377120840873</v>
      </c>
      <c r="G344" s="3" t="str">
        <f t="shared" si="10"/>
        <v>150-199 mi</v>
      </c>
      <c r="H344" s="27">
        <f>IF(RIGHT($B344,1)="P",1,IF(ISNUMBER(SEARCH("HALF GALLON",$C344)),Assumptions!$B$4,IF(ISNUMBER(SEARCH("GALLON",$C344)),Assumptions!$B$3,IF(ISNUMBER(SEARCH("QUART",$C344)),Assumptions!$B$5,IF(ISNUMBER(SEARCH("PINT",$C344)),Assumptions!$B$6,Assumptions!$B$7)))))</f>
        <v>1</v>
      </c>
      <c r="I344" s="27">
        <f t="shared" si="11"/>
        <v>30</v>
      </c>
    </row>
    <row r="345" spans="1:9" x14ac:dyDescent="0.2">
      <c r="A345" s="3" t="s">
        <v>16</v>
      </c>
      <c r="B345" s="3" t="s">
        <v>250</v>
      </c>
      <c r="C345" s="3" t="s">
        <v>249</v>
      </c>
      <c r="D345" s="3" t="s">
        <v>106</v>
      </c>
      <c r="E345" s="4">
        <v>58</v>
      </c>
      <c r="F345" s="5">
        <f>IFERROR(3958.8*ACOS(MIN(1,MAX(-1,SIN(RADIANS('ZIP Coordinates'!$C$2))*SIN(RADIANS(INDEX('ZIP Coordinates'!$C:$C,MATCH($A345,'ZIP Coordinates'!$A:$A,0))))+COS(RADIANS('ZIP Coordinates'!$C$2))*COS(RADIANS(INDEX('ZIP Coordinates'!$C:$C,MATCH($A345,'ZIP Coordinates'!$A:$A,0))))*COS(RADIANS(INDEX('ZIP Coordinates'!$D:$D,MATCH($A345,'ZIP Coordinates'!$A:$A,0))-'ZIP Coordinates'!$D$2))))),"N/A")</f>
        <v>177.87377120840873</v>
      </c>
      <c r="G345" s="3" t="str">
        <f t="shared" si="10"/>
        <v>150-199 mi</v>
      </c>
      <c r="H345" s="27">
        <f>IF(RIGHT($B345,1)="P",1,IF(ISNUMBER(SEARCH("HALF GALLON",$C345)),Assumptions!$B$4,IF(ISNUMBER(SEARCH("GALLON",$C345)),Assumptions!$B$3,IF(ISNUMBER(SEARCH("QUART",$C345)),Assumptions!$B$5,IF(ISNUMBER(SEARCH("PINT",$C345)),Assumptions!$B$6,Assumptions!$B$7)))))</f>
        <v>1</v>
      </c>
      <c r="I345" s="27">
        <f t="shared" si="11"/>
        <v>58</v>
      </c>
    </row>
    <row r="346" spans="1:9" x14ac:dyDescent="0.2">
      <c r="A346" s="3" t="s">
        <v>16</v>
      </c>
      <c r="B346" s="3" t="s">
        <v>251</v>
      </c>
      <c r="C346" s="3" t="s">
        <v>252</v>
      </c>
      <c r="D346" s="3" t="s">
        <v>106</v>
      </c>
      <c r="E346" s="4">
        <v>30</v>
      </c>
      <c r="F346" s="5">
        <f>IFERROR(3958.8*ACOS(MIN(1,MAX(-1,SIN(RADIANS('ZIP Coordinates'!$C$2))*SIN(RADIANS(INDEX('ZIP Coordinates'!$C:$C,MATCH($A346,'ZIP Coordinates'!$A:$A,0))))+COS(RADIANS('ZIP Coordinates'!$C$2))*COS(RADIANS(INDEX('ZIP Coordinates'!$C:$C,MATCH($A346,'ZIP Coordinates'!$A:$A,0))))*COS(RADIANS(INDEX('ZIP Coordinates'!$D:$D,MATCH($A346,'ZIP Coordinates'!$A:$A,0))-'ZIP Coordinates'!$D$2))))),"N/A")</f>
        <v>177.87377120840873</v>
      </c>
      <c r="G346" s="3" t="str">
        <f t="shared" si="10"/>
        <v>150-199 mi</v>
      </c>
      <c r="H346" s="27">
        <f>IF(RIGHT($B346,1)="P",1,IF(ISNUMBER(SEARCH("HALF GALLON",$C346)),Assumptions!$B$4,IF(ISNUMBER(SEARCH("GALLON",$C346)),Assumptions!$B$3,IF(ISNUMBER(SEARCH("QUART",$C346)),Assumptions!$B$5,IF(ISNUMBER(SEARCH("PINT",$C346)),Assumptions!$B$6,Assumptions!$B$7)))))</f>
        <v>1</v>
      </c>
      <c r="I346" s="27">
        <f t="shared" si="11"/>
        <v>30</v>
      </c>
    </row>
    <row r="347" spans="1:9" x14ac:dyDescent="0.2">
      <c r="A347" s="3" t="s">
        <v>16</v>
      </c>
      <c r="B347" s="3" t="s">
        <v>282</v>
      </c>
      <c r="C347" s="3" t="s">
        <v>283</v>
      </c>
      <c r="D347" s="3" t="s">
        <v>106</v>
      </c>
      <c r="E347" s="4">
        <v>34</v>
      </c>
      <c r="F347" s="5">
        <f>IFERROR(3958.8*ACOS(MIN(1,MAX(-1,SIN(RADIANS('ZIP Coordinates'!$C$2))*SIN(RADIANS(INDEX('ZIP Coordinates'!$C:$C,MATCH($A347,'ZIP Coordinates'!$A:$A,0))))+COS(RADIANS('ZIP Coordinates'!$C$2))*COS(RADIANS(INDEX('ZIP Coordinates'!$C:$C,MATCH($A347,'ZIP Coordinates'!$A:$A,0))))*COS(RADIANS(INDEX('ZIP Coordinates'!$D:$D,MATCH($A347,'ZIP Coordinates'!$A:$A,0))-'ZIP Coordinates'!$D$2))))),"N/A")</f>
        <v>177.87377120840873</v>
      </c>
      <c r="G347" s="3" t="str">
        <f t="shared" si="10"/>
        <v>150-199 mi</v>
      </c>
      <c r="H347" s="27">
        <f>IF(RIGHT($B347,1)="P",1,IF(ISNUMBER(SEARCH("HALF GALLON",$C347)),Assumptions!$B$4,IF(ISNUMBER(SEARCH("GALLON",$C347)),Assumptions!$B$3,IF(ISNUMBER(SEARCH("QUART",$C347)),Assumptions!$B$5,IF(ISNUMBER(SEARCH("PINT",$C347)),Assumptions!$B$6,Assumptions!$B$7)))))</f>
        <v>1</v>
      </c>
      <c r="I347" s="27">
        <f t="shared" si="11"/>
        <v>34</v>
      </c>
    </row>
    <row r="348" spans="1:9" x14ac:dyDescent="0.2">
      <c r="A348" s="3" t="s">
        <v>16</v>
      </c>
      <c r="B348" s="3" t="s">
        <v>286</v>
      </c>
      <c r="C348" s="3" t="s">
        <v>287</v>
      </c>
      <c r="D348" s="3" t="s">
        <v>106</v>
      </c>
      <c r="E348" s="4">
        <v>11</v>
      </c>
      <c r="F348" s="5">
        <f>IFERROR(3958.8*ACOS(MIN(1,MAX(-1,SIN(RADIANS('ZIP Coordinates'!$C$2))*SIN(RADIANS(INDEX('ZIP Coordinates'!$C:$C,MATCH($A348,'ZIP Coordinates'!$A:$A,0))))+COS(RADIANS('ZIP Coordinates'!$C$2))*COS(RADIANS(INDEX('ZIP Coordinates'!$C:$C,MATCH($A348,'ZIP Coordinates'!$A:$A,0))))*COS(RADIANS(INDEX('ZIP Coordinates'!$D:$D,MATCH($A348,'ZIP Coordinates'!$A:$A,0))-'ZIP Coordinates'!$D$2))))),"N/A")</f>
        <v>177.87377120840873</v>
      </c>
      <c r="G348" s="3" t="str">
        <f t="shared" si="10"/>
        <v>150-199 mi</v>
      </c>
      <c r="H348" s="27">
        <f>IF(RIGHT($B348,1)="P",1,IF(ISNUMBER(SEARCH("HALF GALLON",$C348)),Assumptions!$B$4,IF(ISNUMBER(SEARCH("GALLON",$C348)),Assumptions!$B$3,IF(ISNUMBER(SEARCH("QUART",$C348)),Assumptions!$B$5,IF(ISNUMBER(SEARCH("PINT",$C348)),Assumptions!$B$6,Assumptions!$B$7)))))</f>
        <v>9</v>
      </c>
      <c r="I348" s="27">
        <f t="shared" si="11"/>
        <v>99</v>
      </c>
    </row>
    <row r="349" spans="1:9" x14ac:dyDescent="0.2">
      <c r="A349" s="3" t="s">
        <v>16</v>
      </c>
      <c r="B349" s="3" t="s">
        <v>288</v>
      </c>
      <c r="C349" s="3" t="s">
        <v>287</v>
      </c>
      <c r="D349" s="3" t="s">
        <v>106</v>
      </c>
      <c r="E349" s="4">
        <v>35</v>
      </c>
      <c r="F349" s="5">
        <f>IFERROR(3958.8*ACOS(MIN(1,MAX(-1,SIN(RADIANS('ZIP Coordinates'!$C$2))*SIN(RADIANS(INDEX('ZIP Coordinates'!$C:$C,MATCH($A349,'ZIP Coordinates'!$A:$A,0))))+COS(RADIANS('ZIP Coordinates'!$C$2))*COS(RADIANS(INDEX('ZIP Coordinates'!$C:$C,MATCH($A349,'ZIP Coordinates'!$A:$A,0))))*COS(RADIANS(INDEX('ZIP Coordinates'!$D:$D,MATCH($A349,'ZIP Coordinates'!$A:$A,0))-'ZIP Coordinates'!$D$2))))),"N/A")</f>
        <v>177.87377120840873</v>
      </c>
      <c r="G349" s="3" t="str">
        <f t="shared" si="10"/>
        <v>150-199 mi</v>
      </c>
      <c r="H349" s="27">
        <f>IF(RIGHT($B349,1)="P",1,IF(ISNUMBER(SEARCH("HALF GALLON",$C349)),Assumptions!$B$4,IF(ISNUMBER(SEARCH("GALLON",$C349)),Assumptions!$B$3,IF(ISNUMBER(SEARCH("QUART",$C349)),Assumptions!$B$5,IF(ISNUMBER(SEARCH("PINT",$C349)),Assumptions!$B$6,Assumptions!$B$7)))))</f>
        <v>1</v>
      </c>
      <c r="I349" s="27">
        <f t="shared" si="11"/>
        <v>35</v>
      </c>
    </row>
    <row r="350" spans="1:9" x14ac:dyDescent="0.2">
      <c r="A350" s="3" t="s">
        <v>16</v>
      </c>
      <c r="B350" s="3" t="s">
        <v>257</v>
      </c>
      <c r="C350" s="3" t="s">
        <v>256</v>
      </c>
      <c r="D350" s="3" t="s">
        <v>106</v>
      </c>
      <c r="E350" s="4">
        <v>133</v>
      </c>
      <c r="F350" s="5">
        <f>IFERROR(3958.8*ACOS(MIN(1,MAX(-1,SIN(RADIANS('ZIP Coordinates'!$C$2))*SIN(RADIANS(INDEX('ZIP Coordinates'!$C:$C,MATCH($A350,'ZIP Coordinates'!$A:$A,0))))+COS(RADIANS('ZIP Coordinates'!$C$2))*COS(RADIANS(INDEX('ZIP Coordinates'!$C:$C,MATCH($A350,'ZIP Coordinates'!$A:$A,0))))*COS(RADIANS(INDEX('ZIP Coordinates'!$D:$D,MATCH($A350,'ZIP Coordinates'!$A:$A,0))-'ZIP Coordinates'!$D$2))))),"N/A")</f>
        <v>177.87377120840873</v>
      </c>
      <c r="G350" s="3" t="str">
        <f t="shared" si="10"/>
        <v>150-199 mi</v>
      </c>
      <c r="H350" s="27">
        <f>IF(RIGHT($B350,1)="P",1,IF(ISNUMBER(SEARCH("HALF GALLON",$C350)),Assumptions!$B$4,IF(ISNUMBER(SEARCH("GALLON",$C350)),Assumptions!$B$3,IF(ISNUMBER(SEARCH("QUART",$C350)),Assumptions!$B$5,IF(ISNUMBER(SEARCH("PINT",$C350)),Assumptions!$B$6,Assumptions!$B$7)))))</f>
        <v>1</v>
      </c>
      <c r="I350" s="27">
        <f t="shared" si="11"/>
        <v>133</v>
      </c>
    </row>
    <row r="351" spans="1:9" x14ac:dyDescent="0.2">
      <c r="A351" s="3" t="s">
        <v>17</v>
      </c>
      <c r="B351" s="3" t="s">
        <v>239</v>
      </c>
      <c r="C351" s="3" t="s">
        <v>240</v>
      </c>
      <c r="D351" s="3" t="s">
        <v>89</v>
      </c>
      <c r="E351" s="4">
        <v>85</v>
      </c>
      <c r="F351" s="5">
        <f>IFERROR(3958.8*ACOS(MIN(1,MAX(-1,SIN(RADIANS('ZIP Coordinates'!$C$2))*SIN(RADIANS(INDEX('ZIP Coordinates'!$C:$C,MATCH($A351,'ZIP Coordinates'!$A:$A,0))))+COS(RADIANS('ZIP Coordinates'!$C$2))*COS(RADIANS(INDEX('ZIP Coordinates'!$C:$C,MATCH($A351,'ZIP Coordinates'!$A:$A,0))))*COS(RADIANS(INDEX('ZIP Coordinates'!$D:$D,MATCH($A351,'ZIP Coordinates'!$A:$A,0))-'ZIP Coordinates'!$D$2))))),"N/A")</f>
        <v>161.35890377274785</v>
      </c>
      <c r="G351" s="3" t="str">
        <f t="shared" si="10"/>
        <v>150-199 mi</v>
      </c>
      <c r="H351" s="27">
        <f>IF(RIGHT($B351,1)="P",1,IF(ISNUMBER(SEARCH("HALF GALLON",$C351)),Assumptions!$B$4,IF(ISNUMBER(SEARCH("GALLON",$C351)),Assumptions!$B$3,IF(ISNUMBER(SEARCH("QUART",$C351)),Assumptions!$B$5,IF(ISNUMBER(SEARCH("PINT",$C351)),Assumptions!$B$6,Assumptions!$B$7)))))</f>
        <v>1</v>
      </c>
      <c r="I351" s="27">
        <f t="shared" si="11"/>
        <v>85</v>
      </c>
    </row>
    <row r="352" spans="1:9" x14ac:dyDescent="0.2">
      <c r="A352" s="3" t="s">
        <v>17</v>
      </c>
      <c r="B352" s="3" t="s">
        <v>261</v>
      </c>
      <c r="C352" s="3" t="s">
        <v>260</v>
      </c>
      <c r="D352" s="3" t="s">
        <v>89</v>
      </c>
      <c r="E352" s="4">
        <v>64</v>
      </c>
      <c r="F352" s="5">
        <f>IFERROR(3958.8*ACOS(MIN(1,MAX(-1,SIN(RADIANS('ZIP Coordinates'!$C$2))*SIN(RADIANS(INDEX('ZIP Coordinates'!$C:$C,MATCH($A352,'ZIP Coordinates'!$A:$A,0))))+COS(RADIANS('ZIP Coordinates'!$C$2))*COS(RADIANS(INDEX('ZIP Coordinates'!$C:$C,MATCH($A352,'ZIP Coordinates'!$A:$A,0))))*COS(RADIANS(INDEX('ZIP Coordinates'!$D:$D,MATCH($A352,'ZIP Coordinates'!$A:$A,0))-'ZIP Coordinates'!$D$2))))),"N/A")</f>
        <v>161.35890377274785</v>
      </c>
      <c r="G352" s="3" t="str">
        <f t="shared" si="10"/>
        <v>150-199 mi</v>
      </c>
      <c r="H352" s="27">
        <f>IF(RIGHT($B352,1)="P",1,IF(ISNUMBER(SEARCH("HALF GALLON",$C352)),Assumptions!$B$4,IF(ISNUMBER(SEARCH("GALLON",$C352)),Assumptions!$B$3,IF(ISNUMBER(SEARCH("QUART",$C352)),Assumptions!$B$5,IF(ISNUMBER(SEARCH("PINT",$C352)),Assumptions!$B$6,Assumptions!$B$7)))))</f>
        <v>1</v>
      </c>
      <c r="I352" s="27">
        <f t="shared" si="11"/>
        <v>64</v>
      </c>
    </row>
    <row r="353" spans="1:9" x14ac:dyDescent="0.2">
      <c r="A353" s="3" t="s">
        <v>17</v>
      </c>
      <c r="B353" s="3" t="s">
        <v>269</v>
      </c>
      <c r="C353" s="3" t="s">
        <v>268</v>
      </c>
      <c r="D353" s="3" t="s">
        <v>189</v>
      </c>
      <c r="E353" s="4">
        <v>12</v>
      </c>
      <c r="F353" s="5">
        <f>IFERROR(3958.8*ACOS(MIN(1,MAX(-1,SIN(RADIANS('ZIP Coordinates'!$C$2))*SIN(RADIANS(INDEX('ZIP Coordinates'!$C:$C,MATCH($A353,'ZIP Coordinates'!$A:$A,0))))+COS(RADIANS('ZIP Coordinates'!$C$2))*COS(RADIANS(INDEX('ZIP Coordinates'!$C:$C,MATCH($A353,'ZIP Coordinates'!$A:$A,0))))*COS(RADIANS(INDEX('ZIP Coordinates'!$D:$D,MATCH($A353,'ZIP Coordinates'!$A:$A,0))-'ZIP Coordinates'!$D$2))))),"N/A")</f>
        <v>161.35890377274785</v>
      </c>
      <c r="G353" s="3" t="str">
        <f t="shared" si="10"/>
        <v>150-199 mi</v>
      </c>
      <c r="H353" s="27">
        <f>IF(RIGHT($B353,1)="P",1,IF(ISNUMBER(SEARCH("HALF GALLON",$C353)),Assumptions!$B$4,IF(ISNUMBER(SEARCH("GALLON",$C353)),Assumptions!$B$3,IF(ISNUMBER(SEARCH("QUART",$C353)),Assumptions!$B$5,IF(ISNUMBER(SEARCH("PINT",$C353)),Assumptions!$B$6,Assumptions!$B$7)))))</f>
        <v>1</v>
      </c>
      <c r="I353" s="27">
        <f t="shared" si="11"/>
        <v>12</v>
      </c>
    </row>
    <row r="354" spans="1:9" x14ac:dyDescent="0.2">
      <c r="A354" s="3" t="s">
        <v>17</v>
      </c>
      <c r="B354" s="3" t="s">
        <v>241</v>
      </c>
      <c r="C354" s="3" t="s">
        <v>242</v>
      </c>
      <c r="D354" s="3" t="s">
        <v>89</v>
      </c>
      <c r="E354" s="4">
        <v>103</v>
      </c>
      <c r="F354" s="5">
        <f>IFERROR(3958.8*ACOS(MIN(1,MAX(-1,SIN(RADIANS('ZIP Coordinates'!$C$2))*SIN(RADIANS(INDEX('ZIP Coordinates'!$C:$C,MATCH($A354,'ZIP Coordinates'!$A:$A,0))))+COS(RADIANS('ZIP Coordinates'!$C$2))*COS(RADIANS(INDEX('ZIP Coordinates'!$C:$C,MATCH($A354,'ZIP Coordinates'!$A:$A,0))))*COS(RADIANS(INDEX('ZIP Coordinates'!$D:$D,MATCH($A354,'ZIP Coordinates'!$A:$A,0))-'ZIP Coordinates'!$D$2))))),"N/A")</f>
        <v>161.35890377274785</v>
      </c>
      <c r="G354" s="3" t="str">
        <f t="shared" si="10"/>
        <v>150-199 mi</v>
      </c>
      <c r="H354" s="27">
        <f>IF(RIGHT($B354,1)="P",1,IF(ISNUMBER(SEARCH("HALF GALLON",$C354)),Assumptions!$B$4,IF(ISNUMBER(SEARCH("GALLON",$C354)),Assumptions!$B$3,IF(ISNUMBER(SEARCH("QUART",$C354)),Assumptions!$B$5,IF(ISNUMBER(SEARCH("PINT",$C354)),Assumptions!$B$6,Assumptions!$B$7)))))</f>
        <v>1</v>
      </c>
      <c r="I354" s="27">
        <f t="shared" si="11"/>
        <v>103</v>
      </c>
    </row>
    <row r="355" spans="1:9" x14ac:dyDescent="0.2">
      <c r="A355" s="3" t="s">
        <v>17</v>
      </c>
      <c r="B355" s="3" t="s">
        <v>243</v>
      </c>
      <c r="C355" s="3" t="s">
        <v>244</v>
      </c>
      <c r="D355" s="3" t="s">
        <v>89</v>
      </c>
      <c r="E355" s="4">
        <v>90</v>
      </c>
      <c r="F355" s="5">
        <f>IFERROR(3958.8*ACOS(MIN(1,MAX(-1,SIN(RADIANS('ZIP Coordinates'!$C$2))*SIN(RADIANS(INDEX('ZIP Coordinates'!$C:$C,MATCH($A355,'ZIP Coordinates'!$A:$A,0))))+COS(RADIANS('ZIP Coordinates'!$C$2))*COS(RADIANS(INDEX('ZIP Coordinates'!$C:$C,MATCH($A355,'ZIP Coordinates'!$A:$A,0))))*COS(RADIANS(INDEX('ZIP Coordinates'!$D:$D,MATCH($A355,'ZIP Coordinates'!$A:$A,0))-'ZIP Coordinates'!$D$2))))),"N/A")</f>
        <v>161.35890377274785</v>
      </c>
      <c r="G355" s="3" t="str">
        <f t="shared" si="10"/>
        <v>150-199 mi</v>
      </c>
      <c r="H355" s="27">
        <f>IF(RIGHT($B355,1)="P",1,IF(ISNUMBER(SEARCH("HALF GALLON",$C355)),Assumptions!$B$4,IF(ISNUMBER(SEARCH("GALLON",$C355)),Assumptions!$B$3,IF(ISNUMBER(SEARCH("QUART",$C355)),Assumptions!$B$5,IF(ISNUMBER(SEARCH("PINT",$C355)),Assumptions!$B$6,Assumptions!$B$7)))))</f>
        <v>1</v>
      </c>
      <c r="I355" s="27">
        <f t="shared" si="11"/>
        <v>90</v>
      </c>
    </row>
    <row r="356" spans="1:9" x14ac:dyDescent="0.2">
      <c r="A356" s="3" t="s">
        <v>17</v>
      </c>
      <c r="B356" s="3" t="s">
        <v>276</v>
      </c>
      <c r="C356" s="3" t="s">
        <v>275</v>
      </c>
      <c r="D356" s="3" t="s">
        <v>89</v>
      </c>
      <c r="E356" s="4">
        <v>91</v>
      </c>
      <c r="F356" s="5">
        <f>IFERROR(3958.8*ACOS(MIN(1,MAX(-1,SIN(RADIANS('ZIP Coordinates'!$C$2))*SIN(RADIANS(INDEX('ZIP Coordinates'!$C:$C,MATCH($A356,'ZIP Coordinates'!$A:$A,0))))+COS(RADIANS('ZIP Coordinates'!$C$2))*COS(RADIANS(INDEX('ZIP Coordinates'!$C:$C,MATCH($A356,'ZIP Coordinates'!$A:$A,0))))*COS(RADIANS(INDEX('ZIP Coordinates'!$D:$D,MATCH($A356,'ZIP Coordinates'!$A:$A,0))-'ZIP Coordinates'!$D$2))))),"N/A")</f>
        <v>161.35890377274785</v>
      </c>
      <c r="G356" s="3" t="str">
        <f t="shared" si="10"/>
        <v>150-199 mi</v>
      </c>
      <c r="H356" s="27">
        <f>IF(RIGHT($B356,1)="P",1,IF(ISNUMBER(SEARCH("HALF GALLON",$C356)),Assumptions!$B$4,IF(ISNUMBER(SEARCH("GALLON",$C356)),Assumptions!$B$3,IF(ISNUMBER(SEARCH("QUART",$C356)),Assumptions!$B$5,IF(ISNUMBER(SEARCH("PINT",$C356)),Assumptions!$B$6,Assumptions!$B$7)))))</f>
        <v>1</v>
      </c>
      <c r="I356" s="27">
        <f t="shared" si="11"/>
        <v>91</v>
      </c>
    </row>
    <row r="357" spans="1:9" x14ac:dyDescent="0.2">
      <c r="A357" s="3" t="s">
        <v>17</v>
      </c>
      <c r="B357" s="3" t="s">
        <v>277</v>
      </c>
      <c r="C357" s="3" t="s">
        <v>278</v>
      </c>
      <c r="D357" s="3" t="s">
        <v>89</v>
      </c>
      <c r="E357" s="4">
        <v>86</v>
      </c>
      <c r="F357" s="5">
        <f>IFERROR(3958.8*ACOS(MIN(1,MAX(-1,SIN(RADIANS('ZIP Coordinates'!$C$2))*SIN(RADIANS(INDEX('ZIP Coordinates'!$C:$C,MATCH($A357,'ZIP Coordinates'!$A:$A,0))))+COS(RADIANS('ZIP Coordinates'!$C$2))*COS(RADIANS(INDEX('ZIP Coordinates'!$C:$C,MATCH($A357,'ZIP Coordinates'!$A:$A,0))))*COS(RADIANS(INDEX('ZIP Coordinates'!$D:$D,MATCH($A357,'ZIP Coordinates'!$A:$A,0))-'ZIP Coordinates'!$D$2))))),"N/A")</f>
        <v>161.35890377274785</v>
      </c>
      <c r="G357" s="3" t="str">
        <f t="shared" si="10"/>
        <v>150-199 mi</v>
      </c>
      <c r="H357" s="27">
        <f>IF(RIGHT($B357,1)="P",1,IF(ISNUMBER(SEARCH("HALF GALLON",$C357)),Assumptions!$B$4,IF(ISNUMBER(SEARCH("GALLON",$C357)),Assumptions!$B$3,IF(ISNUMBER(SEARCH("QUART",$C357)),Assumptions!$B$5,IF(ISNUMBER(SEARCH("PINT",$C357)),Assumptions!$B$6,Assumptions!$B$7)))))</f>
        <v>1</v>
      </c>
      <c r="I357" s="27">
        <f t="shared" si="11"/>
        <v>86</v>
      </c>
    </row>
    <row r="358" spans="1:9" x14ac:dyDescent="0.2">
      <c r="A358" s="3" t="s">
        <v>17</v>
      </c>
      <c r="B358" s="3" t="s">
        <v>279</v>
      </c>
      <c r="C358" s="3" t="s">
        <v>280</v>
      </c>
      <c r="D358" s="3" t="s">
        <v>89</v>
      </c>
      <c r="E358" s="4">
        <v>73</v>
      </c>
      <c r="F358" s="5">
        <f>IFERROR(3958.8*ACOS(MIN(1,MAX(-1,SIN(RADIANS('ZIP Coordinates'!$C$2))*SIN(RADIANS(INDEX('ZIP Coordinates'!$C:$C,MATCH($A358,'ZIP Coordinates'!$A:$A,0))))+COS(RADIANS('ZIP Coordinates'!$C$2))*COS(RADIANS(INDEX('ZIP Coordinates'!$C:$C,MATCH($A358,'ZIP Coordinates'!$A:$A,0))))*COS(RADIANS(INDEX('ZIP Coordinates'!$D:$D,MATCH($A358,'ZIP Coordinates'!$A:$A,0))-'ZIP Coordinates'!$D$2))))),"N/A")</f>
        <v>161.35890377274785</v>
      </c>
      <c r="G358" s="3" t="str">
        <f t="shared" si="10"/>
        <v>150-199 mi</v>
      </c>
      <c r="H358" s="27">
        <f>IF(RIGHT($B358,1)="P",1,IF(ISNUMBER(SEARCH("HALF GALLON",$C358)),Assumptions!$B$4,IF(ISNUMBER(SEARCH("GALLON",$C358)),Assumptions!$B$3,IF(ISNUMBER(SEARCH("QUART",$C358)),Assumptions!$B$5,IF(ISNUMBER(SEARCH("PINT",$C358)),Assumptions!$B$6,Assumptions!$B$7)))))</f>
        <v>1</v>
      </c>
      <c r="I358" s="27">
        <f t="shared" si="11"/>
        <v>73</v>
      </c>
    </row>
    <row r="359" spans="1:9" x14ac:dyDescent="0.2">
      <c r="A359" s="3" t="s">
        <v>17</v>
      </c>
      <c r="B359" s="3" t="s">
        <v>247</v>
      </c>
      <c r="C359" s="3" t="s">
        <v>246</v>
      </c>
      <c r="D359" s="3" t="s">
        <v>89</v>
      </c>
      <c r="E359" s="4">
        <v>193</v>
      </c>
      <c r="F359" s="5">
        <f>IFERROR(3958.8*ACOS(MIN(1,MAX(-1,SIN(RADIANS('ZIP Coordinates'!$C$2))*SIN(RADIANS(INDEX('ZIP Coordinates'!$C:$C,MATCH($A359,'ZIP Coordinates'!$A:$A,0))))+COS(RADIANS('ZIP Coordinates'!$C$2))*COS(RADIANS(INDEX('ZIP Coordinates'!$C:$C,MATCH($A359,'ZIP Coordinates'!$A:$A,0))))*COS(RADIANS(INDEX('ZIP Coordinates'!$D:$D,MATCH($A359,'ZIP Coordinates'!$A:$A,0))-'ZIP Coordinates'!$D$2))))),"N/A")</f>
        <v>161.35890377274785</v>
      </c>
      <c r="G359" s="3" t="str">
        <f t="shared" si="10"/>
        <v>150-199 mi</v>
      </c>
      <c r="H359" s="27">
        <f>IF(RIGHT($B359,1)="P",1,IF(ISNUMBER(SEARCH("HALF GALLON",$C359)),Assumptions!$B$4,IF(ISNUMBER(SEARCH("GALLON",$C359)),Assumptions!$B$3,IF(ISNUMBER(SEARCH("QUART",$C359)),Assumptions!$B$5,IF(ISNUMBER(SEARCH("PINT",$C359)),Assumptions!$B$6,Assumptions!$B$7)))))</f>
        <v>1</v>
      </c>
      <c r="I359" s="27">
        <f t="shared" si="11"/>
        <v>193</v>
      </c>
    </row>
    <row r="360" spans="1:9" x14ac:dyDescent="0.2">
      <c r="A360" s="3" t="s">
        <v>17</v>
      </c>
      <c r="B360" s="3" t="s">
        <v>250</v>
      </c>
      <c r="C360" s="3" t="s">
        <v>249</v>
      </c>
      <c r="D360" s="3" t="s">
        <v>89</v>
      </c>
      <c r="E360" s="4">
        <v>163</v>
      </c>
      <c r="F360" s="5">
        <f>IFERROR(3958.8*ACOS(MIN(1,MAX(-1,SIN(RADIANS('ZIP Coordinates'!$C$2))*SIN(RADIANS(INDEX('ZIP Coordinates'!$C:$C,MATCH($A360,'ZIP Coordinates'!$A:$A,0))))+COS(RADIANS('ZIP Coordinates'!$C$2))*COS(RADIANS(INDEX('ZIP Coordinates'!$C:$C,MATCH($A360,'ZIP Coordinates'!$A:$A,0))))*COS(RADIANS(INDEX('ZIP Coordinates'!$D:$D,MATCH($A360,'ZIP Coordinates'!$A:$A,0))-'ZIP Coordinates'!$D$2))))),"N/A")</f>
        <v>161.35890377274785</v>
      </c>
      <c r="G360" s="3" t="str">
        <f t="shared" si="10"/>
        <v>150-199 mi</v>
      </c>
      <c r="H360" s="27">
        <f>IF(RIGHT($B360,1)="P",1,IF(ISNUMBER(SEARCH("HALF GALLON",$C360)),Assumptions!$B$4,IF(ISNUMBER(SEARCH("GALLON",$C360)),Assumptions!$B$3,IF(ISNUMBER(SEARCH("QUART",$C360)),Assumptions!$B$5,IF(ISNUMBER(SEARCH("PINT",$C360)),Assumptions!$B$6,Assumptions!$B$7)))))</f>
        <v>1</v>
      </c>
      <c r="I360" s="27">
        <f t="shared" si="11"/>
        <v>163</v>
      </c>
    </row>
    <row r="361" spans="1:9" x14ac:dyDescent="0.2">
      <c r="A361" s="3" t="s">
        <v>17</v>
      </c>
      <c r="B361" s="3" t="s">
        <v>251</v>
      </c>
      <c r="C361" s="3" t="s">
        <v>252</v>
      </c>
      <c r="D361" s="3" t="s">
        <v>89</v>
      </c>
      <c r="E361" s="4">
        <v>127</v>
      </c>
      <c r="F361" s="5">
        <f>IFERROR(3958.8*ACOS(MIN(1,MAX(-1,SIN(RADIANS('ZIP Coordinates'!$C$2))*SIN(RADIANS(INDEX('ZIP Coordinates'!$C:$C,MATCH($A361,'ZIP Coordinates'!$A:$A,0))))+COS(RADIANS('ZIP Coordinates'!$C$2))*COS(RADIANS(INDEX('ZIP Coordinates'!$C:$C,MATCH($A361,'ZIP Coordinates'!$A:$A,0))))*COS(RADIANS(INDEX('ZIP Coordinates'!$D:$D,MATCH($A361,'ZIP Coordinates'!$A:$A,0))-'ZIP Coordinates'!$D$2))))),"N/A")</f>
        <v>161.35890377274785</v>
      </c>
      <c r="G361" s="3" t="str">
        <f t="shared" si="10"/>
        <v>150-199 mi</v>
      </c>
      <c r="H361" s="27">
        <f>IF(RIGHT($B361,1)="P",1,IF(ISNUMBER(SEARCH("HALF GALLON",$C361)),Assumptions!$B$4,IF(ISNUMBER(SEARCH("GALLON",$C361)),Assumptions!$B$3,IF(ISNUMBER(SEARCH("QUART",$C361)),Assumptions!$B$5,IF(ISNUMBER(SEARCH("PINT",$C361)),Assumptions!$B$6,Assumptions!$B$7)))))</f>
        <v>1</v>
      </c>
      <c r="I361" s="27">
        <f t="shared" si="11"/>
        <v>127</v>
      </c>
    </row>
    <row r="362" spans="1:9" x14ac:dyDescent="0.2">
      <c r="A362" s="3" t="s">
        <v>17</v>
      </c>
      <c r="B362" s="3" t="s">
        <v>282</v>
      </c>
      <c r="C362" s="3" t="s">
        <v>283</v>
      </c>
      <c r="D362" s="3" t="s">
        <v>89</v>
      </c>
      <c r="E362" s="4">
        <v>1</v>
      </c>
      <c r="F362" s="5">
        <f>IFERROR(3958.8*ACOS(MIN(1,MAX(-1,SIN(RADIANS('ZIP Coordinates'!$C$2))*SIN(RADIANS(INDEX('ZIP Coordinates'!$C:$C,MATCH($A362,'ZIP Coordinates'!$A:$A,0))))+COS(RADIANS('ZIP Coordinates'!$C$2))*COS(RADIANS(INDEX('ZIP Coordinates'!$C:$C,MATCH($A362,'ZIP Coordinates'!$A:$A,0))))*COS(RADIANS(INDEX('ZIP Coordinates'!$D:$D,MATCH($A362,'ZIP Coordinates'!$A:$A,0))-'ZIP Coordinates'!$D$2))))),"N/A")</f>
        <v>161.35890377274785</v>
      </c>
      <c r="G362" s="3" t="str">
        <f t="shared" si="10"/>
        <v>150-199 mi</v>
      </c>
      <c r="H362" s="27">
        <f>IF(RIGHT($B362,1)="P",1,IF(ISNUMBER(SEARCH("HALF GALLON",$C362)),Assumptions!$B$4,IF(ISNUMBER(SEARCH("GALLON",$C362)),Assumptions!$B$3,IF(ISNUMBER(SEARCH("QUART",$C362)),Assumptions!$B$5,IF(ISNUMBER(SEARCH("PINT",$C362)),Assumptions!$B$6,Assumptions!$B$7)))))</f>
        <v>1</v>
      </c>
      <c r="I362" s="27">
        <f t="shared" si="11"/>
        <v>1</v>
      </c>
    </row>
    <row r="363" spans="1:9" x14ac:dyDescent="0.2">
      <c r="A363" s="3" t="s">
        <v>17</v>
      </c>
      <c r="B363" s="3" t="s">
        <v>284</v>
      </c>
      <c r="C363" s="3" t="s">
        <v>285</v>
      </c>
      <c r="D363" s="3" t="s">
        <v>189</v>
      </c>
      <c r="E363" s="4">
        <v>4</v>
      </c>
      <c r="F363" s="5">
        <f>IFERROR(3958.8*ACOS(MIN(1,MAX(-1,SIN(RADIANS('ZIP Coordinates'!$C$2))*SIN(RADIANS(INDEX('ZIP Coordinates'!$C:$C,MATCH($A363,'ZIP Coordinates'!$A:$A,0))))+COS(RADIANS('ZIP Coordinates'!$C$2))*COS(RADIANS(INDEX('ZIP Coordinates'!$C:$C,MATCH($A363,'ZIP Coordinates'!$A:$A,0))))*COS(RADIANS(INDEX('ZIP Coordinates'!$D:$D,MATCH($A363,'ZIP Coordinates'!$A:$A,0))-'ZIP Coordinates'!$D$2))))),"N/A")</f>
        <v>161.35890377274785</v>
      </c>
      <c r="G363" s="3" t="str">
        <f t="shared" si="10"/>
        <v>150-199 mi</v>
      </c>
      <c r="H363" s="27">
        <f>IF(RIGHT($B363,1)="P",1,IF(ISNUMBER(SEARCH("HALF GALLON",$C363)),Assumptions!$B$4,IF(ISNUMBER(SEARCH("GALLON",$C363)),Assumptions!$B$3,IF(ISNUMBER(SEARCH("QUART",$C363)),Assumptions!$B$5,IF(ISNUMBER(SEARCH("PINT",$C363)),Assumptions!$B$6,Assumptions!$B$7)))))</f>
        <v>1</v>
      </c>
      <c r="I363" s="27">
        <f t="shared" si="11"/>
        <v>4</v>
      </c>
    </row>
    <row r="364" spans="1:9" x14ac:dyDescent="0.2">
      <c r="A364" s="3" t="s">
        <v>17</v>
      </c>
      <c r="B364" s="3" t="s">
        <v>288</v>
      </c>
      <c r="C364" s="3" t="s">
        <v>287</v>
      </c>
      <c r="D364" s="3" t="s">
        <v>89</v>
      </c>
      <c r="E364" s="4">
        <v>375</v>
      </c>
      <c r="F364" s="5">
        <f>IFERROR(3958.8*ACOS(MIN(1,MAX(-1,SIN(RADIANS('ZIP Coordinates'!$C$2))*SIN(RADIANS(INDEX('ZIP Coordinates'!$C:$C,MATCH($A364,'ZIP Coordinates'!$A:$A,0))))+COS(RADIANS('ZIP Coordinates'!$C$2))*COS(RADIANS(INDEX('ZIP Coordinates'!$C:$C,MATCH($A364,'ZIP Coordinates'!$A:$A,0))))*COS(RADIANS(INDEX('ZIP Coordinates'!$D:$D,MATCH($A364,'ZIP Coordinates'!$A:$A,0))-'ZIP Coordinates'!$D$2))))),"N/A")</f>
        <v>161.35890377274785</v>
      </c>
      <c r="G364" s="3" t="str">
        <f t="shared" si="10"/>
        <v>150-199 mi</v>
      </c>
      <c r="H364" s="27">
        <f>IF(RIGHT($B364,1)="P",1,IF(ISNUMBER(SEARCH("HALF GALLON",$C364)),Assumptions!$B$4,IF(ISNUMBER(SEARCH("GALLON",$C364)),Assumptions!$B$3,IF(ISNUMBER(SEARCH("QUART",$C364)),Assumptions!$B$5,IF(ISNUMBER(SEARCH("PINT",$C364)),Assumptions!$B$6,Assumptions!$B$7)))))</f>
        <v>1</v>
      </c>
      <c r="I364" s="27">
        <f t="shared" si="11"/>
        <v>375</v>
      </c>
    </row>
    <row r="365" spans="1:9" x14ac:dyDescent="0.2">
      <c r="A365" s="3" t="s">
        <v>17</v>
      </c>
      <c r="B365" s="3" t="s">
        <v>257</v>
      </c>
      <c r="C365" s="3" t="s">
        <v>256</v>
      </c>
      <c r="D365" s="3" t="s">
        <v>89</v>
      </c>
      <c r="E365" s="4">
        <v>895</v>
      </c>
      <c r="F365" s="5">
        <f>IFERROR(3958.8*ACOS(MIN(1,MAX(-1,SIN(RADIANS('ZIP Coordinates'!$C$2))*SIN(RADIANS(INDEX('ZIP Coordinates'!$C:$C,MATCH($A365,'ZIP Coordinates'!$A:$A,0))))+COS(RADIANS('ZIP Coordinates'!$C$2))*COS(RADIANS(INDEX('ZIP Coordinates'!$C:$C,MATCH($A365,'ZIP Coordinates'!$A:$A,0))))*COS(RADIANS(INDEX('ZIP Coordinates'!$D:$D,MATCH($A365,'ZIP Coordinates'!$A:$A,0))-'ZIP Coordinates'!$D$2))))),"N/A")</f>
        <v>161.35890377274785</v>
      </c>
      <c r="G365" s="3" t="str">
        <f t="shared" si="10"/>
        <v>150-199 mi</v>
      </c>
      <c r="H365" s="27">
        <f>IF(RIGHT($B365,1)="P",1,IF(ISNUMBER(SEARCH("HALF GALLON",$C365)),Assumptions!$B$4,IF(ISNUMBER(SEARCH("GALLON",$C365)),Assumptions!$B$3,IF(ISNUMBER(SEARCH("QUART",$C365)),Assumptions!$B$5,IF(ISNUMBER(SEARCH("PINT",$C365)),Assumptions!$B$6,Assumptions!$B$7)))))</f>
        <v>1</v>
      </c>
      <c r="I365" s="27">
        <f t="shared" si="11"/>
        <v>895</v>
      </c>
    </row>
    <row r="366" spans="1:9" x14ac:dyDescent="0.2">
      <c r="A366" s="3" t="s">
        <v>18</v>
      </c>
      <c r="B366" s="3" t="s">
        <v>258</v>
      </c>
      <c r="C366" s="3" t="s">
        <v>240</v>
      </c>
      <c r="D366" s="3" t="s">
        <v>113</v>
      </c>
      <c r="E366" s="4">
        <v>5</v>
      </c>
      <c r="F366" s="5">
        <f>IFERROR(3958.8*ACOS(MIN(1,MAX(-1,SIN(RADIANS('ZIP Coordinates'!$C$2))*SIN(RADIANS(INDEX('ZIP Coordinates'!$C:$C,MATCH($A366,'ZIP Coordinates'!$A:$A,0))))+COS(RADIANS('ZIP Coordinates'!$C$2))*COS(RADIANS(INDEX('ZIP Coordinates'!$C:$C,MATCH($A366,'ZIP Coordinates'!$A:$A,0))))*COS(RADIANS(INDEX('ZIP Coordinates'!$D:$D,MATCH($A366,'ZIP Coordinates'!$A:$A,0))-'ZIP Coordinates'!$D$2))))),"N/A")</f>
        <v>186.95026739463992</v>
      </c>
      <c r="G366" s="3" t="str">
        <f t="shared" si="10"/>
        <v>150-199 mi</v>
      </c>
      <c r="H366" s="27">
        <f>IF(RIGHT($B366,1)="P",1,IF(ISNUMBER(SEARCH("HALF GALLON",$C366)),Assumptions!$B$4,IF(ISNUMBER(SEARCH("GALLON",$C366)),Assumptions!$B$3,IF(ISNUMBER(SEARCH("QUART",$C366)),Assumptions!$B$5,IF(ISNUMBER(SEARCH("PINT",$C366)),Assumptions!$B$6,Assumptions!$B$7)))))</f>
        <v>4</v>
      </c>
      <c r="I366" s="27">
        <f t="shared" si="11"/>
        <v>20</v>
      </c>
    </row>
    <row r="367" spans="1:9" x14ac:dyDescent="0.2">
      <c r="A367" s="3" t="s">
        <v>18</v>
      </c>
      <c r="B367" s="3" t="s">
        <v>239</v>
      </c>
      <c r="C367" s="3" t="s">
        <v>240</v>
      </c>
      <c r="D367" s="3" t="s">
        <v>113</v>
      </c>
      <c r="E367" s="4">
        <v>10</v>
      </c>
      <c r="F367" s="5">
        <f>IFERROR(3958.8*ACOS(MIN(1,MAX(-1,SIN(RADIANS('ZIP Coordinates'!$C$2))*SIN(RADIANS(INDEX('ZIP Coordinates'!$C:$C,MATCH($A367,'ZIP Coordinates'!$A:$A,0))))+COS(RADIANS('ZIP Coordinates'!$C$2))*COS(RADIANS(INDEX('ZIP Coordinates'!$C:$C,MATCH($A367,'ZIP Coordinates'!$A:$A,0))))*COS(RADIANS(INDEX('ZIP Coordinates'!$D:$D,MATCH($A367,'ZIP Coordinates'!$A:$A,0))-'ZIP Coordinates'!$D$2))))),"N/A")</f>
        <v>186.95026739463992</v>
      </c>
      <c r="G367" s="3" t="str">
        <f t="shared" si="10"/>
        <v>150-199 mi</v>
      </c>
      <c r="H367" s="27">
        <f>IF(RIGHT($B367,1)="P",1,IF(ISNUMBER(SEARCH("HALF GALLON",$C367)),Assumptions!$B$4,IF(ISNUMBER(SEARCH("GALLON",$C367)),Assumptions!$B$3,IF(ISNUMBER(SEARCH("QUART",$C367)),Assumptions!$B$5,IF(ISNUMBER(SEARCH("PINT",$C367)),Assumptions!$B$6,Assumptions!$B$7)))))</f>
        <v>1</v>
      </c>
      <c r="I367" s="27">
        <f t="shared" si="11"/>
        <v>10</v>
      </c>
    </row>
    <row r="368" spans="1:9" x14ac:dyDescent="0.2">
      <c r="A368" s="3" t="s">
        <v>18</v>
      </c>
      <c r="B368" s="3" t="s">
        <v>259</v>
      </c>
      <c r="C368" s="3" t="s">
        <v>260</v>
      </c>
      <c r="D368" s="3" t="s">
        <v>113</v>
      </c>
      <c r="E368" s="4">
        <v>7</v>
      </c>
      <c r="F368" s="5">
        <f>IFERROR(3958.8*ACOS(MIN(1,MAX(-1,SIN(RADIANS('ZIP Coordinates'!$C$2))*SIN(RADIANS(INDEX('ZIP Coordinates'!$C:$C,MATCH($A368,'ZIP Coordinates'!$A:$A,0))))+COS(RADIANS('ZIP Coordinates'!$C$2))*COS(RADIANS(INDEX('ZIP Coordinates'!$C:$C,MATCH($A368,'ZIP Coordinates'!$A:$A,0))))*COS(RADIANS(INDEX('ZIP Coordinates'!$D:$D,MATCH($A368,'ZIP Coordinates'!$A:$A,0))-'ZIP Coordinates'!$D$2))))),"N/A")</f>
        <v>186.95026739463992</v>
      </c>
      <c r="G368" s="3" t="str">
        <f t="shared" si="10"/>
        <v>150-199 mi</v>
      </c>
      <c r="H368" s="27">
        <f>IF(RIGHT($B368,1)="P",1,IF(ISNUMBER(SEARCH("HALF GALLON",$C368)),Assumptions!$B$4,IF(ISNUMBER(SEARCH("GALLON",$C368)),Assumptions!$B$3,IF(ISNUMBER(SEARCH("QUART",$C368)),Assumptions!$B$5,IF(ISNUMBER(SEARCH("PINT",$C368)),Assumptions!$B$6,Assumptions!$B$7)))))</f>
        <v>4</v>
      </c>
      <c r="I368" s="27">
        <f t="shared" si="11"/>
        <v>28</v>
      </c>
    </row>
    <row r="369" spans="1:9" x14ac:dyDescent="0.2">
      <c r="A369" s="3" t="s">
        <v>18</v>
      </c>
      <c r="B369" s="3" t="s">
        <v>261</v>
      </c>
      <c r="C369" s="3" t="s">
        <v>260</v>
      </c>
      <c r="D369" s="3" t="s">
        <v>113</v>
      </c>
      <c r="E369" s="4">
        <v>8</v>
      </c>
      <c r="F369" s="5">
        <f>IFERROR(3958.8*ACOS(MIN(1,MAX(-1,SIN(RADIANS('ZIP Coordinates'!$C$2))*SIN(RADIANS(INDEX('ZIP Coordinates'!$C:$C,MATCH($A369,'ZIP Coordinates'!$A:$A,0))))+COS(RADIANS('ZIP Coordinates'!$C$2))*COS(RADIANS(INDEX('ZIP Coordinates'!$C:$C,MATCH($A369,'ZIP Coordinates'!$A:$A,0))))*COS(RADIANS(INDEX('ZIP Coordinates'!$D:$D,MATCH($A369,'ZIP Coordinates'!$A:$A,0))-'ZIP Coordinates'!$D$2))))),"N/A")</f>
        <v>186.95026739463992</v>
      </c>
      <c r="G369" s="3" t="str">
        <f t="shared" si="10"/>
        <v>150-199 mi</v>
      </c>
      <c r="H369" s="27">
        <f>IF(RIGHT($B369,1)="P",1,IF(ISNUMBER(SEARCH("HALF GALLON",$C369)),Assumptions!$B$4,IF(ISNUMBER(SEARCH("GALLON",$C369)),Assumptions!$B$3,IF(ISNUMBER(SEARCH("QUART",$C369)),Assumptions!$B$5,IF(ISNUMBER(SEARCH("PINT",$C369)),Assumptions!$B$6,Assumptions!$B$7)))))</f>
        <v>1</v>
      </c>
      <c r="I369" s="27">
        <f t="shared" si="11"/>
        <v>8</v>
      </c>
    </row>
    <row r="370" spans="1:9" x14ac:dyDescent="0.2">
      <c r="A370" s="3" t="s">
        <v>18</v>
      </c>
      <c r="B370" s="3" t="s">
        <v>270</v>
      </c>
      <c r="C370" s="3" t="s">
        <v>242</v>
      </c>
      <c r="D370" s="3" t="s">
        <v>129</v>
      </c>
      <c r="E370" s="4">
        <v>16</v>
      </c>
      <c r="F370" s="5">
        <f>IFERROR(3958.8*ACOS(MIN(1,MAX(-1,SIN(RADIANS('ZIP Coordinates'!$C$2))*SIN(RADIANS(INDEX('ZIP Coordinates'!$C:$C,MATCH($A370,'ZIP Coordinates'!$A:$A,0))))+COS(RADIANS('ZIP Coordinates'!$C$2))*COS(RADIANS(INDEX('ZIP Coordinates'!$C:$C,MATCH($A370,'ZIP Coordinates'!$A:$A,0))))*COS(RADIANS(INDEX('ZIP Coordinates'!$D:$D,MATCH($A370,'ZIP Coordinates'!$A:$A,0))-'ZIP Coordinates'!$D$2))))),"N/A")</f>
        <v>186.95026739463992</v>
      </c>
      <c r="G370" s="3" t="str">
        <f t="shared" si="10"/>
        <v>150-199 mi</v>
      </c>
      <c r="H370" s="27">
        <f>IF(RIGHT($B370,1)="P",1,IF(ISNUMBER(SEARCH("HALF GALLON",$C370)),Assumptions!$B$4,IF(ISNUMBER(SEARCH("GALLON",$C370)),Assumptions!$B$3,IF(ISNUMBER(SEARCH("QUART",$C370)),Assumptions!$B$5,IF(ISNUMBER(SEARCH("PINT",$C370)),Assumptions!$B$6,Assumptions!$B$7)))))</f>
        <v>9</v>
      </c>
      <c r="I370" s="27">
        <f t="shared" si="11"/>
        <v>144</v>
      </c>
    </row>
    <row r="371" spans="1:9" x14ac:dyDescent="0.2">
      <c r="A371" s="3" t="s">
        <v>18</v>
      </c>
      <c r="B371" s="3" t="s">
        <v>270</v>
      </c>
      <c r="C371" s="3" t="s">
        <v>242</v>
      </c>
      <c r="D371" s="3" t="s">
        <v>129</v>
      </c>
      <c r="E371" s="4">
        <v>9</v>
      </c>
      <c r="F371" s="5">
        <f>IFERROR(3958.8*ACOS(MIN(1,MAX(-1,SIN(RADIANS('ZIP Coordinates'!$C$2))*SIN(RADIANS(INDEX('ZIP Coordinates'!$C:$C,MATCH($A371,'ZIP Coordinates'!$A:$A,0))))+COS(RADIANS('ZIP Coordinates'!$C$2))*COS(RADIANS(INDEX('ZIP Coordinates'!$C:$C,MATCH($A371,'ZIP Coordinates'!$A:$A,0))))*COS(RADIANS(INDEX('ZIP Coordinates'!$D:$D,MATCH($A371,'ZIP Coordinates'!$A:$A,0))-'ZIP Coordinates'!$D$2))))),"N/A")</f>
        <v>186.95026739463992</v>
      </c>
      <c r="G371" s="3" t="str">
        <f t="shared" si="10"/>
        <v>150-199 mi</v>
      </c>
      <c r="H371" s="27">
        <f>IF(RIGHT($B371,1)="P",1,IF(ISNUMBER(SEARCH("HALF GALLON",$C371)),Assumptions!$B$4,IF(ISNUMBER(SEARCH("GALLON",$C371)),Assumptions!$B$3,IF(ISNUMBER(SEARCH("QUART",$C371)),Assumptions!$B$5,IF(ISNUMBER(SEARCH("PINT",$C371)),Assumptions!$B$6,Assumptions!$B$7)))))</f>
        <v>9</v>
      </c>
      <c r="I371" s="27">
        <f t="shared" si="11"/>
        <v>81</v>
      </c>
    </row>
    <row r="372" spans="1:9" x14ac:dyDescent="0.2">
      <c r="A372" s="3" t="s">
        <v>18</v>
      </c>
      <c r="B372" s="3" t="s">
        <v>241</v>
      </c>
      <c r="C372" s="3" t="s">
        <v>242</v>
      </c>
      <c r="D372" s="3" t="s">
        <v>113</v>
      </c>
      <c r="E372" s="4">
        <v>39</v>
      </c>
      <c r="F372" s="5">
        <f>IFERROR(3958.8*ACOS(MIN(1,MAX(-1,SIN(RADIANS('ZIP Coordinates'!$C$2))*SIN(RADIANS(INDEX('ZIP Coordinates'!$C:$C,MATCH($A372,'ZIP Coordinates'!$A:$A,0))))+COS(RADIANS('ZIP Coordinates'!$C$2))*COS(RADIANS(INDEX('ZIP Coordinates'!$C:$C,MATCH($A372,'ZIP Coordinates'!$A:$A,0))))*COS(RADIANS(INDEX('ZIP Coordinates'!$D:$D,MATCH($A372,'ZIP Coordinates'!$A:$A,0))-'ZIP Coordinates'!$D$2))))),"N/A")</f>
        <v>186.95026739463992</v>
      </c>
      <c r="G372" s="3" t="str">
        <f t="shared" si="10"/>
        <v>150-199 mi</v>
      </c>
      <c r="H372" s="27">
        <f>IF(RIGHT($B372,1)="P",1,IF(ISNUMBER(SEARCH("HALF GALLON",$C372)),Assumptions!$B$4,IF(ISNUMBER(SEARCH("GALLON",$C372)),Assumptions!$B$3,IF(ISNUMBER(SEARCH("QUART",$C372)),Assumptions!$B$5,IF(ISNUMBER(SEARCH("PINT",$C372)),Assumptions!$B$6,Assumptions!$B$7)))))</f>
        <v>1</v>
      </c>
      <c r="I372" s="27">
        <f t="shared" si="11"/>
        <v>39</v>
      </c>
    </row>
    <row r="373" spans="1:9" x14ac:dyDescent="0.2">
      <c r="A373" s="3" t="s">
        <v>18</v>
      </c>
      <c r="B373" s="3" t="s">
        <v>271</v>
      </c>
      <c r="C373" s="3" t="s">
        <v>244</v>
      </c>
      <c r="D373" s="3" t="s">
        <v>172</v>
      </c>
      <c r="E373" s="4">
        <v>11</v>
      </c>
      <c r="F373" s="5">
        <f>IFERROR(3958.8*ACOS(MIN(1,MAX(-1,SIN(RADIANS('ZIP Coordinates'!$C$2))*SIN(RADIANS(INDEX('ZIP Coordinates'!$C:$C,MATCH($A373,'ZIP Coordinates'!$A:$A,0))))+COS(RADIANS('ZIP Coordinates'!$C$2))*COS(RADIANS(INDEX('ZIP Coordinates'!$C:$C,MATCH($A373,'ZIP Coordinates'!$A:$A,0))))*COS(RADIANS(INDEX('ZIP Coordinates'!$D:$D,MATCH($A373,'ZIP Coordinates'!$A:$A,0))-'ZIP Coordinates'!$D$2))))),"N/A")</f>
        <v>186.95026739463992</v>
      </c>
      <c r="G373" s="3" t="str">
        <f t="shared" si="10"/>
        <v>150-199 mi</v>
      </c>
      <c r="H373" s="27">
        <f>IF(RIGHT($B373,1)="P",1,IF(ISNUMBER(SEARCH("HALF GALLON",$C373)),Assumptions!$B$4,IF(ISNUMBER(SEARCH("GALLON",$C373)),Assumptions!$B$3,IF(ISNUMBER(SEARCH("QUART",$C373)),Assumptions!$B$5,IF(ISNUMBER(SEARCH("PINT",$C373)),Assumptions!$B$6,Assumptions!$B$7)))))</f>
        <v>9</v>
      </c>
      <c r="I373" s="27">
        <f t="shared" si="11"/>
        <v>99</v>
      </c>
    </row>
    <row r="374" spans="1:9" x14ac:dyDescent="0.2">
      <c r="A374" s="3" t="s">
        <v>18</v>
      </c>
      <c r="B374" s="3" t="s">
        <v>243</v>
      </c>
      <c r="C374" s="3" t="s">
        <v>244</v>
      </c>
      <c r="D374" s="3" t="s">
        <v>113</v>
      </c>
      <c r="E374" s="4">
        <v>43</v>
      </c>
      <c r="F374" s="5">
        <f>IFERROR(3958.8*ACOS(MIN(1,MAX(-1,SIN(RADIANS('ZIP Coordinates'!$C$2))*SIN(RADIANS(INDEX('ZIP Coordinates'!$C:$C,MATCH($A374,'ZIP Coordinates'!$A:$A,0))))+COS(RADIANS('ZIP Coordinates'!$C$2))*COS(RADIANS(INDEX('ZIP Coordinates'!$C:$C,MATCH($A374,'ZIP Coordinates'!$A:$A,0))))*COS(RADIANS(INDEX('ZIP Coordinates'!$D:$D,MATCH($A374,'ZIP Coordinates'!$A:$A,0))-'ZIP Coordinates'!$D$2))))),"N/A")</f>
        <v>186.95026739463992</v>
      </c>
      <c r="G374" s="3" t="str">
        <f t="shared" si="10"/>
        <v>150-199 mi</v>
      </c>
      <c r="H374" s="27">
        <f>IF(RIGHT($B374,1)="P",1,IF(ISNUMBER(SEARCH("HALF GALLON",$C374)),Assumptions!$B$4,IF(ISNUMBER(SEARCH("GALLON",$C374)),Assumptions!$B$3,IF(ISNUMBER(SEARCH("QUART",$C374)),Assumptions!$B$5,IF(ISNUMBER(SEARCH("PINT",$C374)),Assumptions!$B$6,Assumptions!$B$7)))))</f>
        <v>1</v>
      </c>
      <c r="I374" s="27">
        <f t="shared" si="11"/>
        <v>43</v>
      </c>
    </row>
    <row r="375" spans="1:9" x14ac:dyDescent="0.2">
      <c r="A375" s="3" t="s">
        <v>18</v>
      </c>
      <c r="B375" s="3" t="s">
        <v>291</v>
      </c>
      <c r="C375" s="3" t="s">
        <v>273</v>
      </c>
      <c r="D375" s="3" t="s">
        <v>172</v>
      </c>
      <c r="E375" s="4">
        <v>32</v>
      </c>
      <c r="F375" s="5">
        <f>IFERROR(3958.8*ACOS(MIN(1,MAX(-1,SIN(RADIANS('ZIP Coordinates'!$C$2))*SIN(RADIANS(INDEX('ZIP Coordinates'!$C:$C,MATCH($A375,'ZIP Coordinates'!$A:$A,0))))+COS(RADIANS('ZIP Coordinates'!$C$2))*COS(RADIANS(INDEX('ZIP Coordinates'!$C:$C,MATCH($A375,'ZIP Coordinates'!$A:$A,0))))*COS(RADIANS(INDEX('ZIP Coordinates'!$D:$D,MATCH($A375,'ZIP Coordinates'!$A:$A,0))-'ZIP Coordinates'!$D$2))))),"N/A")</f>
        <v>186.95026739463992</v>
      </c>
      <c r="G375" s="3" t="str">
        <f t="shared" si="10"/>
        <v>150-199 mi</v>
      </c>
      <c r="H375" s="27">
        <f>IF(RIGHT($B375,1)="P",1,IF(ISNUMBER(SEARCH("HALF GALLON",$C375)),Assumptions!$B$4,IF(ISNUMBER(SEARCH("GALLON",$C375)),Assumptions!$B$3,IF(ISNUMBER(SEARCH("QUART",$C375)),Assumptions!$B$5,IF(ISNUMBER(SEARCH("PINT",$C375)),Assumptions!$B$6,Assumptions!$B$7)))))</f>
        <v>9</v>
      </c>
      <c r="I375" s="27">
        <f t="shared" si="11"/>
        <v>288</v>
      </c>
    </row>
    <row r="376" spans="1:9" x14ac:dyDescent="0.2">
      <c r="A376" s="3" t="s">
        <v>18</v>
      </c>
      <c r="B376" s="3" t="s">
        <v>272</v>
      </c>
      <c r="C376" s="3" t="s">
        <v>273</v>
      </c>
      <c r="D376" s="3" t="s">
        <v>172</v>
      </c>
      <c r="E376" s="4">
        <v>5</v>
      </c>
      <c r="F376" s="5">
        <f>IFERROR(3958.8*ACOS(MIN(1,MAX(-1,SIN(RADIANS('ZIP Coordinates'!$C$2))*SIN(RADIANS(INDEX('ZIP Coordinates'!$C:$C,MATCH($A376,'ZIP Coordinates'!$A:$A,0))))+COS(RADIANS('ZIP Coordinates'!$C$2))*COS(RADIANS(INDEX('ZIP Coordinates'!$C:$C,MATCH($A376,'ZIP Coordinates'!$A:$A,0))))*COS(RADIANS(INDEX('ZIP Coordinates'!$D:$D,MATCH($A376,'ZIP Coordinates'!$A:$A,0))-'ZIP Coordinates'!$D$2))))),"N/A")</f>
        <v>186.95026739463992</v>
      </c>
      <c r="G376" s="3" t="str">
        <f t="shared" si="10"/>
        <v>150-199 mi</v>
      </c>
      <c r="H376" s="27">
        <f>IF(RIGHT($B376,1)="P",1,IF(ISNUMBER(SEARCH("HALF GALLON",$C376)),Assumptions!$B$4,IF(ISNUMBER(SEARCH("GALLON",$C376)),Assumptions!$B$3,IF(ISNUMBER(SEARCH("QUART",$C376)),Assumptions!$B$5,IF(ISNUMBER(SEARCH("PINT",$C376)),Assumptions!$B$6,Assumptions!$B$7)))))</f>
        <v>1</v>
      </c>
      <c r="I376" s="27">
        <f t="shared" si="11"/>
        <v>5</v>
      </c>
    </row>
    <row r="377" spans="1:9" x14ac:dyDescent="0.2">
      <c r="A377" s="3" t="s">
        <v>18</v>
      </c>
      <c r="B377" s="3" t="s">
        <v>274</v>
      </c>
      <c r="C377" s="3" t="s">
        <v>275</v>
      </c>
      <c r="D377" s="3" t="s">
        <v>129</v>
      </c>
      <c r="E377" s="4">
        <v>59</v>
      </c>
      <c r="F377" s="5">
        <f>IFERROR(3958.8*ACOS(MIN(1,MAX(-1,SIN(RADIANS('ZIP Coordinates'!$C$2))*SIN(RADIANS(INDEX('ZIP Coordinates'!$C:$C,MATCH($A377,'ZIP Coordinates'!$A:$A,0))))+COS(RADIANS('ZIP Coordinates'!$C$2))*COS(RADIANS(INDEX('ZIP Coordinates'!$C:$C,MATCH($A377,'ZIP Coordinates'!$A:$A,0))))*COS(RADIANS(INDEX('ZIP Coordinates'!$D:$D,MATCH($A377,'ZIP Coordinates'!$A:$A,0))-'ZIP Coordinates'!$D$2))))),"N/A")</f>
        <v>186.95026739463992</v>
      </c>
      <c r="G377" s="3" t="str">
        <f t="shared" si="10"/>
        <v>150-199 mi</v>
      </c>
      <c r="H377" s="27">
        <f>IF(RIGHT($B377,1)="P",1,IF(ISNUMBER(SEARCH("HALF GALLON",$C377)),Assumptions!$B$4,IF(ISNUMBER(SEARCH("GALLON",$C377)),Assumptions!$B$3,IF(ISNUMBER(SEARCH("QUART",$C377)),Assumptions!$B$5,IF(ISNUMBER(SEARCH("PINT",$C377)),Assumptions!$B$6,Assumptions!$B$7)))))</f>
        <v>9</v>
      </c>
      <c r="I377" s="27">
        <f t="shared" si="11"/>
        <v>531</v>
      </c>
    </row>
    <row r="378" spans="1:9" x14ac:dyDescent="0.2">
      <c r="A378" s="3" t="s">
        <v>18</v>
      </c>
      <c r="B378" s="3" t="s">
        <v>274</v>
      </c>
      <c r="C378" s="3" t="s">
        <v>275</v>
      </c>
      <c r="D378" s="3" t="s">
        <v>129</v>
      </c>
      <c r="E378" s="4">
        <v>15</v>
      </c>
      <c r="F378" s="5">
        <f>IFERROR(3958.8*ACOS(MIN(1,MAX(-1,SIN(RADIANS('ZIP Coordinates'!$C$2))*SIN(RADIANS(INDEX('ZIP Coordinates'!$C:$C,MATCH($A378,'ZIP Coordinates'!$A:$A,0))))+COS(RADIANS('ZIP Coordinates'!$C$2))*COS(RADIANS(INDEX('ZIP Coordinates'!$C:$C,MATCH($A378,'ZIP Coordinates'!$A:$A,0))))*COS(RADIANS(INDEX('ZIP Coordinates'!$D:$D,MATCH($A378,'ZIP Coordinates'!$A:$A,0))-'ZIP Coordinates'!$D$2))))),"N/A")</f>
        <v>186.95026739463992</v>
      </c>
      <c r="G378" s="3" t="str">
        <f t="shared" si="10"/>
        <v>150-199 mi</v>
      </c>
      <c r="H378" s="27">
        <f>IF(RIGHT($B378,1)="P",1,IF(ISNUMBER(SEARCH("HALF GALLON",$C378)),Assumptions!$B$4,IF(ISNUMBER(SEARCH("GALLON",$C378)),Assumptions!$B$3,IF(ISNUMBER(SEARCH("QUART",$C378)),Assumptions!$B$5,IF(ISNUMBER(SEARCH("PINT",$C378)),Assumptions!$B$6,Assumptions!$B$7)))))</f>
        <v>9</v>
      </c>
      <c r="I378" s="27">
        <f t="shared" si="11"/>
        <v>135</v>
      </c>
    </row>
    <row r="379" spans="1:9" x14ac:dyDescent="0.2">
      <c r="A379" s="3" t="s">
        <v>18</v>
      </c>
      <c r="B379" s="3" t="s">
        <v>276</v>
      </c>
      <c r="C379" s="3" t="s">
        <v>275</v>
      </c>
      <c r="D379" s="3" t="s">
        <v>113</v>
      </c>
      <c r="E379" s="4">
        <v>50</v>
      </c>
      <c r="F379" s="5">
        <f>IFERROR(3958.8*ACOS(MIN(1,MAX(-1,SIN(RADIANS('ZIP Coordinates'!$C$2))*SIN(RADIANS(INDEX('ZIP Coordinates'!$C:$C,MATCH($A379,'ZIP Coordinates'!$A:$A,0))))+COS(RADIANS('ZIP Coordinates'!$C$2))*COS(RADIANS(INDEX('ZIP Coordinates'!$C:$C,MATCH($A379,'ZIP Coordinates'!$A:$A,0))))*COS(RADIANS(INDEX('ZIP Coordinates'!$D:$D,MATCH($A379,'ZIP Coordinates'!$A:$A,0))-'ZIP Coordinates'!$D$2))))),"N/A")</f>
        <v>186.95026739463992</v>
      </c>
      <c r="G379" s="3" t="str">
        <f t="shared" si="10"/>
        <v>150-199 mi</v>
      </c>
      <c r="H379" s="27">
        <f>IF(RIGHT($B379,1)="P",1,IF(ISNUMBER(SEARCH("HALF GALLON",$C379)),Assumptions!$B$4,IF(ISNUMBER(SEARCH("GALLON",$C379)),Assumptions!$B$3,IF(ISNUMBER(SEARCH("QUART",$C379)),Assumptions!$B$5,IF(ISNUMBER(SEARCH("PINT",$C379)),Assumptions!$B$6,Assumptions!$B$7)))))</f>
        <v>1</v>
      </c>
      <c r="I379" s="27">
        <f t="shared" si="11"/>
        <v>50</v>
      </c>
    </row>
    <row r="380" spans="1:9" x14ac:dyDescent="0.2">
      <c r="A380" s="3" t="s">
        <v>18</v>
      </c>
      <c r="B380" s="3" t="s">
        <v>292</v>
      </c>
      <c r="C380" s="3" t="s">
        <v>293</v>
      </c>
      <c r="D380" s="3" t="s">
        <v>129</v>
      </c>
      <c r="E380" s="4">
        <v>25</v>
      </c>
      <c r="F380" s="5">
        <f>IFERROR(3958.8*ACOS(MIN(1,MAX(-1,SIN(RADIANS('ZIP Coordinates'!$C$2))*SIN(RADIANS(INDEX('ZIP Coordinates'!$C:$C,MATCH($A380,'ZIP Coordinates'!$A:$A,0))))+COS(RADIANS('ZIP Coordinates'!$C$2))*COS(RADIANS(INDEX('ZIP Coordinates'!$C:$C,MATCH($A380,'ZIP Coordinates'!$A:$A,0))))*COS(RADIANS(INDEX('ZIP Coordinates'!$D:$D,MATCH($A380,'ZIP Coordinates'!$A:$A,0))-'ZIP Coordinates'!$D$2))))),"N/A")</f>
        <v>186.95026739463992</v>
      </c>
      <c r="G380" s="3" t="str">
        <f t="shared" si="10"/>
        <v>150-199 mi</v>
      </c>
      <c r="H380" s="27">
        <f>IF(RIGHT($B380,1)="P",1,IF(ISNUMBER(SEARCH("HALF GALLON",$C380)),Assumptions!$B$4,IF(ISNUMBER(SEARCH("GALLON",$C380)),Assumptions!$B$3,IF(ISNUMBER(SEARCH("QUART",$C380)),Assumptions!$B$5,IF(ISNUMBER(SEARCH("PINT",$C380)),Assumptions!$B$6,Assumptions!$B$7)))))</f>
        <v>9</v>
      </c>
      <c r="I380" s="27">
        <f t="shared" si="11"/>
        <v>225</v>
      </c>
    </row>
    <row r="381" spans="1:9" x14ac:dyDescent="0.2">
      <c r="A381" s="3" t="s">
        <v>18</v>
      </c>
      <c r="B381" s="3" t="s">
        <v>247</v>
      </c>
      <c r="C381" s="3" t="s">
        <v>246</v>
      </c>
      <c r="D381" s="3" t="s">
        <v>113</v>
      </c>
      <c r="E381" s="4">
        <v>66</v>
      </c>
      <c r="F381" s="5">
        <f>IFERROR(3958.8*ACOS(MIN(1,MAX(-1,SIN(RADIANS('ZIP Coordinates'!$C$2))*SIN(RADIANS(INDEX('ZIP Coordinates'!$C:$C,MATCH($A381,'ZIP Coordinates'!$A:$A,0))))+COS(RADIANS('ZIP Coordinates'!$C$2))*COS(RADIANS(INDEX('ZIP Coordinates'!$C:$C,MATCH($A381,'ZIP Coordinates'!$A:$A,0))))*COS(RADIANS(INDEX('ZIP Coordinates'!$D:$D,MATCH($A381,'ZIP Coordinates'!$A:$A,0))-'ZIP Coordinates'!$D$2))))),"N/A")</f>
        <v>186.95026739463992</v>
      </c>
      <c r="G381" s="3" t="str">
        <f t="shared" si="10"/>
        <v>150-199 mi</v>
      </c>
      <c r="H381" s="27">
        <f>IF(RIGHT($B381,1)="P",1,IF(ISNUMBER(SEARCH("HALF GALLON",$C381)),Assumptions!$B$4,IF(ISNUMBER(SEARCH("GALLON",$C381)),Assumptions!$B$3,IF(ISNUMBER(SEARCH("QUART",$C381)),Assumptions!$B$5,IF(ISNUMBER(SEARCH("PINT",$C381)),Assumptions!$B$6,Assumptions!$B$7)))))</f>
        <v>1</v>
      </c>
      <c r="I381" s="27">
        <f t="shared" si="11"/>
        <v>66</v>
      </c>
    </row>
    <row r="382" spans="1:9" x14ac:dyDescent="0.2">
      <c r="A382" s="3" t="s">
        <v>18</v>
      </c>
      <c r="B382" s="3" t="s">
        <v>248</v>
      </c>
      <c r="C382" s="3" t="s">
        <v>249</v>
      </c>
      <c r="D382" s="3" t="s">
        <v>129</v>
      </c>
      <c r="E382" s="4">
        <v>6</v>
      </c>
      <c r="F382" s="5">
        <f>IFERROR(3958.8*ACOS(MIN(1,MAX(-1,SIN(RADIANS('ZIP Coordinates'!$C$2))*SIN(RADIANS(INDEX('ZIP Coordinates'!$C:$C,MATCH($A382,'ZIP Coordinates'!$A:$A,0))))+COS(RADIANS('ZIP Coordinates'!$C$2))*COS(RADIANS(INDEX('ZIP Coordinates'!$C:$C,MATCH($A382,'ZIP Coordinates'!$A:$A,0))))*COS(RADIANS(INDEX('ZIP Coordinates'!$D:$D,MATCH($A382,'ZIP Coordinates'!$A:$A,0))-'ZIP Coordinates'!$D$2))))),"N/A")</f>
        <v>186.95026739463992</v>
      </c>
      <c r="G382" s="3" t="str">
        <f t="shared" si="10"/>
        <v>150-199 mi</v>
      </c>
      <c r="H382" s="27">
        <f>IF(RIGHT($B382,1)="P",1,IF(ISNUMBER(SEARCH("HALF GALLON",$C382)),Assumptions!$B$4,IF(ISNUMBER(SEARCH("GALLON",$C382)),Assumptions!$B$3,IF(ISNUMBER(SEARCH("QUART",$C382)),Assumptions!$B$5,IF(ISNUMBER(SEARCH("PINT",$C382)),Assumptions!$B$6,Assumptions!$B$7)))))</f>
        <v>20</v>
      </c>
      <c r="I382" s="27">
        <f t="shared" si="11"/>
        <v>120</v>
      </c>
    </row>
    <row r="383" spans="1:9" x14ac:dyDescent="0.2">
      <c r="A383" s="3" t="s">
        <v>18</v>
      </c>
      <c r="B383" s="3" t="s">
        <v>248</v>
      </c>
      <c r="C383" s="3" t="s">
        <v>249</v>
      </c>
      <c r="D383" s="3" t="s">
        <v>129</v>
      </c>
      <c r="E383" s="4">
        <v>6</v>
      </c>
      <c r="F383" s="5">
        <f>IFERROR(3958.8*ACOS(MIN(1,MAX(-1,SIN(RADIANS('ZIP Coordinates'!$C$2))*SIN(RADIANS(INDEX('ZIP Coordinates'!$C:$C,MATCH($A383,'ZIP Coordinates'!$A:$A,0))))+COS(RADIANS('ZIP Coordinates'!$C$2))*COS(RADIANS(INDEX('ZIP Coordinates'!$C:$C,MATCH($A383,'ZIP Coordinates'!$A:$A,0))))*COS(RADIANS(INDEX('ZIP Coordinates'!$D:$D,MATCH($A383,'ZIP Coordinates'!$A:$A,0))-'ZIP Coordinates'!$D$2))))),"N/A")</f>
        <v>186.95026739463992</v>
      </c>
      <c r="G383" s="3" t="str">
        <f t="shared" si="10"/>
        <v>150-199 mi</v>
      </c>
      <c r="H383" s="27">
        <f>IF(RIGHT($B383,1)="P",1,IF(ISNUMBER(SEARCH("HALF GALLON",$C383)),Assumptions!$B$4,IF(ISNUMBER(SEARCH("GALLON",$C383)),Assumptions!$B$3,IF(ISNUMBER(SEARCH("QUART",$C383)),Assumptions!$B$5,IF(ISNUMBER(SEARCH("PINT",$C383)),Assumptions!$B$6,Assumptions!$B$7)))))</f>
        <v>20</v>
      </c>
      <c r="I383" s="27">
        <f t="shared" si="11"/>
        <v>120</v>
      </c>
    </row>
    <row r="384" spans="1:9" x14ac:dyDescent="0.2">
      <c r="A384" s="3" t="s">
        <v>18</v>
      </c>
      <c r="B384" s="3" t="s">
        <v>248</v>
      </c>
      <c r="C384" s="3" t="s">
        <v>249</v>
      </c>
      <c r="D384" s="3" t="s">
        <v>129</v>
      </c>
      <c r="E384" s="4">
        <v>1</v>
      </c>
      <c r="F384" s="5">
        <f>IFERROR(3958.8*ACOS(MIN(1,MAX(-1,SIN(RADIANS('ZIP Coordinates'!$C$2))*SIN(RADIANS(INDEX('ZIP Coordinates'!$C:$C,MATCH($A384,'ZIP Coordinates'!$A:$A,0))))+COS(RADIANS('ZIP Coordinates'!$C$2))*COS(RADIANS(INDEX('ZIP Coordinates'!$C:$C,MATCH($A384,'ZIP Coordinates'!$A:$A,0))))*COS(RADIANS(INDEX('ZIP Coordinates'!$D:$D,MATCH($A384,'ZIP Coordinates'!$A:$A,0))-'ZIP Coordinates'!$D$2))))),"N/A")</f>
        <v>186.95026739463992</v>
      </c>
      <c r="G384" s="3" t="str">
        <f t="shared" si="10"/>
        <v>150-199 mi</v>
      </c>
      <c r="H384" s="27">
        <f>IF(RIGHT($B384,1)="P",1,IF(ISNUMBER(SEARCH("HALF GALLON",$C384)),Assumptions!$B$4,IF(ISNUMBER(SEARCH("GALLON",$C384)),Assumptions!$B$3,IF(ISNUMBER(SEARCH("QUART",$C384)),Assumptions!$B$5,IF(ISNUMBER(SEARCH("PINT",$C384)),Assumptions!$B$6,Assumptions!$B$7)))))</f>
        <v>20</v>
      </c>
      <c r="I384" s="27">
        <f t="shared" si="11"/>
        <v>20</v>
      </c>
    </row>
    <row r="385" spans="1:9" x14ac:dyDescent="0.2">
      <c r="A385" s="3" t="s">
        <v>18</v>
      </c>
      <c r="B385" s="3" t="s">
        <v>250</v>
      </c>
      <c r="C385" s="3" t="s">
        <v>249</v>
      </c>
      <c r="D385" s="3" t="s">
        <v>113</v>
      </c>
      <c r="E385" s="4">
        <v>63</v>
      </c>
      <c r="F385" s="5">
        <f>IFERROR(3958.8*ACOS(MIN(1,MAX(-1,SIN(RADIANS('ZIP Coordinates'!$C$2))*SIN(RADIANS(INDEX('ZIP Coordinates'!$C:$C,MATCH($A385,'ZIP Coordinates'!$A:$A,0))))+COS(RADIANS('ZIP Coordinates'!$C$2))*COS(RADIANS(INDEX('ZIP Coordinates'!$C:$C,MATCH($A385,'ZIP Coordinates'!$A:$A,0))))*COS(RADIANS(INDEX('ZIP Coordinates'!$D:$D,MATCH($A385,'ZIP Coordinates'!$A:$A,0))-'ZIP Coordinates'!$D$2))))),"N/A")</f>
        <v>186.95026739463992</v>
      </c>
      <c r="G385" s="3" t="str">
        <f t="shared" si="10"/>
        <v>150-199 mi</v>
      </c>
      <c r="H385" s="27">
        <f>IF(RIGHT($B385,1)="P",1,IF(ISNUMBER(SEARCH("HALF GALLON",$C385)),Assumptions!$B$4,IF(ISNUMBER(SEARCH("GALLON",$C385)),Assumptions!$B$3,IF(ISNUMBER(SEARCH("QUART",$C385)),Assumptions!$B$5,IF(ISNUMBER(SEARCH("PINT",$C385)),Assumptions!$B$6,Assumptions!$B$7)))))</f>
        <v>1</v>
      </c>
      <c r="I385" s="27">
        <f t="shared" si="11"/>
        <v>63</v>
      </c>
    </row>
    <row r="386" spans="1:9" x14ac:dyDescent="0.2">
      <c r="A386" s="3" t="s">
        <v>18</v>
      </c>
      <c r="B386" s="3" t="s">
        <v>281</v>
      </c>
      <c r="C386" s="3" t="s">
        <v>252</v>
      </c>
      <c r="D386" s="3" t="s">
        <v>129</v>
      </c>
      <c r="E386" s="4">
        <v>8</v>
      </c>
      <c r="F386" s="5">
        <f>IFERROR(3958.8*ACOS(MIN(1,MAX(-1,SIN(RADIANS('ZIP Coordinates'!$C$2))*SIN(RADIANS(INDEX('ZIP Coordinates'!$C:$C,MATCH($A386,'ZIP Coordinates'!$A:$A,0))))+COS(RADIANS('ZIP Coordinates'!$C$2))*COS(RADIANS(INDEX('ZIP Coordinates'!$C:$C,MATCH($A386,'ZIP Coordinates'!$A:$A,0))))*COS(RADIANS(INDEX('ZIP Coordinates'!$D:$D,MATCH($A386,'ZIP Coordinates'!$A:$A,0))-'ZIP Coordinates'!$D$2))))),"N/A")</f>
        <v>186.95026739463992</v>
      </c>
      <c r="G386" s="3" t="str">
        <f t="shared" ref="G386:G449" si="12">IF($F386="N/A","Unknown",IF($F386&lt;50,"0-49 mi",IF($F386&lt;100,"50-99 mi",IF($F386&lt;150,"100-149 mi",IF($F386&lt;200,"150-199 mi","200+ mi")))))</f>
        <v>150-199 mi</v>
      </c>
      <c r="H386" s="27">
        <f>IF(RIGHT($B386,1)="P",1,IF(ISNUMBER(SEARCH("HALF GALLON",$C386)),Assumptions!$B$4,IF(ISNUMBER(SEARCH("GALLON",$C386)),Assumptions!$B$3,IF(ISNUMBER(SEARCH("QUART",$C386)),Assumptions!$B$5,IF(ISNUMBER(SEARCH("PINT",$C386)),Assumptions!$B$6,Assumptions!$B$7)))))</f>
        <v>20</v>
      </c>
      <c r="I386" s="27">
        <f t="shared" si="11"/>
        <v>160</v>
      </c>
    </row>
    <row r="387" spans="1:9" x14ac:dyDescent="0.2">
      <c r="A387" s="3" t="s">
        <v>18</v>
      </c>
      <c r="B387" s="3" t="s">
        <v>281</v>
      </c>
      <c r="C387" s="3" t="s">
        <v>252</v>
      </c>
      <c r="D387" s="3" t="s">
        <v>129</v>
      </c>
      <c r="E387" s="4">
        <v>12</v>
      </c>
      <c r="F387" s="5">
        <f>IFERROR(3958.8*ACOS(MIN(1,MAX(-1,SIN(RADIANS('ZIP Coordinates'!$C$2))*SIN(RADIANS(INDEX('ZIP Coordinates'!$C:$C,MATCH($A387,'ZIP Coordinates'!$A:$A,0))))+COS(RADIANS('ZIP Coordinates'!$C$2))*COS(RADIANS(INDEX('ZIP Coordinates'!$C:$C,MATCH($A387,'ZIP Coordinates'!$A:$A,0))))*COS(RADIANS(INDEX('ZIP Coordinates'!$D:$D,MATCH($A387,'ZIP Coordinates'!$A:$A,0))-'ZIP Coordinates'!$D$2))))),"N/A")</f>
        <v>186.95026739463992</v>
      </c>
      <c r="G387" s="3" t="str">
        <f t="shared" si="12"/>
        <v>150-199 mi</v>
      </c>
      <c r="H387" s="27">
        <f>IF(RIGHT($B387,1)="P",1,IF(ISNUMBER(SEARCH("HALF GALLON",$C387)),Assumptions!$B$4,IF(ISNUMBER(SEARCH("GALLON",$C387)),Assumptions!$B$3,IF(ISNUMBER(SEARCH("QUART",$C387)),Assumptions!$B$5,IF(ISNUMBER(SEARCH("PINT",$C387)),Assumptions!$B$6,Assumptions!$B$7)))))</f>
        <v>20</v>
      </c>
      <c r="I387" s="27">
        <f t="shared" ref="I387:I450" si="13">$E387*$H387</f>
        <v>240</v>
      </c>
    </row>
    <row r="388" spans="1:9" x14ac:dyDescent="0.2">
      <c r="A388" s="3" t="s">
        <v>18</v>
      </c>
      <c r="B388" s="3" t="s">
        <v>281</v>
      </c>
      <c r="C388" s="3" t="s">
        <v>252</v>
      </c>
      <c r="D388" s="3" t="s">
        <v>129</v>
      </c>
      <c r="E388" s="4">
        <v>1</v>
      </c>
      <c r="F388" s="5">
        <f>IFERROR(3958.8*ACOS(MIN(1,MAX(-1,SIN(RADIANS('ZIP Coordinates'!$C$2))*SIN(RADIANS(INDEX('ZIP Coordinates'!$C:$C,MATCH($A388,'ZIP Coordinates'!$A:$A,0))))+COS(RADIANS('ZIP Coordinates'!$C$2))*COS(RADIANS(INDEX('ZIP Coordinates'!$C:$C,MATCH($A388,'ZIP Coordinates'!$A:$A,0))))*COS(RADIANS(INDEX('ZIP Coordinates'!$D:$D,MATCH($A388,'ZIP Coordinates'!$A:$A,0))-'ZIP Coordinates'!$D$2))))),"N/A")</f>
        <v>186.95026739463992</v>
      </c>
      <c r="G388" s="3" t="str">
        <f t="shared" si="12"/>
        <v>150-199 mi</v>
      </c>
      <c r="H388" s="27">
        <f>IF(RIGHT($B388,1)="P",1,IF(ISNUMBER(SEARCH("HALF GALLON",$C388)),Assumptions!$B$4,IF(ISNUMBER(SEARCH("GALLON",$C388)),Assumptions!$B$3,IF(ISNUMBER(SEARCH("QUART",$C388)),Assumptions!$B$5,IF(ISNUMBER(SEARCH("PINT",$C388)),Assumptions!$B$6,Assumptions!$B$7)))))</f>
        <v>20</v>
      </c>
      <c r="I388" s="27">
        <f t="shared" si="13"/>
        <v>20</v>
      </c>
    </row>
    <row r="389" spans="1:9" x14ac:dyDescent="0.2">
      <c r="A389" s="3" t="s">
        <v>18</v>
      </c>
      <c r="B389" s="3" t="s">
        <v>251</v>
      </c>
      <c r="C389" s="3" t="s">
        <v>252</v>
      </c>
      <c r="D389" s="3" t="s">
        <v>113</v>
      </c>
      <c r="E389" s="4">
        <v>62</v>
      </c>
      <c r="F389" s="5">
        <f>IFERROR(3958.8*ACOS(MIN(1,MAX(-1,SIN(RADIANS('ZIP Coordinates'!$C$2))*SIN(RADIANS(INDEX('ZIP Coordinates'!$C:$C,MATCH($A389,'ZIP Coordinates'!$A:$A,0))))+COS(RADIANS('ZIP Coordinates'!$C$2))*COS(RADIANS(INDEX('ZIP Coordinates'!$C:$C,MATCH($A389,'ZIP Coordinates'!$A:$A,0))))*COS(RADIANS(INDEX('ZIP Coordinates'!$D:$D,MATCH($A389,'ZIP Coordinates'!$A:$A,0))-'ZIP Coordinates'!$D$2))))),"N/A")</f>
        <v>186.95026739463992</v>
      </c>
      <c r="G389" s="3" t="str">
        <f t="shared" si="12"/>
        <v>150-199 mi</v>
      </c>
      <c r="H389" s="27">
        <f>IF(RIGHT($B389,1)="P",1,IF(ISNUMBER(SEARCH("HALF GALLON",$C389)),Assumptions!$B$4,IF(ISNUMBER(SEARCH("GALLON",$C389)),Assumptions!$B$3,IF(ISNUMBER(SEARCH("QUART",$C389)),Assumptions!$B$5,IF(ISNUMBER(SEARCH("PINT",$C389)),Assumptions!$B$6,Assumptions!$B$7)))))</f>
        <v>1</v>
      </c>
      <c r="I389" s="27">
        <f t="shared" si="13"/>
        <v>62</v>
      </c>
    </row>
    <row r="390" spans="1:9" x14ac:dyDescent="0.2">
      <c r="A390" s="3" t="s">
        <v>18</v>
      </c>
      <c r="B390" s="3" t="s">
        <v>282</v>
      </c>
      <c r="C390" s="3" t="s">
        <v>283</v>
      </c>
      <c r="D390" s="3" t="s">
        <v>113</v>
      </c>
      <c r="E390" s="4">
        <v>7</v>
      </c>
      <c r="F390" s="5">
        <f>IFERROR(3958.8*ACOS(MIN(1,MAX(-1,SIN(RADIANS('ZIP Coordinates'!$C$2))*SIN(RADIANS(INDEX('ZIP Coordinates'!$C:$C,MATCH($A390,'ZIP Coordinates'!$A:$A,0))))+COS(RADIANS('ZIP Coordinates'!$C$2))*COS(RADIANS(INDEX('ZIP Coordinates'!$C:$C,MATCH($A390,'ZIP Coordinates'!$A:$A,0))))*COS(RADIANS(INDEX('ZIP Coordinates'!$D:$D,MATCH($A390,'ZIP Coordinates'!$A:$A,0))-'ZIP Coordinates'!$D$2))))),"N/A")</f>
        <v>186.95026739463992</v>
      </c>
      <c r="G390" s="3" t="str">
        <f t="shared" si="12"/>
        <v>150-199 mi</v>
      </c>
      <c r="H390" s="27">
        <f>IF(RIGHT($B390,1)="P",1,IF(ISNUMBER(SEARCH("HALF GALLON",$C390)),Assumptions!$B$4,IF(ISNUMBER(SEARCH("GALLON",$C390)),Assumptions!$B$3,IF(ISNUMBER(SEARCH("QUART",$C390)),Assumptions!$B$5,IF(ISNUMBER(SEARCH("PINT",$C390)),Assumptions!$B$6,Assumptions!$B$7)))))</f>
        <v>1</v>
      </c>
      <c r="I390" s="27">
        <f t="shared" si="13"/>
        <v>7</v>
      </c>
    </row>
    <row r="391" spans="1:9" x14ac:dyDescent="0.2">
      <c r="A391" s="3" t="s">
        <v>18</v>
      </c>
      <c r="B391" s="3" t="s">
        <v>284</v>
      </c>
      <c r="C391" s="3" t="s">
        <v>285</v>
      </c>
      <c r="D391" s="3" t="s">
        <v>113</v>
      </c>
      <c r="E391" s="4">
        <v>9</v>
      </c>
      <c r="F391" s="5">
        <f>IFERROR(3958.8*ACOS(MIN(1,MAX(-1,SIN(RADIANS('ZIP Coordinates'!$C$2))*SIN(RADIANS(INDEX('ZIP Coordinates'!$C:$C,MATCH($A391,'ZIP Coordinates'!$A:$A,0))))+COS(RADIANS('ZIP Coordinates'!$C$2))*COS(RADIANS(INDEX('ZIP Coordinates'!$C:$C,MATCH($A391,'ZIP Coordinates'!$A:$A,0))))*COS(RADIANS(INDEX('ZIP Coordinates'!$D:$D,MATCH($A391,'ZIP Coordinates'!$A:$A,0))-'ZIP Coordinates'!$D$2))))),"N/A")</f>
        <v>186.95026739463992</v>
      </c>
      <c r="G391" s="3" t="str">
        <f t="shared" si="12"/>
        <v>150-199 mi</v>
      </c>
      <c r="H391" s="27">
        <f>IF(RIGHT($B391,1)="P",1,IF(ISNUMBER(SEARCH("HALF GALLON",$C391)),Assumptions!$B$4,IF(ISNUMBER(SEARCH("GALLON",$C391)),Assumptions!$B$3,IF(ISNUMBER(SEARCH("QUART",$C391)),Assumptions!$B$5,IF(ISNUMBER(SEARCH("PINT",$C391)),Assumptions!$B$6,Assumptions!$B$7)))))</f>
        <v>1</v>
      </c>
      <c r="I391" s="27">
        <f t="shared" si="13"/>
        <v>9</v>
      </c>
    </row>
    <row r="392" spans="1:9" x14ac:dyDescent="0.2">
      <c r="A392" s="3" t="s">
        <v>18</v>
      </c>
      <c r="B392" s="3" t="s">
        <v>286</v>
      </c>
      <c r="C392" s="3" t="s">
        <v>287</v>
      </c>
      <c r="D392" s="3" t="s">
        <v>113</v>
      </c>
      <c r="E392" s="4">
        <v>10</v>
      </c>
      <c r="F392" s="5">
        <f>IFERROR(3958.8*ACOS(MIN(1,MAX(-1,SIN(RADIANS('ZIP Coordinates'!$C$2))*SIN(RADIANS(INDEX('ZIP Coordinates'!$C:$C,MATCH($A392,'ZIP Coordinates'!$A:$A,0))))+COS(RADIANS('ZIP Coordinates'!$C$2))*COS(RADIANS(INDEX('ZIP Coordinates'!$C:$C,MATCH($A392,'ZIP Coordinates'!$A:$A,0))))*COS(RADIANS(INDEX('ZIP Coordinates'!$D:$D,MATCH($A392,'ZIP Coordinates'!$A:$A,0))-'ZIP Coordinates'!$D$2))))),"N/A")</f>
        <v>186.95026739463992</v>
      </c>
      <c r="G392" s="3" t="str">
        <f t="shared" si="12"/>
        <v>150-199 mi</v>
      </c>
      <c r="H392" s="27">
        <f>IF(RIGHT($B392,1)="P",1,IF(ISNUMBER(SEARCH("HALF GALLON",$C392)),Assumptions!$B$4,IF(ISNUMBER(SEARCH("GALLON",$C392)),Assumptions!$B$3,IF(ISNUMBER(SEARCH("QUART",$C392)),Assumptions!$B$5,IF(ISNUMBER(SEARCH("PINT",$C392)),Assumptions!$B$6,Assumptions!$B$7)))))</f>
        <v>9</v>
      </c>
      <c r="I392" s="27">
        <f t="shared" si="13"/>
        <v>90</v>
      </c>
    </row>
    <row r="393" spans="1:9" x14ac:dyDescent="0.2">
      <c r="A393" s="3" t="s">
        <v>18</v>
      </c>
      <c r="B393" s="3" t="s">
        <v>288</v>
      </c>
      <c r="C393" s="3" t="s">
        <v>287</v>
      </c>
      <c r="D393" s="3" t="s">
        <v>113</v>
      </c>
      <c r="E393" s="4">
        <v>44</v>
      </c>
      <c r="F393" s="5">
        <f>IFERROR(3958.8*ACOS(MIN(1,MAX(-1,SIN(RADIANS('ZIP Coordinates'!$C$2))*SIN(RADIANS(INDEX('ZIP Coordinates'!$C:$C,MATCH($A393,'ZIP Coordinates'!$A:$A,0))))+COS(RADIANS('ZIP Coordinates'!$C$2))*COS(RADIANS(INDEX('ZIP Coordinates'!$C:$C,MATCH($A393,'ZIP Coordinates'!$A:$A,0))))*COS(RADIANS(INDEX('ZIP Coordinates'!$D:$D,MATCH($A393,'ZIP Coordinates'!$A:$A,0))-'ZIP Coordinates'!$D$2))))),"N/A")</f>
        <v>186.95026739463992</v>
      </c>
      <c r="G393" s="3" t="str">
        <f t="shared" si="12"/>
        <v>150-199 mi</v>
      </c>
      <c r="H393" s="27">
        <f>IF(RIGHT($B393,1)="P",1,IF(ISNUMBER(SEARCH("HALF GALLON",$C393)),Assumptions!$B$4,IF(ISNUMBER(SEARCH("GALLON",$C393)),Assumptions!$B$3,IF(ISNUMBER(SEARCH("QUART",$C393)),Assumptions!$B$5,IF(ISNUMBER(SEARCH("PINT",$C393)),Assumptions!$B$6,Assumptions!$B$7)))))</f>
        <v>1</v>
      </c>
      <c r="I393" s="27">
        <f t="shared" si="13"/>
        <v>44</v>
      </c>
    </row>
    <row r="394" spans="1:9" x14ac:dyDescent="0.2">
      <c r="A394" s="3" t="s">
        <v>18</v>
      </c>
      <c r="B394" s="3" t="s">
        <v>255</v>
      </c>
      <c r="C394" s="3" t="s">
        <v>256</v>
      </c>
      <c r="D394" s="3" t="s">
        <v>113</v>
      </c>
      <c r="E394" s="4">
        <v>12</v>
      </c>
      <c r="F394" s="5">
        <f>IFERROR(3958.8*ACOS(MIN(1,MAX(-1,SIN(RADIANS('ZIP Coordinates'!$C$2))*SIN(RADIANS(INDEX('ZIP Coordinates'!$C:$C,MATCH($A394,'ZIP Coordinates'!$A:$A,0))))+COS(RADIANS('ZIP Coordinates'!$C$2))*COS(RADIANS(INDEX('ZIP Coordinates'!$C:$C,MATCH($A394,'ZIP Coordinates'!$A:$A,0))))*COS(RADIANS(INDEX('ZIP Coordinates'!$D:$D,MATCH($A394,'ZIP Coordinates'!$A:$A,0))-'ZIP Coordinates'!$D$2))))),"N/A")</f>
        <v>186.95026739463992</v>
      </c>
      <c r="G394" s="3" t="str">
        <f t="shared" si="12"/>
        <v>150-199 mi</v>
      </c>
      <c r="H394" s="27">
        <f>IF(RIGHT($B394,1)="P",1,IF(ISNUMBER(SEARCH("HALF GALLON",$C394)),Assumptions!$B$4,IF(ISNUMBER(SEARCH("GALLON",$C394)),Assumptions!$B$3,IF(ISNUMBER(SEARCH("QUART",$C394)),Assumptions!$B$5,IF(ISNUMBER(SEARCH("PINT",$C394)),Assumptions!$B$6,Assumptions!$B$7)))))</f>
        <v>20</v>
      </c>
      <c r="I394" s="27">
        <f t="shared" si="13"/>
        <v>240</v>
      </c>
    </row>
    <row r="395" spans="1:9" x14ac:dyDescent="0.2">
      <c r="A395" s="3" t="s">
        <v>18</v>
      </c>
      <c r="B395" s="3" t="s">
        <v>255</v>
      </c>
      <c r="C395" s="3" t="s">
        <v>256</v>
      </c>
      <c r="D395" s="3" t="s">
        <v>129</v>
      </c>
      <c r="E395" s="4">
        <v>16</v>
      </c>
      <c r="F395" s="5">
        <f>IFERROR(3958.8*ACOS(MIN(1,MAX(-1,SIN(RADIANS('ZIP Coordinates'!$C$2))*SIN(RADIANS(INDEX('ZIP Coordinates'!$C:$C,MATCH($A395,'ZIP Coordinates'!$A:$A,0))))+COS(RADIANS('ZIP Coordinates'!$C$2))*COS(RADIANS(INDEX('ZIP Coordinates'!$C:$C,MATCH($A395,'ZIP Coordinates'!$A:$A,0))))*COS(RADIANS(INDEX('ZIP Coordinates'!$D:$D,MATCH($A395,'ZIP Coordinates'!$A:$A,0))-'ZIP Coordinates'!$D$2))))),"N/A")</f>
        <v>186.95026739463992</v>
      </c>
      <c r="G395" s="3" t="str">
        <f t="shared" si="12"/>
        <v>150-199 mi</v>
      </c>
      <c r="H395" s="27">
        <f>IF(RIGHT($B395,1)="P",1,IF(ISNUMBER(SEARCH("HALF GALLON",$C395)),Assumptions!$B$4,IF(ISNUMBER(SEARCH("GALLON",$C395)),Assumptions!$B$3,IF(ISNUMBER(SEARCH("QUART",$C395)),Assumptions!$B$5,IF(ISNUMBER(SEARCH("PINT",$C395)),Assumptions!$B$6,Assumptions!$B$7)))))</f>
        <v>20</v>
      </c>
      <c r="I395" s="27">
        <f t="shared" si="13"/>
        <v>320</v>
      </c>
    </row>
    <row r="396" spans="1:9" x14ac:dyDescent="0.2">
      <c r="A396" s="3" t="s">
        <v>18</v>
      </c>
      <c r="B396" s="3" t="s">
        <v>255</v>
      </c>
      <c r="C396" s="3" t="s">
        <v>256</v>
      </c>
      <c r="D396" s="3" t="s">
        <v>129</v>
      </c>
      <c r="E396" s="4">
        <v>27</v>
      </c>
      <c r="F396" s="5">
        <f>IFERROR(3958.8*ACOS(MIN(1,MAX(-1,SIN(RADIANS('ZIP Coordinates'!$C$2))*SIN(RADIANS(INDEX('ZIP Coordinates'!$C:$C,MATCH($A396,'ZIP Coordinates'!$A:$A,0))))+COS(RADIANS('ZIP Coordinates'!$C$2))*COS(RADIANS(INDEX('ZIP Coordinates'!$C:$C,MATCH($A396,'ZIP Coordinates'!$A:$A,0))))*COS(RADIANS(INDEX('ZIP Coordinates'!$D:$D,MATCH($A396,'ZIP Coordinates'!$A:$A,0))-'ZIP Coordinates'!$D$2))))),"N/A")</f>
        <v>186.95026739463992</v>
      </c>
      <c r="G396" s="3" t="str">
        <f t="shared" si="12"/>
        <v>150-199 mi</v>
      </c>
      <c r="H396" s="27">
        <f>IF(RIGHT($B396,1)="P",1,IF(ISNUMBER(SEARCH("HALF GALLON",$C396)),Assumptions!$B$4,IF(ISNUMBER(SEARCH("GALLON",$C396)),Assumptions!$B$3,IF(ISNUMBER(SEARCH("QUART",$C396)),Assumptions!$B$5,IF(ISNUMBER(SEARCH("PINT",$C396)),Assumptions!$B$6,Assumptions!$B$7)))))</f>
        <v>20</v>
      </c>
      <c r="I396" s="27">
        <f t="shared" si="13"/>
        <v>540</v>
      </c>
    </row>
    <row r="397" spans="1:9" x14ac:dyDescent="0.2">
      <c r="A397" s="3" t="s">
        <v>18</v>
      </c>
      <c r="B397" s="3" t="s">
        <v>255</v>
      </c>
      <c r="C397" s="3" t="s">
        <v>256</v>
      </c>
      <c r="D397" s="3" t="s">
        <v>129</v>
      </c>
      <c r="E397" s="4">
        <v>5</v>
      </c>
      <c r="F397" s="5">
        <f>IFERROR(3958.8*ACOS(MIN(1,MAX(-1,SIN(RADIANS('ZIP Coordinates'!$C$2))*SIN(RADIANS(INDEX('ZIP Coordinates'!$C:$C,MATCH($A397,'ZIP Coordinates'!$A:$A,0))))+COS(RADIANS('ZIP Coordinates'!$C$2))*COS(RADIANS(INDEX('ZIP Coordinates'!$C:$C,MATCH($A397,'ZIP Coordinates'!$A:$A,0))))*COS(RADIANS(INDEX('ZIP Coordinates'!$D:$D,MATCH($A397,'ZIP Coordinates'!$A:$A,0))-'ZIP Coordinates'!$D$2))))),"N/A")</f>
        <v>186.95026739463992</v>
      </c>
      <c r="G397" s="3" t="str">
        <f t="shared" si="12"/>
        <v>150-199 mi</v>
      </c>
      <c r="H397" s="27">
        <f>IF(RIGHT($B397,1)="P",1,IF(ISNUMBER(SEARCH("HALF GALLON",$C397)),Assumptions!$B$4,IF(ISNUMBER(SEARCH("GALLON",$C397)),Assumptions!$B$3,IF(ISNUMBER(SEARCH("QUART",$C397)),Assumptions!$B$5,IF(ISNUMBER(SEARCH("PINT",$C397)),Assumptions!$B$6,Assumptions!$B$7)))))</f>
        <v>20</v>
      </c>
      <c r="I397" s="27">
        <f t="shared" si="13"/>
        <v>100</v>
      </c>
    </row>
    <row r="398" spans="1:9" x14ac:dyDescent="0.2">
      <c r="A398" s="3" t="s">
        <v>18</v>
      </c>
      <c r="B398" s="3" t="s">
        <v>257</v>
      </c>
      <c r="C398" s="3" t="s">
        <v>256</v>
      </c>
      <c r="D398" s="3" t="s">
        <v>113</v>
      </c>
      <c r="E398" s="4">
        <v>68</v>
      </c>
      <c r="F398" s="5">
        <f>IFERROR(3958.8*ACOS(MIN(1,MAX(-1,SIN(RADIANS('ZIP Coordinates'!$C$2))*SIN(RADIANS(INDEX('ZIP Coordinates'!$C:$C,MATCH($A398,'ZIP Coordinates'!$A:$A,0))))+COS(RADIANS('ZIP Coordinates'!$C$2))*COS(RADIANS(INDEX('ZIP Coordinates'!$C:$C,MATCH($A398,'ZIP Coordinates'!$A:$A,0))))*COS(RADIANS(INDEX('ZIP Coordinates'!$D:$D,MATCH($A398,'ZIP Coordinates'!$A:$A,0))-'ZIP Coordinates'!$D$2))))),"N/A")</f>
        <v>186.95026739463992</v>
      </c>
      <c r="G398" s="3" t="str">
        <f t="shared" si="12"/>
        <v>150-199 mi</v>
      </c>
      <c r="H398" s="27">
        <f>IF(RIGHT($B398,1)="P",1,IF(ISNUMBER(SEARCH("HALF GALLON",$C398)),Assumptions!$B$4,IF(ISNUMBER(SEARCH("GALLON",$C398)),Assumptions!$B$3,IF(ISNUMBER(SEARCH("QUART",$C398)),Assumptions!$B$5,IF(ISNUMBER(SEARCH("PINT",$C398)),Assumptions!$B$6,Assumptions!$B$7)))))</f>
        <v>1</v>
      </c>
      <c r="I398" s="27">
        <f t="shared" si="13"/>
        <v>68</v>
      </c>
    </row>
    <row r="399" spans="1:9" x14ac:dyDescent="0.2">
      <c r="A399" s="3" t="s">
        <v>19</v>
      </c>
      <c r="B399" s="3" t="s">
        <v>258</v>
      </c>
      <c r="C399" s="3" t="s">
        <v>240</v>
      </c>
      <c r="D399" s="3" t="s">
        <v>95</v>
      </c>
      <c r="E399" s="4">
        <v>23</v>
      </c>
      <c r="F399" s="5">
        <f>IFERROR(3958.8*ACOS(MIN(1,MAX(-1,SIN(RADIANS('ZIP Coordinates'!$C$2))*SIN(RADIANS(INDEX('ZIP Coordinates'!$C:$C,MATCH($A399,'ZIP Coordinates'!$A:$A,0))))+COS(RADIANS('ZIP Coordinates'!$C$2))*COS(RADIANS(INDEX('ZIP Coordinates'!$C:$C,MATCH($A399,'ZIP Coordinates'!$A:$A,0))))*COS(RADIANS(INDEX('ZIP Coordinates'!$D:$D,MATCH($A399,'ZIP Coordinates'!$A:$A,0))-'ZIP Coordinates'!$D$2))))),"N/A")</f>
        <v>159.71109490437146</v>
      </c>
      <c r="G399" s="3" t="str">
        <f t="shared" si="12"/>
        <v>150-199 mi</v>
      </c>
      <c r="H399" s="27">
        <f>IF(RIGHT($B399,1)="P",1,IF(ISNUMBER(SEARCH("HALF GALLON",$C399)),Assumptions!$B$4,IF(ISNUMBER(SEARCH("GALLON",$C399)),Assumptions!$B$3,IF(ISNUMBER(SEARCH("QUART",$C399)),Assumptions!$B$5,IF(ISNUMBER(SEARCH("PINT",$C399)),Assumptions!$B$6,Assumptions!$B$7)))))</f>
        <v>4</v>
      </c>
      <c r="I399" s="27">
        <f t="shared" si="13"/>
        <v>92</v>
      </c>
    </row>
    <row r="400" spans="1:9" x14ac:dyDescent="0.2">
      <c r="A400" s="3" t="s">
        <v>19</v>
      </c>
      <c r="B400" s="3" t="s">
        <v>259</v>
      </c>
      <c r="C400" s="3" t="s">
        <v>260</v>
      </c>
      <c r="D400" s="3" t="s">
        <v>95</v>
      </c>
      <c r="E400" s="4">
        <v>47</v>
      </c>
      <c r="F400" s="5">
        <f>IFERROR(3958.8*ACOS(MIN(1,MAX(-1,SIN(RADIANS('ZIP Coordinates'!$C$2))*SIN(RADIANS(INDEX('ZIP Coordinates'!$C:$C,MATCH($A400,'ZIP Coordinates'!$A:$A,0))))+COS(RADIANS('ZIP Coordinates'!$C$2))*COS(RADIANS(INDEX('ZIP Coordinates'!$C:$C,MATCH($A400,'ZIP Coordinates'!$A:$A,0))))*COS(RADIANS(INDEX('ZIP Coordinates'!$D:$D,MATCH($A400,'ZIP Coordinates'!$A:$A,0))-'ZIP Coordinates'!$D$2))))),"N/A")</f>
        <v>159.71109490437146</v>
      </c>
      <c r="G400" s="3" t="str">
        <f t="shared" si="12"/>
        <v>150-199 mi</v>
      </c>
      <c r="H400" s="27">
        <f>IF(RIGHT($B400,1)="P",1,IF(ISNUMBER(SEARCH("HALF GALLON",$C400)),Assumptions!$B$4,IF(ISNUMBER(SEARCH("GALLON",$C400)),Assumptions!$B$3,IF(ISNUMBER(SEARCH("QUART",$C400)),Assumptions!$B$5,IF(ISNUMBER(SEARCH("PINT",$C400)),Assumptions!$B$6,Assumptions!$B$7)))))</f>
        <v>4</v>
      </c>
      <c r="I400" s="27">
        <f t="shared" si="13"/>
        <v>188</v>
      </c>
    </row>
    <row r="401" spans="1:9" x14ac:dyDescent="0.2">
      <c r="A401" s="3" t="s">
        <v>19</v>
      </c>
      <c r="B401" s="3" t="s">
        <v>261</v>
      </c>
      <c r="C401" s="3" t="s">
        <v>260</v>
      </c>
      <c r="D401" s="3" t="s">
        <v>152</v>
      </c>
      <c r="E401" s="4">
        <v>-1</v>
      </c>
      <c r="F401" s="5">
        <f>IFERROR(3958.8*ACOS(MIN(1,MAX(-1,SIN(RADIANS('ZIP Coordinates'!$C$2))*SIN(RADIANS(INDEX('ZIP Coordinates'!$C:$C,MATCH($A401,'ZIP Coordinates'!$A:$A,0))))+COS(RADIANS('ZIP Coordinates'!$C$2))*COS(RADIANS(INDEX('ZIP Coordinates'!$C:$C,MATCH($A401,'ZIP Coordinates'!$A:$A,0))))*COS(RADIANS(INDEX('ZIP Coordinates'!$D:$D,MATCH($A401,'ZIP Coordinates'!$A:$A,0))-'ZIP Coordinates'!$D$2))))),"N/A")</f>
        <v>159.71109490437146</v>
      </c>
      <c r="G401" s="3" t="str">
        <f t="shared" si="12"/>
        <v>150-199 mi</v>
      </c>
      <c r="H401" s="27">
        <f>IF(RIGHT($B401,1)="P",1,IF(ISNUMBER(SEARCH("HALF GALLON",$C401)),Assumptions!$B$4,IF(ISNUMBER(SEARCH("GALLON",$C401)),Assumptions!$B$3,IF(ISNUMBER(SEARCH("QUART",$C401)),Assumptions!$B$5,IF(ISNUMBER(SEARCH("PINT",$C401)),Assumptions!$B$6,Assumptions!$B$7)))))</f>
        <v>1</v>
      </c>
      <c r="I401" s="27">
        <f t="shared" si="13"/>
        <v>-1</v>
      </c>
    </row>
    <row r="402" spans="1:9" x14ac:dyDescent="0.2">
      <c r="A402" s="3" t="s">
        <v>19</v>
      </c>
      <c r="B402" s="3" t="s">
        <v>264</v>
      </c>
      <c r="C402" s="3" t="s">
        <v>263</v>
      </c>
      <c r="D402" s="3" t="s">
        <v>95</v>
      </c>
      <c r="E402" s="4">
        <v>9</v>
      </c>
      <c r="F402" s="5">
        <f>IFERROR(3958.8*ACOS(MIN(1,MAX(-1,SIN(RADIANS('ZIP Coordinates'!$C$2))*SIN(RADIANS(INDEX('ZIP Coordinates'!$C:$C,MATCH($A402,'ZIP Coordinates'!$A:$A,0))))+COS(RADIANS('ZIP Coordinates'!$C$2))*COS(RADIANS(INDEX('ZIP Coordinates'!$C:$C,MATCH($A402,'ZIP Coordinates'!$A:$A,0))))*COS(RADIANS(INDEX('ZIP Coordinates'!$D:$D,MATCH($A402,'ZIP Coordinates'!$A:$A,0))-'ZIP Coordinates'!$D$2))))),"N/A")</f>
        <v>159.71109490437146</v>
      </c>
      <c r="G402" s="3" t="str">
        <f t="shared" si="12"/>
        <v>150-199 mi</v>
      </c>
      <c r="H402" s="27">
        <f>IF(RIGHT($B402,1)="P",1,IF(ISNUMBER(SEARCH("HALF GALLON",$C402)),Assumptions!$B$4,IF(ISNUMBER(SEARCH("GALLON",$C402)),Assumptions!$B$3,IF(ISNUMBER(SEARCH("QUART",$C402)),Assumptions!$B$5,IF(ISNUMBER(SEARCH("PINT",$C402)),Assumptions!$B$6,Assumptions!$B$7)))))</f>
        <v>1</v>
      </c>
      <c r="I402" s="27">
        <f t="shared" si="13"/>
        <v>9</v>
      </c>
    </row>
    <row r="403" spans="1:9" x14ac:dyDescent="0.2">
      <c r="A403" s="3" t="s">
        <v>19</v>
      </c>
      <c r="B403" s="3" t="s">
        <v>265</v>
      </c>
      <c r="C403" s="3" t="s">
        <v>266</v>
      </c>
      <c r="D403" s="3" t="s">
        <v>95</v>
      </c>
      <c r="E403" s="4">
        <v>10</v>
      </c>
      <c r="F403" s="5">
        <f>IFERROR(3958.8*ACOS(MIN(1,MAX(-1,SIN(RADIANS('ZIP Coordinates'!$C$2))*SIN(RADIANS(INDEX('ZIP Coordinates'!$C:$C,MATCH($A403,'ZIP Coordinates'!$A:$A,0))))+COS(RADIANS('ZIP Coordinates'!$C$2))*COS(RADIANS(INDEX('ZIP Coordinates'!$C:$C,MATCH($A403,'ZIP Coordinates'!$A:$A,0))))*COS(RADIANS(INDEX('ZIP Coordinates'!$D:$D,MATCH($A403,'ZIP Coordinates'!$A:$A,0))-'ZIP Coordinates'!$D$2))))),"N/A")</f>
        <v>159.71109490437146</v>
      </c>
      <c r="G403" s="3" t="str">
        <f t="shared" si="12"/>
        <v>150-199 mi</v>
      </c>
      <c r="H403" s="27">
        <f>IF(RIGHT($B403,1)="P",1,IF(ISNUMBER(SEARCH("HALF GALLON",$C403)),Assumptions!$B$4,IF(ISNUMBER(SEARCH("GALLON",$C403)),Assumptions!$B$3,IF(ISNUMBER(SEARCH("QUART",$C403)),Assumptions!$B$5,IF(ISNUMBER(SEARCH("PINT",$C403)),Assumptions!$B$6,Assumptions!$B$7)))))</f>
        <v>1</v>
      </c>
      <c r="I403" s="27">
        <f t="shared" si="13"/>
        <v>10</v>
      </c>
    </row>
    <row r="404" spans="1:9" x14ac:dyDescent="0.2">
      <c r="A404" s="3" t="s">
        <v>19</v>
      </c>
      <c r="B404" s="3" t="s">
        <v>270</v>
      </c>
      <c r="C404" s="3" t="s">
        <v>242</v>
      </c>
      <c r="D404" s="3" t="s">
        <v>152</v>
      </c>
      <c r="E404" s="4">
        <v>4</v>
      </c>
      <c r="F404" s="5">
        <f>IFERROR(3958.8*ACOS(MIN(1,MAX(-1,SIN(RADIANS('ZIP Coordinates'!$C$2))*SIN(RADIANS(INDEX('ZIP Coordinates'!$C:$C,MATCH($A404,'ZIP Coordinates'!$A:$A,0))))+COS(RADIANS('ZIP Coordinates'!$C$2))*COS(RADIANS(INDEX('ZIP Coordinates'!$C:$C,MATCH($A404,'ZIP Coordinates'!$A:$A,0))))*COS(RADIANS(INDEX('ZIP Coordinates'!$D:$D,MATCH($A404,'ZIP Coordinates'!$A:$A,0))-'ZIP Coordinates'!$D$2))))),"N/A")</f>
        <v>159.71109490437146</v>
      </c>
      <c r="G404" s="3" t="str">
        <f t="shared" si="12"/>
        <v>150-199 mi</v>
      </c>
      <c r="H404" s="27">
        <f>IF(RIGHT($B404,1)="P",1,IF(ISNUMBER(SEARCH("HALF GALLON",$C404)),Assumptions!$B$4,IF(ISNUMBER(SEARCH("GALLON",$C404)),Assumptions!$B$3,IF(ISNUMBER(SEARCH("QUART",$C404)),Assumptions!$B$5,IF(ISNUMBER(SEARCH("PINT",$C404)),Assumptions!$B$6,Assumptions!$B$7)))))</f>
        <v>9</v>
      </c>
      <c r="I404" s="27">
        <f t="shared" si="13"/>
        <v>36</v>
      </c>
    </row>
    <row r="405" spans="1:9" x14ac:dyDescent="0.2">
      <c r="A405" s="3" t="s">
        <v>19</v>
      </c>
      <c r="B405" s="3" t="s">
        <v>241</v>
      </c>
      <c r="C405" s="3" t="s">
        <v>242</v>
      </c>
      <c r="D405" s="3" t="s">
        <v>95</v>
      </c>
      <c r="E405" s="4">
        <v>49</v>
      </c>
      <c r="F405" s="5">
        <f>IFERROR(3958.8*ACOS(MIN(1,MAX(-1,SIN(RADIANS('ZIP Coordinates'!$C$2))*SIN(RADIANS(INDEX('ZIP Coordinates'!$C:$C,MATCH($A405,'ZIP Coordinates'!$A:$A,0))))+COS(RADIANS('ZIP Coordinates'!$C$2))*COS(RADIANS(INDEX('ZIP Coordinates'!$C:$C,MATCH($A405,'ZIP Coordinates'!$A:$A,0))))*COS(RADIANS(INDEX('ZIP Coordinates'!$D:$D,MATCH($A405,'ZIP Coordinates'!$A:$A,0))-'ZIP Coordinates'!$D$2))))),"N/A")</f>
        <v>159.71109490437146</v>
      </c>
      <c r="G405" s="3" t="str">
        <f t="shared" si="12"/>
        <v>150-199 mi</v>
      </c>
      <c r="H405" s="27">
        <f>IF(RIGHT($B405,1)="P",1,IF(ISNUMBER(SEARCH("HALF GALLON",$C405)),Assumptions!$B$4,IF(ISNUMBER(SEARCH("GALLON",$C405)),Assumptions!$B$3,IF(ISNUMBER(SEARCH("QUART",$C405)),Assumptions!$B$5,IF(ISNUMBER(SEARCH("PINT",$C405)),Assumptions!$B$6,Assumptions!$B$7)))))</f>
        <v>1</v>
      </c>
      <c r="I405" s="27">
        <f t="shared" si="13"/>
        <v>49</v>
      </c>
    </row>
    <row r="406" spans="1:9" x14ac:dyDescent="0.2">
      <c r="A406" s="3" t="s">
        <v>19</v>
      </c>
      <c r="B406" s="3" t="s">
        <v>271</v>
      </c>
      <c r="C406" s="3" t="s">
        <v>244</v>
      </c>
      <c r="D406" s="3" t="s">
        <v>152</v>
      </c>
      <c r="E406" s="4">
        <v>6</v>
      </c>
      <c r="F406" s="5">
        <f>IFERROR(3958.8*ACOS(MIN(1,MAX(-1,SIN(RADIANS('ZIP Coordinates'!$C$2))*SIN(RADIANS(INDEX('ZIP Coordinates'!$C:$C,MATCH($A406,'ZIP Coordinates'!$A:$A,0))))+COS(RADIANS('ZIP Coordinates'!$C$2))*COS(RADIANS(INDEX('ZIP Coordinates'!$C:$C,MATCH($A406,'ZIP Coordinates'!$A:$A,0))))*COS(RADIANS(INDEX('ZIP Coordinates'!$D:$D,MATCH($A406,'ZIP Coordinates'!$A:$A,0))-'ZIP Coordinates'!$D$2))))),"N/A")</f>
        <v>159.71109490437146</v>
      </c>
      <c r="G406" s="3" t="str">
        <f t="shared" si="12"/>
        <v>150-199 mi</v>
      </c>
      <c r="H406" s="27">
        <f>IF(RIGHT($B406,1)="P",1,IF(ISNUMBER(SEARCH("HALF GALLON",$C406)),Assumptions!$B$4,IF(ISNUMBER(SEARCH("GALLON",$C406)),Assumptions!$B$3,IF(ISNUMBER(SEARCH("QUART",$C406)),Assumptions!$B$5,IF(ISNUMBER(SEARCH("PINT",$C406)),Assumptions!$B$6,Assumptions!$B$7)))))</f>
        <v>9</v>
      </c>
      <c r="I406" s="27">
        <f t="shared" si="13"/>
        <v>54</v>
      </c>
    </row>
    <row r="407" spans="1:9" x14ac:dyDescent="0.2">
      <c r="A407" s="3" t="s">
        <v>19</v>
      </c>
      <c r="B407" s="3" t="s">
        <v>243</v>
      </c>
      <c r="C407" s="3" t="s">
        <v>244</v>
      </c>
      <c r="D407" s="3" t="s">
        <v>95</v>
      </c>
      <c r="E407" s="4">
        <v>46</v>
      </c>
      <c r="F407" s="5">
        <f>IFERROR(3958.8*ACOS(MIN(1,MAX(-1,SIN(RADIANS('ZIP Coordinates'!$C$2))*SIN(RADIANS(INDEX('ZIP Coordinates'!$C:$C,MATCH($A407,'ZIP Coordinates'!$A:$A,0))))+COS(RADIANS('ZIP Coordinates'!$C$2))*COS(RADIANS(INDEX('ZIP Coordinates'!$C:$C,MATCH($A407,'ZIP Coordinates'!$A:$A,0))))*COS(RADIANS(INDEX('ZIP Coordinates'!$D:$D,MATCH($A407,'ZIP Coordinates'!$A:$A,0))-'ZIP Coordinates'!$D$2))))),"N/A")</f>
        <v>159.71109490437146</v>
      </c>
      <c r="G407" s="3" t="str">
        <f t="shared" si="12"/>
        <v>150-199 mi</v>
      </c>
      <c r="H407" s="27">
        <f>IF(RIGHT($B407,1)="P",1,IF(ISNUMBER(SEARCH("HALF GALLON",$C407)),Assumptions!$B$4,IF(ISNUMBER(SEARCH("GALLON",$C407)),Assumptions!$B$3,IF(ISNUMBER(SEARCH("QUART",$C407)),Assumptions!$B$5,IF(ISNUMBER(SEARCH("PINT",$C407)),Assumptions!$B$6,Assumptions!$B$7)))))</f>
        <v>1</v>
      </c>
      <c r="I407" s="27">
        <f t="shared" si="13"/>
        <v>46</v>
      </c>
    </row>
    <row r="408" spans="1:9" x14ac:dyDescent="0.2">
      <c r="A408" s="3" t="s">
        <v>19</v>
      </c>
      <c r="B408" s="3" t="s">
        <v>272</v>
      </c>
      <c r="C408" s="3" t="s">
        <v>273</v>
      </c>
      <c r="D408" s="3" t="s">
        <v>95</v>
      </c>
      <c r="E408" s="4">
        <v>9</v>
      </c>
      <c r="F408" s="5">
        <f>IFERROR(3958.8*ACOS(MIN(1,MAX(-1,SIN(RADIANS('ZIP Coordinates'!$C$2))*SIN(RADIANS(INDEX('ZIP Coordinates'!$C:$C,MATCH($A408,'ZIP Coordinates'!$A:$A,0))))+COS(RADIANS('ZIP Coordinates'!$C$2))*COS(RADIANS(INDEX('ZIP Coordinates'!$C:$C,MATCH($A408,'ZIP Coordinates'!$A:$A,0))))*COS(RADIANS(INDEX('ZIP Coordinates'!$D:$D,MATCH($A408,'ZIP Coordinates'!$A:$A,0))-'ZIP Coordinates'!$D$2))))),"N/A")</f>
        <v>159.71109490437146</v>
      </c>
      <c r="G408" s="3" t="str">
        <f t="shared" si="12"/>
        <v>150-199 mi</v>
      </c>
      <c r="H408" s="27">
        <f>IF(RIGHT($B408,1)="P",1,IF(ISNUMBER(SEARCH("HALF GALLON",$C408)),Assumptions!$B$4,IF(ISNUMBER(SEARCH("GALLON",$C408)),Assumptions!$B$3,IF(ISNUMBER(SEARCH("QUART",$C408)),Assumptions!$B$5,IF(ISNUMBER(SEARCH("PINT",$C408)),Assumptions!$B$6,Assumptions!$B$7)))))</f>
        <v>1</v>
      </c>
      <c r="I408" s="27">
        <f t="shared" si="13"/>
        <v>9</v>
      </c>
    </row>
    <row r="409" spans="1:9" x14ac:dyDescent="0.2">
      <c r="A409" s="3" t="s">
        <v>19</v>
      </c>
      <c r="B409" s="3" t="s">
        <v>274</v>
      </c>
      <c r="C409" s="3" t="s">
        <v>275</v>
      </c>
      <c r="D409" s="3" t="s">
        <v>95</v>
      </c>
      <c r="E409" s="4">
        <v>17</v>
      </c>
      <c r="F409" s="5">
        <f>IFERROR(3958.8*ACOS(MIN(1,MAX(-1,SIN(RADIANS('ZIP Coordinates'!$C$2))*SIN(RADIANS(INDEX('ZIP Coordinates'!$C:$C,MATCH($A409,'ZIP Coordinates'!$A:$A,0))))+COS(RADIANS('ZIP Coordinates'!$C$2))*COS(RADIANS(INDEX('ZIP Coordinates'!$C:$C,MATCH($A409,'ZIP Coordinates'!$A:$A,0))))*COS(RADIANS(INDEX('ZIP Coordinates'!$D:$D,MATCH($A409,'ZIP Coordinates'!$A:$A,0))-'ZIP Coordinates'!$D$2))))),"N/A")</f>
        <v>159.71109490437146</v>
      </c>
      <c r="G409" s="3" t="str">
        <f t="shared" si="12"/>
        <v>150-199 mi</v>
      </c>
      <c r="H409" s="27">
        <f>IF(RIGHT($B409,1)="P",1,IF(ISNUMBER(SEARCH("HALF GALLON",$C409)),Assumptions!$B$4,IF(ISNUMBER(SEARCH("GALLON",$C409)),Assumptions!$B$3,IF(ISNUMBER(SEARCH("QUART",$C409)),Assumptions!$B$5,IF(ISNUMBER(SEARCH("PINT",$C409)),Assumptions!$B$6,Assumptions!$B$7)))))</f>
        <v>9</v>
      </c>
      <c r="I409" s="27">
        <f t="shared" si="13"/>
        <v>153</v>
      </c>
    </row>
    <row r="410" spans="1:9" x14ac:dyDescent="0.2">
      <c r="A410" s="3" t="s">
        <v>19</v>
      </c>
      <c r="B410" s="3" t="s">
        <v>276</v>
      </c>
      <c r="C410" s="3" t="s">
        <v>275</v>
      </c>
      <c r="D410" s="3" t="s">
        <v>152</v>
      </c>
      <c r="E410" s="4">
        <v>7</v>
      </c>
      <c r="F410" s="5">
        <f>IFERROR(3958.8*ACOS(MIN(1,MAX(-1,SIN(RADIANS('ZIP Coordinates'!$C$2))*SIN(RADIANS(INDEX('ZIP Coordinates'!$C:$C,MATCH($A410,'ZIP Coordinates'!$A:$A,0))))+COS(RADIANS('ZIP Coordinates'!$C$2))*COS(RADIANS(INDEX('ZIP Coordinates'!$C:$C,MATCH($A410,'ZIP Coordinates'!$A:$A,0))))*COS(RADIANS(INDEX('ZIP Coordinates'!$D:$D,MATCH($A410,'ZIP Coordinates'!$A:$A,0))-'ZIP Coordinates'!$D$2))))),"N/A")</f>
        <v>159.71109490437146</v>
      </c>
      <c r="G410" s="3" t="str">
        <f t="shared" si="12"/>
        <v>150-199 mi</v>
      </c>
      <c r="H410" s="27">
        <f>IF(RIGHT($B410,1)="P",1,IF(ISNUMBER(SEARCH("HALF GALLON",$C410)),Assumptions!$B$4,IF(ISNUMBER(SEARCH("GALLON",$C410)),Assumptions!$B$3,IF(ISNUMBER(SEARCH("QUART",$C410)),Assumptions!$B$5,IF(ISNUMBER(SEARCH("PINT",$C410)),Assumptions!$B$6,Assumptions!$B$7)))))</f>
        <v>1</v>
      </c>
      <c r="I410" s="27">
        <f t="shared" si="13"/>
        <v>7</v>
      </c>
    </row>
    <row r="411" spans="1:9" x14ac:dyDescent="0.2">
      <c r="A411" s="3" t="s">
        <v>19</v>
      </c>
      <c r="B411" s="3" t="s">
        <v>290</v>
      </c>
      <c r="C411" s="3" t="s">
        <v>278</v>
      </c>
      <c r="D411" s="3" t="s">
        <v>152</v>
      </c>
      <c r="E411" s="4">
        <v>2</v>
      </c>
      <c r="F411" s="5">
        <f>IFERROR(3958.8*ACOS(MIN(1,MAX(-1,SIN(RADIANS('ZIP Coordinates'!$C$2))*SIN(RADIANS(INDEX('ZIP Coordinates'!$C:$C,MATCH($A411,'ZIP Coordinates'!$A:$A,0))))+COS(RADIANS('ZIP Coordinates'!$C$2))*COS(RADIANS(INDEX('ZIP Coordinates'!$C:$C,MATCH($A411,'ZIP Coordinates'!$A:$A,0))))*COS(RADIANS(INDEX('ZIP Coordinates'!$D:$D,MATCH($A411,'ZIP Coordinates'!$A:$A,0))-'ZIP Coordinates'!$D$2))))),"N/A")</f>
        <v>159.71109490437146</v>
      </c>
      <c r="G411" s="3" t="str">
        <f t="shared" si="12"/>
        <v>150-199 mi</v>
      </c>
      <c r="H411" s="27">
        <f>IF(RIGHT($B411,1)="P",1,IF(ISNUMBER(SEARCH("HALF GALLON",$C411)),Assumptions!$B$4,IF(ISNUMBER(SEARCH("GALLON",$C411)),Assumptions!$B$3,IF(ISNUMBER(SEARCH("QUART",$C411)),Assumptions!$B$5,IF(ISNUMBER(SEARCH("PINT",$C411)),Assumptions!$B$6,Assumptions!$B$7)))))</f>
        <v>9</v>
      </c>
      <c r="I411" s="27">
        <f t="shared" si="13"/>
        <v>18</v>
      </c>
    </row>
    <row r="412" spans="1:9" x14ac:dyDescent="0.2">
      <c r="A412" s="3" t="s">
        <v>19</v>
      </c>
      <c r="B412" s="3" t="s">
        <v>277</v>
      </c>
      <c r="C412" s="3" t="s">
        <v>278</v>
      </c>
      <c r="D412" s="3" t="s">
        <v>95</v>
      </c>
      <c r="E412" s="4">
        <v>52</v>
      </c>
      <c r="F412" s="5">
        <f>IFERROR(3958.8*ACOS(MIN(1,MAX(-1,SIN(RADIANS('ZIP Coordinates'!$C$2))*SIN(RADIANS(INDEX('ZIP Coordinates'!$C:$C,MATCH($A412,'ZIP Coordinates'!$A:$A,0))))+COS(RADIANS('ZIP Coordinates'!$C$2))*COS(RADIANS(INDEX('ZIP Coordinates'!$C:$C,MATCH($A412,'ZIP Coordinates'!$A:$A,0))))*COS(RADIANS(INDEX('ZIP Coordinates'!$D:$D,MATCH($A412,'ZIP Coordinates'!$A:$A,0))-'ZIP Coordinates'!$D$2))))),"N/A")</f>
        <v>159.71109490437146</v>
      </c>
      <c r="G412" s="3" t="str">
        <f t="shared" si="12"/>
        <v>150-199 mi</v>
      </c>
      <c r="H412" s="27">
        <f>IF(RIGHT($B412,1)="P",1,IF(ISNUMBER(SEARCH("HALF GALLON",$C412)),Assumptions!$B$4,IF(ISNUMBER(SEARCH("GALLON",$C412)),Assumptions!$B$3,IF(ISNUMBER(SEARCH("QUART",$C412)),Assumptions!$B$5,IF(ISNUMBER(SEARCH("PINT",$C412)),Assumptions!$B$6,Assumptions!$B$7)))))</f>
        <v>1</v>
      </c>
      <c r="I412" s="27">
        <f t="shared" si="13"/>
        <v>52</v>
      </c>
    </row>
    <row r="413" spans="1:9" x14ac:dyDescent="0.2">
      <c r="A413" s="3" t="s">
        <v>19</v>
      </c>
      <c r="B413" s="3" t="s">
        <v>289</v>
      </c>
      <c r="C413" s="3" t="s">
        <v>280</v>
      </c>
      <c r="D413" s="3" t="s">
        <v>152</v>
      </c>
      <c r="E413" s="4">
        <v>3</v>
      </c>
      <c r="F413" s="5">
        <f>IFERROR(3958.8*ACOS(MIN(1,MAX(-1,SIN(RADIANS('ZIP Coordinates'!$C$2))*SIN(RADIANS(INDEX('ZIP Coordinates'!$C:$C,MATCH($A413,'ZIP Coordinates'!$A:$A,0))))+COS(RADIANS('ZIP Coordinates'!$C$2))*COS(RADIANS(INDEX('ZIP Coordinates'!$C:$C,MATCH($A413,'ZIP Coordinates'!$A:$A,0))))*COS(RADIANS(INDEX('ZIP Coordinates'!$D:$D,MATCH($A413,'ZIP Coordinates'!$A:$A,0))-'ZIP Coordinates'!$D$2))))),"N/A")</f>
        <v>159.71109490437146</v>
      </c>
      <c r="G413" s="3" t="str">
        <f t="shared" si="12"/>
        <v>150-199 mi</v>
      </c>
      <c r="H413" s="27">
        <f>IF(RIGHT($B413,1)="P",1,IF(ISNUMBER(SEARCH("HALF GALLON",$C413)),Assumptions!$B$4,IF(ISNUMBER(SEARCH("GALLON",$C413)),Assumptions!$B$3,IF(ISNUMBER(SEARCH("QUART",$C413)),Assumptions!$B$5,IF(ISNUMBER(SEARCH("PINT",$C413)),Assumptions!$B$6,Assumptions!$B$7)))))</f>
        <v>9</v>
      </c>
      <c r="I413" s="27">
        <f t="shared" si="13"/>
        <v>27</v>
      </c>
    </row>
    <row r="414" spans="1:9" x14ac:dyDescent="0.2">
      <c r="A414" s="3" t="s">
        <v>19</v>
      </c>
      <c r="B414" s="3" t="s">
        <v>279</v>
      </c>
      <c r="C414" s="3" t="s">
        <v>280</v>
      </c>
      <c r="D414" s="3" t="s">
        <v>95</v>
      </c>
      <c r="E414" s="4">
        <v>35</v>
      </c>
      <c r="F414" s="5">
        <f>IFERROR(3958.8*ACOS(MIN(1,MAX(-1,SIN(RADIANS('ZIP Coordinates'!$C$2))*SIN(RADIANS(INDEX('ZIP Coordinates'!$C:$C,MATCH($A414,'ZIP Coordinates'!$A:$A,0))))+COS(RADIANS('ZIP Coordinates'!$C$2))*COS(RADIANS(INDEX('ZIP Coordinates'!$C:$C,MATCH($A414,'ZIP Coordinates'!$A:$A,0))))*COS(RADIANS(INDEX('ZIP Coordinates'!$D:$D,MATCH($A414,'ZIP Coordinates'!$A:$A,0))-'ZIP Coordinates'!$D$2))))),"N/A")</f>
        <v>159.71109490437146</v>
      </c>
      <c r="G414" s="3" t="str">
        <f t="shared" si="12"/>
        <v>150-199 mi</v>
      </c>
      <c r="H414" s="27">
        <f>IF(RIGHT($B414,1)="P",1,IF(ISNUMBER(SEARCH("HALF GALLON",$C414)),Assumptions!$B$4,IF(ISNUMBER(SEARCH("GALLON",$C414)),Assumptions!$B$3,IF(ISNUMBER(SEARCH("QUART",$C414)),Assumptions!$B$5,IF(ISNUMBER(SEARCH("PINT",$C414)),Assumptions!$B$6,Assumptions!$B$7)))))</f>
        <v>1</v>
      </c>
      <c r="I414" s="27">
        <f t="shared" si="13"/>
        <v>35</v>
      </c>
    </row>
    <row r="415" spans="1:9" x14ac:dyDescent="0.2">
      <c r="A415" s="3" t="s">
        <v>19</v>
      </c>
      <c r="B415" s="3" t="s">
        <v>245</v>
      </c>
      <c r="C415" s="3" t="s">
        <v>246</v>
      </c>
      <c r="D415" s="3" t="s">
        <v>152</v>
      </c>
      <c r="E415" s="4">
        <v>3</v>
      </c>
      <c r="F415" s="5">
        <f>IFERROR(3958.8*ACOS(MIN(1,MAX(-1,SIN(RADIANS('ZIP Coordinates'!$C$2))*SIN(RADIANS(INDEX('ZIP Coordinates'!$C:$C,MATCH($A415,'ZIP Coordinates'!$A:$A,0))))+COS(RADIANS('ZIP Coordinates'!$C$2))*COS(RADIANS(INDEX('ZIP Coordinates'!$C:$C,MATCH($A415,'ZIP Coordinates'!$A:$A,0))))*COS(RADIANS(INDEX('ZIP Coordinates'!$D:$D,MATCH($A415,'ZIP Coordinates'!$A:$A,0))-'ZIP Coordinates'!$D$2))))),"N/A")</f>
        <v>159.71109490437146</v>
      </c>
      <c r="G415" s="3" t="str">
        <f t="shared" si="12"/>
        <v>150-199 mi</v>
      </c>
      <c r="H415" s="27">
        <f>IF(RIGHT($B415,1)="P",1,IF(ISNUMBER(SEARCH("HALF GALLON",$C415)),Assumptions!$B$4,IF(ISNUMBER(SEARCH("GALLON",$C415)),Assumptions!$B$3,IF(ISNUMBER(SEARCH("QUART",$C415)),Assumptions!$B$5,IF(ISNUMBER(SEARCH("PINT",$C415)),Assumptions!$B$6,Assumptions!$B$7)))))</f>
        <v>20</v>
      </c>
      <c r="I415" s="27">
        <f t="shared" si="13"/>
        <v>60</v>
      </c>
    </row>
    <row r="416" spans="1:9" x14ac:dyDescent="0.2">
      <c r="A416" s="3" t="s">
        <v>19</v>
      </c>
      <c r="B416" s="3" t="s">
        <v>247</v>
      </c>
      <c r="C416" s="3" t="s">
        <v>246</v>
      </c>
      <c r="D416" s="3" t="s">
        <v>95</v>
      </c>
      <c r="E416" s="4">
        <v>124</v>
      </c>
      <c r="F416" s="5">
        <f>IFERROR(3958.8*ACOS(MIN(1,MAX(-1,SIN(RADIANS('ZIP Coordinates'!$C$2))*SIN(RADIANS(INDEX('ZIP Coordinates'!$C:$C,MATCH($A416,'ZIP Coordinates'!$A:$A,0))))+COS(RADIANS('ZIP Coordinates'!$C$2))*COS(RADIANS(INDEX('ZIP Coordinates'!$C:$C,MATCH($A416,'ZIP Coordinates'!$A:$A,0))))*COS(RADIANS(INDEX('ZIP Coordinates'!$D:$D,MATCH($A416,'ZIP Coordinates'!$A:$A,0))-'ZIP Coordinates'!$D$2))))),"N/A")</f>
        <v>159.71109490437146</v>
      </c>
      <c r="G416" s="3" t="str">
        <f t="shared" si="12"/>
        <v>150-199 mi</v>
      </c>
      <c r="H416" s="27">
        <f>IF(RIGHT($B416,1)="P",1,IF(ISNUMBER(SEARCH("HALF GALLON",$C416)),Assumptions!$B$4,IF(ISNUMBER(SEARCH("GALLON",$C416)),Assumptions!$B$3,IF(ISNUMBER(SEARCH("QUART",$C416)),Assumptions!$B$5,IF(ISNUMBER(SEARCH("PINT",$C416)),Assumptions!$B$6,Assumptions!$B$7)))))</f>
        <v>1</v>
      </c>
      <c r="I416" s="27">
        <f t="shared" si="13"/>
        <v>124</v>
      </c>
    </row>
    <row r="417" spans="1:9" x14ac:dyDescent="0.2">
      <c r="A417" s="3" t="s">
        <v>19</v>
      </c>
      <c r="B417" s="3" t="s">
        <v>248</v>
      </c>
      <c r="C417" s="3" t="s">
        <v>249</v>
      </c>
      <c r="D417" s="3" t="s">
        <v>152</v>
      </c>
      <c r="E417" s="4">
        <v>2</v>
      </c>
      <c r="F417" s="5">
        <f>IFERROR(3958.8*ACOS(MIN(1,MAX(-1,SIN(RADIANS('ZIP Coordinates'!$C$2))*SIN(RADIANS(INDEX('ZIP Coordinates'!$C:$C,MATCH($A417,'ZIP Coordinates'!$A:$A,0))))+COS(RADIANS('ZIP Coordinates'!$C$2))*COS(RADIANS(INDEX('ZIP Coordinates'!$C:$C,MATCH($A417,'ZIP Coordinates'!$A:$A,0))))*COS(RADIANS(INDEX('ZIP Coordinates'!$D:$D,MATCH($A417,'ZIP Coordinates'!$A:$A,0))-'ZIP Coordinates'!$D$2))))),"N/A")</f>
        <v>159.71109490437146</v>
      </c>
      <c r="G417" s="3" t="str">
        <f t="shared" si="12"/>
        <v>150-199 mi</v>
      </c>
      <c r="H417" s="27">
        <f>IF(RIGHT($B417,1)="P",1,IF(ISNUMBER(SEARCH("HALF GALLON",$C417)),Assumptions!$B$4,IF(ISNUMBER(SEARCH("GALLON",$C417)),Assumptions!$B$3,IF(ISNUMBER(SEARCH("QUART",$C417)),Assumptions!$B$5,IF(ISNUMBER(SEARCH("PINT",$C417)),Assumptions!$B$6,Assumptions!$B$7)))))</f>
        <v>20</v>
      </c>
      <c r="I417" s="27">
        <f t="shared" si="13"/>
        <v>40</v>
      </c>
    </row>
    <row r="418" spans="1:9" x14ac:dyDescent="0.2">
      <c r="A418" s="3" t="s">
        <v>19</v>
      </c>
      <c r="B418" s="3" t="s">
        <v>250</v>
      </c>
      <c r="C418" s="3" t="s">
        <v>249</v>
      </c>
      <c r="D418" s="3" t="s">
        <v>95</v>
      </c>
      <c r="E418" s="4">
        <v>103</v>
      </c>
      <c r="F418" s="5">
        <f>IFERROR(3958.8*ACOS(MIN(1,MAX(-1,SIN(RADIANS('ZIP Coordinates'!$C$2))*SIN(RADIANS(INDEX('ZIP Coordinates'!$C:$C,MATCH($A418,'ZIP Coordinates'!$A:$A,0))))+COS(RADIANS('ZIP Coordinates'!$C$2))*COS(RADIANS(INDEX('ZIP Coordinates'!$C:$C,MATCH($A418,'ZIP Coordinates'!$A:$A,0))))*COS(RADIANS(INDEX('ZIP Coordinates'!$D:$D,MATCH($A418,'ZIP Coordinates'!$A:$A,0))-'ZIP Coordinates'!$D$2))))),"N/A")</f>
        <v>159.71109490437146</v>
      </c>
      <c r="G418" s="3" t="str">
        <f t="shared" si="12"/>
        <v>150-199 mi</v>
      </c>
      <c r="H418" s="27">
        <f>IF(RIGHT($B418,1)="P",1,IF(ISNUMBER(SEARCH("HALF GALLON",$C418)),Assumptions!$B$4,IF(ISNUMBER(SEARCH("GALLON",$C418)),Assumptions!$B$3,IF(ISNUMBER(SEARCH("QUART",$C418)),Assumptions!$B$5,IF(ISNUMBER(SEARCH("PINT",$C418)),Assumptions!$B$6,Assumptions!$B$7)))))</f>
        <v>1</v>
      </c>
      <c r="I418" s="27">
        <f t="shared" si="13"/>
        <v>103</v>
      </c>
    </row>
    <row r="419" spans="1:9" x14ac:dyDescent="0.2">
      <c r="A419" s="3" t="s">
        <v>19</v>
      </c>
      <c r="B419" s="3" t="s">
        <v>281</v>
      </c>
      <c r="C419" s="3" t="s">
        <v>252</v>
      </c>
      <c r="D419" s="3" t="s">
        <v>152</v>
      </c>
      <c r="E419" s="4">
        <v>3</v>
      </c>
      <c r="F419" s="5">
        <f>IFERROR(3958.8*ACOS(MIN(1,MAX(-1,SIN(RADIANS('ZIP Coordinates'!$C$2))*SIN(RADIANS(INDEX('ZIP Coordinates'!$C:$C,MATCH($A419,'ZIP Coordinates'!$A:$A,0))))+COS(RADIANS('ZIP Coordinates'!$C$2))*COS(RADIANS(INDEX('ZIP Coordinates'!$C:$C,MATCH($A419,'ZIP Coordinates'!$A:$A,0))))*COS(RADIANS(INDEX('ZIP Coordinates'!$D:$D,MATCH($A419,'ZIP Coordinates'!$A:$A,0))-'ZIP Coordinates'!$D$2))))),"N/A")</f>
        <v>159.71109490437146</v>
      </c>
      <c r="G419" s="3" t="str">
        <f t="shared" si="12"/>
        <v>150-199 mi</v>
      </c>
      <c r="H419" s="27">
        <f>IF(RIGHT($B419,1)="P",1,IF(ISNUMBER(SEARCH("HALF GALLON",$C419)),Assumptions!$B$4,IF(ISNUMBER(SEARCH("GALLON",$C419)),Assumptions!$B$3,IF(ISNUMBER(SEARCH("QUART",$C419)),Assumptions!$B$5,IF(ISNUMBER(SEARCH("PINT",$C419)),Assumptions!$B$6,Assumptions!$B$7)))))</f>
        <v>20</v>
      </c>
      <c r="I419" s="27">
        <f t="shared" si="13"/>
        <v>60</v>
      </c>
    </row>
    <row r="420" spans="1:9" x14ac:dyDescent="0.2">
      <c r="A420" s="3" t="s">
        <v>19</v>
      </c>
      <c r="B420" s="3" t="s">
        <v>251</v>
      </c>
      <c r="C420" s="3" t="s">
        <v>252</v>
      </c>
      <c r="D420" s="3" t="s">
        <v>95</v>
      </c>
      <c r="E420" s="4">
        <v>184</v>
      </c>
      <c r="F420" s="5">
        <f>IFERROR(3958.8*ACOS(MIN(1,MAX(-1,SIN(RADIANS('ZIP Coordinates'!$C$2))*SIN(RADIANS(INDEX('ZIP Coordinates'!$C:$C,MATCH($A420,'ZIP Coordinates'!$A:$A,0))))+COS(RADIANS('ZIP Coordinates'!$C$2))*COS(RADIANS(INDEX('ZIP Coordinates'!$C:$C,MATCH($A420,'ZIP Coordinates'!$A:$A,0))))*COS(RADIANS(INDEX('ZIP Coordinates'!$D:$D,MATCH($A420,'ZIP Coordinates'!$A:$A,0))-'ZIP Coordinates'!$D$2))))),"N/A")</f>
        <v>159.71109490437146</v>
      </c>
      <c r="G420" s="3" t="str">
        <f t="shared" si="12"/>
        <v>150-199 mi</v>
      </c>
      <c r="H420" s="27">
        <f>IF(RIGHT($B420,1)="P",1,IF(ISNUMBER(SEARCH("HALF GALLON",$C420)),Assumptions!$B$4,IF(ISNUMBER(SEARCH("GALLON",$C420)),Assumptions!$B$3,IF(ISNUMBER(SEARCH("QUART",$C420)),Assumptions!$B$5,IF(ISNUMBER(SEARCH("PINT",$C420)),Assumptions!$B$6,Assumptions!$B$7)))))</f>
        <v>1</v>
      </c>
      <c r="I420" s="27">
        <f t="shared" si="13"/>
        <v>184</v>
      </c>
    </row>
    <row r="421" spans="1:9" x14ac:dyDescent="0.2">
      <c r="A421" s="3" t="s">
        <v>19</v>
      </c>
      <c r="B421" s="3" t="s">
        <v>282</v>
      </c>
      <c r="C421" s="3" t="s">
        <v>283</v>
      </c>
      <c r="D421" s="3" t="s">
        <v>152</v>
      </c>
      <c r="E421" s="4">
        <v>15</v>
      </c>
      <c r="F421" s="5">
        <f>IFERROR(3958.8*ACOS(MIN(1,MAX(-1,SIN(RADIANS('ZIP Coordinates'!$C$2))*SIN(RADIANS(INDEX('ZIP Coordinates'!$C:$C,MATCH($A421,'ZIP Coordinates'!$A:$A,0))))+COS(RADIANS('ZIP Coordinates'!$C$2))*COS(RADIANS(INDEX('ZIP Coordinates'!$C:$C,MATCH($A421,'ZIP Coordinates'!$A:$A,0))))*COS(RADIANS(INDEX('ZIP Coordinates'!$D:$D,MATCH($A421,'ZIP Coordinates'!$A:$A,0))-'ZIP Coordinates'!$D$2))))),"N/A")</f>
        <v>159.71109490437146</v>
      </c>
      <c r="G421" s="3" t="str">
        <f t="shared" si="12"/>
        <v>150-199 mi</v>
      </c>
      <c r="H421" s="27">
        <f>IF(RIGHT($B421,1)="P",1,IF(ISNUMBER(SEARCH("HALF GALLON",$C421)),Assumptions!$B$4,IF(ISNUMBER(SEARCH("GALLON",$C421)),Assumptions!$B$3,IF(ISNUMBER(SEARCH("QUART",$C421)),Assumptions!$B$5,IF(ISNUMBER(SEARCH("PINT",$C421)),Assumptions!$B$6,Assumptions!$B$7)))))</f>
        <v>1</v>
      </c>
      <c r="I421" s="27">
        <f t="shared" si="13"/>
        <v>15</v>
      </c>
    </row>
    <row r="422" spans="1:9" x14ac:dyDescent="0.2">
      <c r="A422" s="3" t="s">
        <v>19</v>
      </c>
      <c r="B422" s="3" t="s">
        <v>284</v>
      </c>
      <c r="C422" s="3" t="s">
        <v>285</v>
      </c>
      <c r="D422" s="3" t="s">
        <v>152</v>
      </c>
      <c r="E422" s="4">
        <v>46</v>
      </c>
      <c r="F422" s="5">
        <f>IFERROR(3958.8*ACOS(MIN(1,MAX(-1,SIN(RADIANS('ZIP Coordinates'!$C$2))*SIN(RADIANS(INDEX('ZIP Coordinates'!$C:$C,MATCH($A422,'ZIP Coordinates'!$A:$A,0))))+COS(RADIANS('ZIP Coordinates'!$C$2))*COS(RADIANS(INDEX('ZIP Coordinates'!$C:$C,MATCH($A422,'ZIP Coordinates'!$A:$A,0))))*COS(RADIANS(INDEX('ZIP Coordinates'!$D:$D,MATCH($A422,'ZIP Coordinates'!$A:$A,0))-'ZIP Coordinates'!$D$2))))),"N/A")</f>
        <v>159.71109490437146</v>
      </c>
      <c r="G422" s="3" t="str">
        <f t="shared" si="12"/>
        <v>150-199 mi</v>
      </c>
      <c r="H422" s="27">
        <f>IF(RIGHT($B422,1)="P",1,IF(ISNUMBER(SEARCH("HALF GALLON",$C422)),Assumptions!$B$4,IF(ISNUMBER(SEARCH("GALLON",$C422)),Assumptions!$B$3,IF(ISNUMBER(SEARCH("QUART",$C422)),Assumptions!$B$5,IF(ISNUMBER(SEARCH("PINT",$C422)),Assumptions!$B$6,Assumptions!$B$7)))))</f>
        <v>1</v>
      </c>
      <c r="I422" s="27">
        <f t="shared" si="13"/>
        <v>46</v>
      </c>
    </row>
    <row r="423" spans="1:9" x14ac:dyDescent="0.2">
      <c r="A423" s="3" t="s">
        <v>19</v>
      </c>
      <c r="B423" s="3" t="s">
        <v>286</v>
      </c>
      <c r="C423" s="3" t="s">
        <v>287</v>
      </c>
      <c r="D423" s="3" t="s">
        <v>152</v>
      </c>
      <c r="E423" s="4">
        <v>10</v>
      </c>
      <c r="F423" s="5">
        <f>IFERROR(3958.8*ACOS(MIN(1,MAX(-1,SIN(RADIANS('ZIP Coordinates'!$C$2))*SIN(RADIANS(INDEX('ZIP Coordinates'!$C:$C,MATCH($A423,'ZIP Coordinates'!$A:$A,0))))+COS(RADIANS('ZIP Coordinates'!$C$2))*COS(RADIANS(INDEX('ZIP Coordinates'!$C:$C,MATCH($A423,'ZIP Coordinates'!$A:$A,0))))*COS(RADIANS(INDEX('ZIP Coordinates'!$D:$D,MATCH($A423,'ZIP Coordinates'!$A:$A,0))-'ZIP Coordinates'!$D$2))))),"N/A")</f>
        <v>159.71109490437146</v>
      </c>
      <c r="G423" s="3" t="str">
        <f t="shared" si="12"/>
        <v>150-199 mi</v>
      </c>
      <c r="H423" s="27">
        <f>IF(RIGHT($B423,1)="P",1,IF(ISNUMBER(SEARCH("HALF GALLON",$C423)),Assumptions!$B$4,IF(ISNUMBER(SEARCH("GALLON",$C423)),Assumptions!$B$3,IF(ISNUMBER(SEARCH("QUART",$C423)),Assumptions!$B$5,IF(ISNUMBER(SEARCH("PINT",$C423)),Assumptions!$B$6,Assumptions!$B$7)))))</f>
        <v>9</v>
      </c>
      <c r="I423" s="27">
        <f t="shared" si="13"/>
        <v>90</v>
      </c>
    </row>
    <row r="424" spans="1:9" x14ac:dyDescent="0.2">
      <c r="A424" s="3" t="s">
        <v>19</v>
      </c>
      <c r="B424" s="3" t="s">
        <v>288</v>
      </c>
      <c r="C424" s="3" t="s">
        <v>287</v>
      </c>
      <c r="D424" s="3" t="s">
        <v>95</v>
      </c>
      <c r="E424" s="4">
        <v>321</v>
      </c>
      <c r="F424" s="5">
        <f>IFERROR(3958.8*ACOS(MIN(1,MAX(-1,SIN(RADIANS('ZIP Coordinates'!$C$2))*SIN(RADIANS(INDEX('ZIP Coordinates'!$C:$C,MATCH($A424,'ZIP Coordinates'!$A:$A,0))))+COS(RADIANS('ZIP Coordinates'!$C$2))*COS(RADIANS(INDEX('ZIP Coordinates'!$C:$C,MATCH($A424,'ZIP Coordinates'!$A:$A,0))))*COS(RADIANS(INDEX('ZIP Coordinates'!$D:$D,MATCH($A424,'ZIP Coordinates'!$A:$A,0))-'ZIP Coordinates'!$D$2))))),"N/A")</f>
        <v>159.71109490437146</v>
      </c>
      <c r="G424" s="3" t="str">
        <f t="shared" si="12"/>
        <v>150-199 mi</v>
      </c>
      <c r="H424" s="27">
        <f>IF(RIGHT($B424,1)="P",1,IF(ISNUMBER(SEARCH("HALF GALLON",$C424)),Assumptions!$B$4,IF(ISNUMBER(SEARCH("GALLON",$C424)),Assumptions!$B$3,IF(ISNUMBER(SEARCH("QUART",$C424)),Assumptions!$B$5,IF(ISNUMBER(SEARCH("PINT",$C424)),Assumptions!$B$6,Assumptions!$B$7)))))</f>
        <v>1</v>
      </c>
      <c r="I424" s="27">
        <f t="shared" si="13"/>
        <v>321</v>
      </c>
    </row>
    <row r="425" spans="1:9" x14ac:dyDescent="0.2">
      <c r="A425" s="3" t="s">
        <v>19</v>
      </c>
      <c r="B425" s="3" t="s">
        <v>255</v>
      </c>
      <c r="C425" s="3" t="s">
        <v>256</v>
      </c>
      <c r="D425" s="3" t="s">
        <v>95</v>
      </c>
      <c r="E425" s="4">
        <v>60</v>
      </c>
      <c r="F425" s="5">
        <f>IFERROR(3958.8*ACOS(MIN(1,MAX(-1,SIN(RADIANS('ZIP Coordinates'!$C$2))*SIN(RADIANS(INDEX('ZIP Coordinates'!$C:$C,MATCH($A425,'ZIP Coordinates'!$A:$A,0))))+COS(RADIANS('ZIP Coordinates'!$C$2))*COS(RADIANS(INDEX('ZIP Coordinates'!$C:$C,MATCH($A425,'ZIP Coordinates'!$A:$A,0))))*COS(RADIANS(INDEX('ZIP Coordinates'!$D:$D,MATCH($A425,'ZIP Coordinates'!$A:$A,0))-'ZIP Coordinates'!$D$2))))),"N/A")</f>
        <v>159.71109490437146</v>
      </c>
      <c r="G425" s="3" t="str">
        <f t="shared" si="12"/>
        <v>150-199 mi</v>
      </c>
      <c r="H425" s="27">
        <f>IF(RIGHT($B425,1)="P",1,IF(ISNUMBER(SEARCH("HALF GALLON",$C425)),Assumptions!$B$4,IF(ISNUMBER(SEARCH("GALLON",$C425)),Assumptions!$B$3,IF(ISNUMBER(SEARCH("QUART",$C425)),Assumptions!$B$5,IF(ISNUMBER(SEARCH("PINT",$C425)),Assumptions!$B$6,Assumptions!$B$7)))))</f>
        <v>20</v>
      </c>
      <c r="I425" s="27">
        <f t="shared" si="13"/>
        <v>1200</v>
      </c>
    </row>
    <row r="426" spans="1:9" x14ac:dyDescent="0.2">
      <c r="A426" s="3" t="s">
        <v>20</v>
      </c>
      <c r="B426" s="3" t="s">
        <v>258</v>
      </c>
      <c r="C426" s="3" t="s">
        <v>240</v>
      </c>
      <c r="D426" s="3" t="s">
        <v>222</v>
      </c>
      <c r="E426" s="4">
        <v>1</v>
      </c>
      <c r="F426" s="5">
        <f>IFERROR(3958.8*ACOS(MIN(1,MAX(-1,SIN(RADIANS('ZIP Coordinates'!$C$2))*SIN(RADIANS(INDEX('ZIP Coordinates'!$C:$C,MATCH($A426,'ZIP Coordinates'!$A:$A,0))))+COS(RADIANS('ZIP Coordinates'!$C$2))*COS(RADIANS(INDEX('ZIP Coordinates'!$C:$C,MATCH($A426,'ZIP Coordinates'!$A:$A,0))))*COS(RADIANS(INDEX('ZIP Coordinates'!$D:$D,MATCH($A426,'ZIP Coordinates'!$A:$A,0))-'ZIP Coordinates'!$D$2))))),"N/A")</f>
        <v>181.26827089160921</v>
      </c>
      <c r="G426" s="3" t="str">
        <f t="shared" si="12"/>
        <v>150-199 mi</v>
      </c>
      <c r="H426" s="27">
        <f>IF(RIGHT($B426,1)="P",1,IF(ISNUMBER(SEARCH("HALF GALLON",$C426)),Assumptions!$B$4,IF(ISNUMBER(SEARCH("GALLON",$C426)),Assumptions!$B$3,IF(ISNUMBER(SEARCH("QUART",$C426)),Assumptions!$B$5,IF(ISNUMBER(SEARCH("PINT",$C426)),Assumptions!$B$6,Assumptions!$B$7)))))</f>
        <v>4</v>
      </c>
      <c r="I426" s="27">
        <f t="shared" si="13"/>
        <v>4</v>
      </c>
    </row>
    <row r="427" spans="1:9" x14ac:dyDescent="0.2">
      <c r="A427" s="3" t="s">
        <v>21</v>
      </c>
      <c r="B427" s="3" t="s">
        <v>239</v>
      </c>
      <c r="C427" s="3" t="s">
        <v>240</v>
      </c>
      <c r="D427" s="3" t="s">
        <v>108</v>
      </c>
      <c r="E427" s="4">
        <v>92</v>
      </c>
      <c r="F427" s="5">
        <f>IFERROR(3958.8*ACOS(MIN(1,MAX(-1,SIN(RADIANS('ZIP Coordinates'!$C$2))*SIN(RADIANS(INDEX('ZIP Coordinates'!$C:$C,MATCH($A427,'ZIP Coordinates'!$A:$A,0))))+COS(RADIANS('ZIP Coordinates'!$C$2))*COS(RADIANS(INDEX('ZIP Coordinates'!$C:$C,MATCH($A427,'ZIP Coordinates'!$A:$A,0))))*COS(RADIANS(INDEX('ZIP Coordinates'!$D:$D,MATCH($A427,'ZIP Coordinates'!$A:$A,0))-'ZIP Coordinates'!$D$2))))),"N/A")</f>
        <v>173.66928069538093</v>
      </c>
      <c r="G427" s="3" t="str">
        <f t="shared" si="12"/>
        <v>150-199 mi</v>
      </c>
      <c r="H427" s="27">
        <f>IF(RIGHT($B427,1)="P",1,IF(ISNUMBER(SEARCH("HALF GALLON",$C427)),Assumptions!$B$4,IF(ISNUMBER(SEARCH("GALLON",$C427)),Assumptions!$B$3,IF(ISNUMBER(SEARCH("QUART",$C427)),Assumptions!$B$5,IF(ISNUMBER(SEARCH("PINT",$C427)),Assumptions!$B$6,Assumptions!$B$7)))))</f>
        <v>1</v>
      </c>
      <c r="I427" s="27">
        <f t="shared" si="13"/>
        <v>92</v>
      </c>
    </row>
    <row r="428" spans="1:9" x14ac:dyDescent="0.2">
      <c r="A428" s="3" t="s">
        <v>21</v>
      </c>
      <c r="B428" s="3" t="s">
        <v>261</v>
      </c>
      <c r="C428" s="3" t="s">
        <v>260</v>
      </c>
      <c r="D428" s="3" t="s">
        <v>104</v>
      </c>
      <c r="E428" s="4">
        <v>118</v>
      </c>
      <c r="F428" s="5">
        <f>IFERROR(3958.8*ACOS(MIN(1,MAX(-1,SIN(RADIANS('ZIP Coordinates'!$C$2))*SIN(RADIANS(INDEX('ZIP Coordinates'!$C:$C,MATCH($A428,'ZIP Coordinates'!$A:$A,0))))+COS(RADIANS('ZIP Coordinates'!$C$2))*COS(RADIANS(INDEX('ZIP Coordinates'!$C:$C,MATCH($A428,'ZIP Coordinates'!$A:$A,0))))*COS(RADIANS(INDEX('ZIP Coordinates'!$D:$D,MATCH($A428,'ZIP Coordinates'!$A:$A,0))-'ZIP Coordinates'!$D$2))))),"N/A")</f>
        <v>173.66928069538093</v>
      </c>
      <c r="G428" s="3" t="str">
        <f t="shared" si="12"/>
        <v>150-199 mi</v>
      </c>
      <c r="H428" s="27">
        <f>IF(RIGHT($B428,1)="P",1,IF(ISNUMBER(SEARCH("HALF GALLON",$C428)),Assumptions!$B$4,IF(ISNUMBER(SEARCH("GALLON",$C428)),Assumptions!$B$3,IF(ISNUMBER(SEARCH("QUART",$C428)),Assumptions!$B$5,IF(ISNUMBER(SEARCH("PINT",$C428)),Assumptions!$B$6,Assumptions!$B$7)))))</f>
        <v>1</v>
      </c>
      <c r="I428" s="27">
        <f t="shared" si="13"/>
        <v>118</v>
      </c>
    </row>
    <row r="429" spans="1:9" x14ac:dyDescent="0.2">
      <c r="A429" s="3" t="s">
        <v>21</v>
      </c>
      <c r="B429" s="3" t="s">
        <v>264</v>
      </c>
      <c r="C429" s="3" t="s">
        <v>263</v>
      </c>
      <c r="D429" s="3" t="s">
        <v>108</v>
      </c>
      <c r="E429" s="4">
        <v>9</v>
      </c>
      <c r="F429" s="5">
        <f>IFERROR(3958.8*ACOS(MIN(1,MAX(-1,SIN(RADIANS('ZIP Coordinates'!$C$2))*SIN(RADIANS(INDEX('ZIP Coordinates'!$C:$C,MATCH($A429,'ZIP Coordinates'!$A:$A,0))))+COS(RADIANS('ZIP Coordinates'!$C$2))*COS(RADIANS(INDEX('ZIP Coordinates'!$C:$C,MATCH($A429,'ZIP Coordinates'!$A:$A,0))))*COS(RADIANS(INDEX('ZIP Coordinates'!$D:$D,MATCH($A429,'ZIP Coordinates'!$A:$A,0))-'ZIP Coordinates'!$D$2))))),"N/A")</f>
        <v>173.66928069538093</v>
      </c>
      <c r="G429" s="3" t="str">
        <f t="shared" si="12"/>
        <v>150-199 mi</v>
      </c>
      <c r="H429" s="27">
        <f>IF(RIGHT($B429,1)="P",1,IF(ISNUMBER(SEARCH("HALF GALLON",$C429)),Assumptions!$B$4,IF(ISNUMBER(SEARCH("GALLON",$C429)),Assumptions!$B$3,IF(ISNUMBER(SEARCH("QUART",$C429)),Assumptions!$B$5,IF(ISNUMBER(SEARCH("PINT",$C429)),Assumptions!$B$6,Assumptions!$B$7)))))</f>
        <v>1</v>
      </c>
      <c r="I429" s="27">
        <f t="shared" si="13"/>
        <v>9</v>
      </c>
    </row>
    <row r="430" spans="1:9" x14ac:dyDescent="0.2">
      <c r="A430" s="3" t="s">
        <v>21</v>
      </c>
      <c r="B430" s="3" t="s">
        <v>269</v>
      </c>
      <c r="C430" s="3" t="s">
        <v>268</v>
      </c>
      <c r="D430" s="3" t="s">
        <v>104</v>
      </c>
      <c r="E430" s="4">
        <v>45</v>
      </c>
      <c r="F430" s="5">
        <f>IFERROR(3958.8*ACOS(MIN(1,MAX(-1,SIN(RADIANS('ZIP Coordinates'!$C$2))*SIN(RADIANS(INDEX('ZIP Coordinates'!$C:$C,MATCH($A430,'ZIP Coordinates'!$A:$A,0))))+COS(RADIANS('ZIP Coordinates'!$C$2))*COS(RADIANS(INDEX('ZIP Coordinates'!$C:$C,MATCH($A430,'ZIP Coordinates'!$A:$A,0))))*COS(RADIANS(INDEX('ZIP Coordinates'!$D:$D,MATCH($A430,'ZIP Coordinates'!$A:$A,0))-'ZIP Coordinates'!$D$2))))),"N/A")</f>
        <v>173.66928069538093</v>
      </c>
      <c r="G430" s="3" t="str">
        <f t="shared" si="12"/>
        <v>150-199 mi</v>
      </c>
      <c r="H430" s="27">
        <f>IF(RIGHT($B430,1)="P",1,IF(ISNUMBER(SEARCH("HALF GALLON",$C430)),Assumptions!$B$4,IF(ISNUMBER(SEARCH("GALLON",$C430)),Assumptions!$B$3,IF(ISNUMBER(SEARCH("QUART",$C430)),Assumptions!$B$5,IF(ISNUMBER(SEARCH("PINT",$C430)),Assumptions!$B$6,Assumptions!$B$7)))))</f>
        <v>1</v>
      </c>
      <c r="I430" s="27">
        <f t="shared" si="13"/>
        <v>45</v>
      </c>
    </row>
    <row r="431" spans="1:9" x14ac:dyDescent="0.2">
      <c r="A431" s="3" t="s">
        <v>21</v>
      </c>
      <c r="B431" s="3" t="s">
        <v>241</v>
      </c>
      <c r="C431" s="3" t="s">
        <v>242</v>
      </c>
      <c r="D431" s="3" t="s">
        <v>108</v>
      </c>
      <c r="E431" s="4">
        <v>26</v>
      </c>
      <c r="F431" s="5">
        <f>IFERROR(3958.8*ACOS(MIN(1,MAX(-1,SIN(RADIANS('ZIP Coordinates'!$C$2))*SIN(RADIANS(INDEX('ZIP Coordinates'!$C:$C,MATCH($A431,'ZIP Coordinates'!$A:$A,0))))+COS(RADIANS('ZIP Coordinates'!$C$2))*COS(RADIANS(INDEX('ZIP Coordinates'!$C:$C,MATCH($A431,'ZIP Coordinates'!$A:$A,0))))*COS(RADIANS(INDEX('ZIP Coordinates'!$D:$D,MATCH($A431,'ZIP Coordinates'!$A:$A,0))-'ZIP Coordinates'!$D$2))))),"N/A")</f>
        <v>173.66928069538093</v>
      </c>
      <c r="G431" s="3" t="str">
        <f t="shared" si="12"/>
        <v>150-199 mi</v>
      </c>
      <c r="H431" s="27">
        <f>IF(RIGHT($B431,1)="P",1,IF(ISNUMBER(SEARCH("HALF GALLON",$C431)),Assumptions!$B$4,IF(ISNUMBER(SEARCH("GALLON",$C431)),Assumptions!$B$3,IF(ISNUMBER(SEARCH("QUART",$C431)),Assumptions!$B$5,IF(ISNUMBER(SEARCH("PINT",$C431)),Assumptions!$B$6,Assumptions!$B$7)))))</f>
        <v>1</v>
      </c>
      <c r="I431" s="27">
        <f t="shared" si="13"/>
        <v>26</v>
      </c>
    </row>
    <row r="432" spans="1:9" x14ac:dyDescent="0.2">
      <c r="A432" s="3" t="s">
        <v>21</v>
      </c>
      <c r="B432" s="3" t="s">
        <v>243</v>
      </c>
      <c r="C432" s="3" t="s">
        <v>244</v>
      </c>
      <c r="D432" s="3" t="s">
        <v>108</v>
      </c>
      <c r="E432" s="4">
        <v>38</v>
      </c>
      <c r="F432" s="5">
        <f>IFERROR(3958.8*ACOS(MIN(1,MAX(-1,SIN(RADIANS('ZIP Coordinates'!$C$2))*SIN(RADIANS(INDEX('ZIP Coordinates'!$C:$C,MATCH($A432,'ZIP Coordinates'!$A:$A,0))))+COS(RADIANS('ZIP Coordinates'!$C$2))*COS(RADIANS(INDEX('ZIP Coordinates'!$C:$C,MATCH($A432,'ZIP Coordinates'!$A:$A,0))))*COS(RADIANS(INDEX('ZIP Coordinates'!$D:$D,MATCH($A432,'ZIP Coordinates'!$A:$A,0))-'ZIP Coordinates'!$D$2))))),"N/A")</f>
        <v>173.66928069538093</v>
      </c>
      <c r="G432" s="3" t="str">
        <f t="shared" si="12"/>
        <v>150-199 mi</v>
      </c>
      <c r="H432" s="27">
        <f>IF(RIGHT($B432,1)="P",1,IF(ISNUMBER(SEARCH("HALF GALLON",$C432)),Assumptions!$B$4,IF(ISNUMBER(SEARCH("GALLON",$C432)),Assumptions!$B$3,IF(ISNUMBER(SEARCH("QUART",$C432)),Assumptions!$B$5,IF(ISNUMBER(SEARCH("PINT",$C432)),Assumptions!$B$6,Assumptions!$B$7)))))</f>
        <v>1</v>
      </c>
      <c r="I432" s="27">
        <f t="shared" si="13"/>
        <v>38</v>
      </c>
    </row>
    <row r="433" spans="1:9" x14ac:dyDescent="0.2">
      <c r="A433" s="3" t="s">
        <v>21</v>
      </c>
      <c r="B433" s="3" t="s">
        <v>272</v>
      </c>
      <c r="C433" s="3" t="s">
        <v>273</v>
      </c>
      <c r="D433" s="3" t="s">
        <v>108</v>
      </c>
      <c r="E433" s="4">
        <v>7</v>
      </c>
      <c r="F433" s="5">
        <f>IFERROR(3958.8*ACOS(MIN(1,MAX(-1,SIN(RADIANS('ZIP Coordinates'!$C$2))*SIN(RADIANS(INDEX('ZIP Coordinates'!$C:$C,MATCH($A433,'ZIP Coordinates'!$A:$A,0))))+COS(RADIANS('ZIP Coordinates'!$C$2))*COS(RADIANS(INDEX('ZIP Coordinates'!$C:$C,MATCH($A433,'ZIP Coordinates'!$A:$A,0))))*COS(RADIANS(INDEX('ZIP Coordinates'!$D:$D,MATCH($A433,'ZIP Coordinates'!$A:$A,0))-'ZIP Coordinates'!$D$2))))),"N/A")</f>
        <v>173.66928069538093</v>
      </c>
      <c r="G433" s="3" t="str">
        <f t="shared" si="12"/>
        <v>150-199 mi</v>
      </c>
      <c r="H433" s="27">
        <f>IF(RIGHT($B433,1)="P",1,IF(ISNUMBER(SEARCH("HALF GALLON",$C433)),Assumptions!$B$4,IF(ISNUMBER(SEARCH("GALLON",$C433)),Assumptions!$B$3,IF(ISNUMBER(SEARCH("QUART",$C433)),Assumptions!$B$5,IF(ISNUMBER(SEARCH("PINT",$C433)),Assumptions!$B$6,Assumptions!$B$7)))))</f>
        <v>1</v>
      </c>
      <c r="I433" s="27">
        <f t="shared" si="13"/>
        <v>7</v>
      </c>
    </row>
    <row r="434" spans="1:9" x14ac:dyDescent="0.2">
      <c r="A434" s="3" t="s">
        <v>21</v>
      </c>
      <c r="B434" s="3" t="s">
        <v>276</v>
      </c>
      <c r="C434" s="3" t="s">
        <v>275</v>
      </c>
      <c r="D434" s="3" t="s">
        <v>108</v>
      </c>
      <c r="E434" s="4">
        <v>23</v>
      </c>
      <c r="F434" s="5">
        <f>IFERROR(3958.8*ACOS(MIN(1,MAX(-1,SIN(RADIANS('ZIP Coordinates'!$C$2))*SIN(RADIANS(INDEX('ZIP Coordinates'!$C:$C,MATCH($A434,'ZIP Coordinates'!$A:$A,0))))+COS(RADIANS('ZIP Coordinates'!$C$2))*COS(RADIANS(INDEX('ZIP Coordinates'!$C:$C,MATCH($A434,'ZIP Coordinates'!$A:$A,0))))*COS(RADIANS(INDEX('ZIP Coordinates'!$D:$D,MATCH($A434,'ZIP Coordinates'!$A:$A,0))-'ZIP Coordinates'!$D$2))))),"N/A")</f>
        <v>173.66928069538093</v>
      </c>
      <c r="G434" s="3" t="str">
        <f t="shared" si="12"/>
        <v>150-199 mi</v>
      </c>
      <c r="H434" s="27">
        <f>IF(RIGHT($B434,1)="P",1,IF(ISNUMBER(SEARCH("HALF GALLON",$C434)),Assumptions!$B$4,IF(ISNUMBER(SEARCH("GALLON",$C434)),Assumptions!$B$3,IF(ISNUMBER(SEARCH("QUART",$C434)),Assumptions!$B$5,IF(ISNUMBER(SEARCH("PINT",$C434)),Assumptions!$B$6,Assumptions!$B$7)))))</f>
        <v>1</v>
      </c>
      <c r="I434" s="27">
        <f t="shared" si="13"/>
        <v>23</v>
      </c>
    </row>
    <row r="435" spans="1:9" x14ac:dyDescent="0.2">
      <c r="A435" s="3" t="s">
        <v>21</v>
      </c>
      <c r="B435" s="3" t="s">
        <v>277</v>
      </c>
      <c r="C435" s="3" t="s">
        <v>278</v>
      </c>
      <c r="D435" s="3" t="s">
        <v>108</v>
      </c>
      <c r="E435" s="4">
        <v>23</v>
      </c>
      <c r="F435" s="5">
        <f>IFERROR(3958.8*ACOS(MIN(1,MAX(-1,SIN(RADIANS('ZIP Coordinates'!$C$2))*SIN(RADIANS(INDEX('ZIP Coordinates'!$C:$C,MATCH($A435,'ZIP Coordinates'!$A:$A,0))))+COS(RADIANS('ZIP Coordinates'!$C$2))*COS(RADIANS(INDEX('ZIP Coordinates'!$C:$C,MATCH($A435,'ZIP Coordinates'!$A:$A,0))))*COS(RADIANS(INDEX('ZIP Coordinates'!$D:$D,MATCH($A435,'ZIP Coordinates'!$A:$A,0))-'ZIP Coordinates'!$D$2))))),"N/A")</f>
        <v>173.66928069538093</v>
      </c>
      <c r="G435" s="3" t="str">
        <f t="shared" si="12"/>
        <v>150-199 mi</v>
      </c>
      <c r="H435" s="27">
        <f>IF(RIGHT($B435,1)="P",1,IF(ISNUMBER(SEARCH("HALF GALLON",$C435)),Assumptions!$B$4,IF(ISNUMBER(SEARCH("GALLON",$C435)),Assumptions!$B$3,IF(ISNUMBER(SEARCH("QUART",$C435)),Assumptions!$B$5,IF(ISNUMBER(SEARCH("PINT",$C435)),Assumptions!$B$6,Assumptions!$B$7)))))</f>
        <v>1</v>
      </c>
      <c r="I435" s="27">
        <f t="shared" si="13"/>
        <v>23</v>
      </c>
    </row>
    <row r="436" spans="1:9" x14ac:dyDescent="0.2">
      <c r="A436" s="3" t="s">
        <v>21</v>
      </c>
      <c r="B436" s="3" t="s">
        <v>279</v>
      </c>
      <c r="C436" s="3" t="s">
        <v>280</v>
      </c>
      <c r="D436" s="3" t="s">
        <v>108</v>
      </c>
      <c r="E436" s="4">
        <v>24</v>
      </c>
      <c r="F436" s="5">
        <f>IFERROR(3958.8*ACOS(MIN(1,MAX(-1,SIN(RADIANS('ZIP Coordinates'!$C$2))*SIN(RADIANS(INDEX('ZIP Coordinates'!$C:$C,MATCH($A436,'ZIP Coordinates'!$A:$A,0))))+COS(RADIANS('ZIP Coordinates'!$C$2))*COS(RADIANS(INDEX('ZIP Coordinates'!$C:$C,MATCH($A436,'ZIP Coordinates'!$A:$A,0))))*COS(RADIANS(INDEX('ZIP Coordinates'!$D:$D,MATCH($A436,'ZIP Coordinates'!$A:$A,0))-'ZIP Coordinates'!$D$2))))),"N/A")</f>
        <v>173.66928069538093</v>
      </c>
      <c r="G436" s="3" t="str">
        <f t="shared" si="12"/>
        <v>150-199 mi</v>
      </c>
      <c r="H436" s="27">
        <f>IF(RIGHT($B436,1)="P",1,IF(ISNUMBER(SEARCH("HALF GALLON",$C436)),Assumptions!$B$4,IF(ISNUMBER(SEARCH("GALLON",$C436)),Assumptions!$B$3,IF(ISNUMBER(SEARCH("QUART",$C436)),Assumptions!$B$5,IF(ISNUMBER(SEARCH("PINT",$C436)),Assumptions!$B$6,Assumptions!$B$7)))))</f>
        <v>1</v>
      </c>
      <c r="I436" s="27">
        <f t="shared" si="13"/>
        <v>24</v>
      </c>
    </row>
    <row r="437" spans="1:9" x14ac:dyDescent="0.2">
      <c r="A437" s="3" t="s">
        <v>21</v>
      </c>
      <c r="B437" s="3" t="s">
        <v>247</v>
      </c>
      <c r="C437" s="3" t="s">
        <v>246</v>
      </c>
      <c r="D437" s="3" t="s">
        <v>108</v>
      </c>
      <c r="E437" s="4">
        <v>60</v>
      </c>
      <c r="F437" s="5">
        <f>IFERROR(3958.8*ACOS(MIN(1,MAX(-1,SIN(RADIANS('ZIP Coordinates'!$C$2))*SIN(RADIANS(INDEX('ZIP Coordinates'!$C:$C,MATCH($A437,'ZIP Coordinates'!$A:$A,0))))+COS(RADIANS('ZIP Coordinates'!$C$2))*COS(RADIANS(INDEX('ZIP Coordinates'!$C:$C,MATCH($A437,'ZIP Coordinates'!$A:$A,0))))*COS(RADIANS(INDEX('ZIP Coordinates'!$D:$D,MATCH($A437,'ZIP Coordinates'!$A:$A,0))-'ZIP Coordinates'!$D$2))))),"N/A")</f>
        <v>173.66928069538093</v>
      </c>
      <c r="G437" s="3" t="str">
        <f t="shared" si="12"/>
        <v>150-199 mi</v>
      </c>
      <c r="H437" s="27">
        <f>IF(RIGHT($B437,1)="P",1,IF(ISNUMBER(SEARCH("HALF GALLON",$C437)),Assumptions!$B$4,IF(ISNUMBER(SEARCH("GALLON",$C437)),Assumptions!$B$3,IF(ISNUMBER(SEARCH("QUART",$C437)),Assumptions!$B$5,IF(ISNUMBER(SEARCH("PINT",$C437)),Assumptions!$B$6,Assumptions!$B$7)))))</f>
        <v>1</v>
      </c>
      <c r="I437" s="27">
        <f t="shared" si="13"/>
        <v>60</v>
      </c>
    </row>
    <row r="438" spans="1:9" x14ac:dyDescent="0.2">
      <c r="A438" s="3" t="s">
        <v>21</v>
      </c>
      <c r="B438" s="3" t="s">
        <v>250</v>
      </c>
      <c r="C438" s="3" t="s">
        <v>249</v>
      </c>
      <c r="D438" s="3" t="s">
        <v>104</v>
      </c>
      <c r="E438" s="4">
        <v>53</v>
      </c>
      <c r="F438" s="5">
        <f>IFERROR(3958.8*ACOS(MIN(1,MAX(-1,SIN(RADIANS('ZIP Coordinates'!$C$2))*SIN(RADIANS(INDEX('ZIP Coordinates'!$C:$C,MATCH($A438,'ZIP Coordinates'!$A:$A,0))))+COS(RADIANS('ZIP Coordinates'!$C$2))*COS(RADIANS(INDEX('ZIP Coordinates'!$C:$C,MATCH($A438,'ZIP Coordinates'!$A:$A,0))))*COS(RADIANS(INDEX('ZIP Coordinates'!$D:$D,MATCH($A438,'ZIP Coordinates'!$A:$A,0))-'ZIP Coordinates'!$D$2))))),"N/A")</f>
        <v>173.66928069538093</v>
      </c>
      <c r="G438" s="3" t="str">
        <f t="shared" si="12"/>
        <v>150-199 mi</v>
      </c>
      <c r="H438" s="27">
        <f>IF(RIGHT($B438,1)="P",1,IF(ISNUMBER(SEARCH("HALF GALLON",$C438)),Assumptions!$B$4,IF(ISNUMBER(SEARCH("GALLON",$C438)),Assumptions!$B$3,IF(ISNUMBER(SEARCH("QUART",$C438)),Assumptions!$B$5,IF(ISNUMBER(SEARCH("PINT",$C438)),Assumptions!$B$6,Assumptions!$B$7)))))</f>
        <v>1</v>
      </c>
      <c r="I438" s="27">
        <f t="shared" si="13"/>
        <v>53</v>
      </c>
    </row>
    <row r="439" spans="1:9" x14ac:dyDescent="0.2">
      <c r="A439" s="3" t="s">
        <v>21</v>
      </c>
      <c r="B439" s="3" t="s">
        <v>251</v>
      </c>
      <c r="C439" s="3" t="s">
        <v>252</v>
      </c>
      <c r="D439" s="3" t="s">
        <v>104</v>
      </c>
      <c r="E439" s="4">
        <v>104</v>
      </c>
      <c r="F439" s="5">
        <f>IFERROR(3958.8*ACOS(MIN(1,MAX(-1,SIN(RADIANS('ZIP Coordinates'!$C$2))*SIN(RADIANS(INDEX('ZIP Coordinates'!$C:$C,MATCH($A439,'ZIP Coordinates'!$A:$A,0))))+COS(RADIANS('ZIP Coordinates'!$C$2))*COS(RADIANS(INDEX('ZIP Coordinates'!$C:$C,MATCH($A439,'ZIP Coordinates'!$A:$A,0))))*COS(RADIANS(INDEX('ZIP Coordinates'!$D:$D,MATCH($A439,'ZIP Coordinates'!$A:$A,0))-'ZIP Coordinates'!$D$2))))),"N/A")</f>
        <v>173.66928069538093</v>
      </c>
      <c r="G439" s="3" t="str">
        <f t="shared" si="12"/>
        <v>150-199 mi</v>
      </c>
      <c r="H439" s="27">
        <f>IF(RIGHT($B439,1)="P",1,IF(ISNUMBER(SEARCH("HALF GALLON",$C439)),Assumptions!$B$4,IF(ISNUMBER(SEARCH("GALLON",$C439)),Assumptions!$B$3,IF(ISNUMBER(SEARCH("QUART",$C439)),Assumptions!$B$5,IF(ISNUMBER(SEARCH("PINT",$C439)),Assumptions!$B$6,Assumptions!$B$7)))))</f>
        <v>1</v>
      </c>
      <c r="I439" s="27">
        <f t="shared" si="13"/>
        <v>104</v>
      </c>
    </row>
    <row r="440" spans="1:9" x14ac:dyDescent="0.2">
      <c r="A440" s="3" t="s">
        <v>21</v>
      </c>
      <c r="B440" s="3" t="s">
        <v>284</v>
      </c>
      <c r="C440" s="3" t="s">
        <v>285</v>
      </c>
      <c r="D440" s="3" t="s">
        <v>108</v>
      </c>
      <c r="E440" s="4">
        <v>17</v>
      </c>
      <c r="F440" s="5">
        <f>IFERROR(3958.8*ACOS(MIN(1,MAX(-1,SIN(RADIANS('ZIP Coordinates'!$C$2))*SIN(RADIANS(INDEX('ZIP Coordinates'!$C:$C,MATCH($A440,'ZIP Coordinates'!$A:$A,0))))+COS(RADIANS('ZIP Coordinates'!$C$2))*COS(RADIANS(INDEX('ZIP Coordinates'!$C:$C,MATCH($A440,'ZIP Coordinates'!$A:$A,0))))*COS(RADIANS(INDEX('ZIP Coordinates'!$D:$D,MATCH($A440,'ZIP Coordinates'!$A:$A,0))-'ZIP Coordinates'!$D$2))))),"N/A")</f>
        <v>173.66928069538093</v>
      </c>
      <c r="G440" s="3" t="str">
        <f t="shared" si="12"/>
        <v>150-199 mi</v>
      </c>
      <c r="H440" s="27">
        <f>IF(RIGHT($B440,1)="P",1,IF(ISNUMBER(SEARCH("HALF GALLON",$C440)),Assumptions!$B$4,IF(ISNUMBER(SEARCH("GALLON",$C440)),Assumptions!$B$3,IF(ISNUMBER(SEARCH("QUART",$C440)),Assumptions!$B$5,IF(ISNUMBER(SEARCH("PINT",$C440)),Assumptions!$B$6,Assumptions!$B$7)))))</f>
        <v>1</v>
      </c>
      <c r="I440" s="27">
        <f t="shared" si="13"/>
        <v>17</v>
      </c>
    </row>
    <row r="441" spans="1:9" x14ac:dyDescent="0.2">
      <c r="A441" s="3" t="s">
        <v>21</v>
      </c>
      <c r="B441" s="3" t="s">
        <v>288</v>
      </c>
      <c r="C441" s="3" t="s">
        <v>287</v>
      </c>
      <c r="D441" s="3" t="s">
        <v>108</v>
      </c>
      <c r="E441" s="4">
        <v>256</v>
      </c>
      <c r="F441" s="5">
        <f>IFERROR(3958.8*ACOS(MIN(1,MAX(-1,SIN(RADIANS('ZIP Coordinates'!$C$2))*SIN(RADIANS(INDEX('ZIP Coordinates'!$C:$C,MATCH($A441,'ZIP Coordinates'!$A:$A,0))))+COS(RADIANS('ZIP Coordinates'!$C$2))*COS(RADIANS(INDEX('ZIP Coordinates'!$C:$C,MATCH($A441,'ZIP Coordinates'!$A:$A,0))))*COS(RADIANS(INDEX('ZIP Coordinates'!$D:$D,MATCH($A441,'ZIP Coordinates'!$A:$A,0))-'ZIP Coordinates'!$D$2))))),"N/A")</f>
        <v>173.66928069538093</v>
      </c>
      <c r="G441" s="3" t="str">
        <f t="shared" si="12"/>
        <v>150-199 mi</v>
      </c>
      <c r="H441" s="27">
        <f>IF(RIGHT($B441,1)="P",1,IF(ISNUMBER(SEARCH("HALF GALLON",$C441)),Assumptions!$B$4,IF(ISNUMBER(SEARCH("GALLON",$C441)),Assumptions!$B$3,IF(ISNUMBER(SEARCH("QUART",$C441)),Assumptions!$B$5,IF(ISNUMBER(SEARCH("PINT",$C441)),Assumptions!$B$6,Assumptions!$B$7)))))</f>
        <v>1</v>
      </c>
      <c r="I441" s="27">
        <f t="shared" si="13"/>
        <v>256</v>
      </c>
    </row>
    <row r="442" spans="1:9" x14ac:dyDescent="0.2">
      <c r="A442" s="3" t="s">
        <v>21</v>
      </c>
      <c r="B442" s="3" t="s">
        <v>257</v>
      </c>
      <c r="C442" s="3" t="s">
        <v>256</v>
      </c>
      <c r="D442" s="3" t="s">
        <v>104</v>
      </c>
      <c r="E442" s="4">
        <v>343</v>
      </c>
      <c r="F442" s="5">
        <f>IFERROR(3958.8*ACOS(MIN(1,MAX(-1,SIN(RADIANS('ZIP Coordinates'!$C$2))*SIN(RADIANS(INDEX('ZIP Coordinates'!$C:$C,MATCH($A442,'ZIP Coordinates'!$A:$A,0))))+COS(RADIANS('ZIP Coordinates'!$C$2))*COS(RADIANS(INDEX('ZIP Coordinates'!$C:$C,MATCH($A442,'ZIP Coordinates'!$A:$A,0))))*COS(RADIANS(INDEX('ZIP Coordinates'!$D:$D,MATCH($A442,'ZIP Coordinates'!$A:$A,0))-'ZIP Coordinates'!$D$2))))),"N/A")</f>
        <v>173.66928069538093</v>
      </c>
      <c r="G442" s="3" t="str">
        <f t="shared" si="12"/>
        <v>150-199 mi</v>
      </c>
      <c r="H442" s="27">
        <f>IF(RIGHT($B442,1)="P",1,IF(ISNUMBER(SEARCH("HALF GALLON",$C442)),Assumptions!$B$4,IF(ISNUMBER(SEARCH("GALLON",$C442)),Assumptions!$B$3,IF(ISNUMBER(SEARCH("QUART",$C442)),Assumptions!$B$5,IF(ISNUMBER(SEARCH("PINT",$C442)),Assumptions!$B$6,Assumptions!$B$7)))))</f>
        <v>1</v>
      </c>
      <c r="I442" s="27">
        <f t="shared" si="13"/>
        <v>343</v>
      </c>
    </row>
    <row r="443" spans="1:9" x14ac:dyDescent="0.2">
      <c r="A443" s="3" t="s">
        <v>22</v>
      </c>
      <c r="B443" s="3" t="s">
        <v>239</v>
      </c>
      <c r="C443" s="3" t="s">
        <v>240</v>
      </c>
      <c r="D443" s="3" t="s">
        <v>90</v>
      </c>
      <c r="E443" s="4">
        <v>92</v>
      </c>
      <c r="F443" s="5">
        <f>IFERROR(3958.8*ACOS(MIN(1,MAX(-1,SIN(RADIANS('ZIP Coordinates'!$C$2))*SIN(RADIANS(INDEX('ZIP Coordinates'!$C:$C,MATCH($A443,'ZIP Coordinates'!$A:$A,0))))+COS(RADIANS('ZIP Coordinates'!$C$2))*COS(RADIANS(INDEX('ZIP Coordinates'!$C:$C,MATCH($A443,'ZIP Coordinates'!$A:$A,0))))*COS(RADIANS(INDEX('ZIP Coordinates'!$D:$D,MATCH($A443,'ZIP Coordinates'!$A:$A,0))-'ZIP Coordinates'!$D$2))))),"N/A")</f>
        <v>167.59263571775259</v>
      </c>
      <c r="G443" s="3" t="str">
        <f t="shared" si="12"/>
        <v>150-199 mi</v>
      </c>
      <c r="H443" s="27">
        <f>IF(RIGHT($B443,1)="P",1,IF(ISNUMBER(SEARCH("HALF GALLON",$C443)),Assumptions!$B$4,IF(ISNUMBER(SEARCH("GALLON",$C443)),Assumptions!$B$3,IF(ISNUMBER(SEARCH("QUART",$C443)),Assumptions!$B$5,IF(ISNUMBER(SEARCH("PINT",$C443)),Assumptions!$B$6,Assumptions!$B$7)))))</f>
        <v>1</v>
      </c>
      <c r="I443" s="27">
        <f t="shared" si="13"/>
        <v>92</v>
      </c>
    </row>
    <row r="444" spans="1:9" x14ac:dyDescent="0.2">
      <c r="A444" s="3" t="s">
        <v>22</v>
      </c>
      <c r="B444" s="3" t="s">
        <v>259</v>
      </c>
      <c r="C444" s="3" t="s">
        <v>260</v>
      </c>
      <c r="D444" s="3" t="s">
        <v>90</v>
      </c>
      <c r="E444" s="4">
        <v>10</v>
      </c>
      <c r="F444" s="5">
        <f>IFERROR(3958.8*ACOS(MIN(1,MAX(-1,SIN(RADIANS('ZIP Coordinates'!$C$2))*SIN(RADIANS(INDEX('ZIP Coordinates'!$C:$C,MATCH($A444,'ZIP Coordinates'!$A:$A,0))))+COS(RADIANS('ZIP Coordinates'!$C$2))*COS(RADIANS(INDEX('ZIP Coordinates'!$C:$C,MATCH($A444,'ZIP Coordinates'!$A:$A,0))))*COS(RADIANS(INDEX('ZIP Coordinates'!$D:$D,MATCH($A444,'ZIP Coordinates'!$A:$A,0))-'ZIP Coordinates'!$D$2))))),"N/A")</f>
        <v>167.59263571775259</v>
      </c>
      <c r="G444" s="3" t="str">
        <f t="shared" si="12"/>
        <v>150-199 mi</v>
      </c>
      <c r="H444" s="27">
        <f>IF(RIGHT($B444,1)="P",1,IF(ISNUMBER(SEARCH("HALF GALLON",$C444)),Assumptions!$B$4,IF(ISNUMBER(SEARCH("GALLON",$C444)),Assumptions!$B$3,IF(ISNUMBER(SEARCH("QUART",$C444)),Assumptions!$B$5,IF(ISNUMBER(SEARCH("PINT",$C444)),Assumptions!$B$6,Assumptions!$B$7)))))</f>
        <v>4</v>
      </c>
      <c r="I444" s="27">
        <f t="shared" si="13"/>
        <v>40</v>
      </c>
    </row>
    <row r="445" spans="1:9" x14ac:dyDescent="0.2">
      <c r="A445" s="3" t="s">
        <v>22</v>
      </c>
      <c r="B445" s="3" t="s">
        <v>261</v>
      </c>
      <c r="C445" s="3" t="s">
        <v>260</v>
      </c>
      <c r="D445" s="3" t="s">
        <v>150</v>
      </c>
      <c r="E445" s="4">
        <v>107</v>
      </c>
      <c r="F445" s="5">
        <f>IFERROR(3958.8*ACOS(MIN(1,MAX(-1,SIN(RADIANS('ZIP Coordinates'!$C$2))*SIN(RADIANS(INDEX('ZIP Coordinates'!$C:$C,MATCH($A445,'ZIP Coordinates'!$A:$A,0))))+COS(RADIANS('ZIP Coordinates'!$C$2))*COS(RADIANS(INDEX('ZIP Coordinates'!$C:$C,MATCH($A445,'ZIP Coordinates'!$A:$A,0))))*COS(RADIANS(INDEX('ZIP Coordinates'!$D:$D,MATCH($A445,'ZIP Coordinates'!$A:$A,0))-'ZIP Coordinates'!$D$2))))),"N/A")</f>
        <v>167.59263571775259</v>
      </c>
      <c r="G445" s="3" t="str">
        <f t="shared" si="12"/>
        <v>150-199 mi</v>
      </c>
      <c r="H445" s="27">
        <f>IF(RIGHT($B445,1)="P",1,IF(ISNUMBER(SEARCH("HALF GALLON",$C445)),Assumptions!$B$4,IF(ISNUMBER(SEARCH("GALLON",$C445)),Assumptions!$B$3,IF(ISNUMBER(SEARCH("QUART",$C445)),Assumptions!$B$5,IF(ISNUMBER(SEARCH("PINT",$C445)),Assumptions!$B$6,Assumptions!$B$7)))))</f>
        <v>1</v>
      </c>
      <c r="I445" s="27">
        <f t="shared" si="13"/>
        <v>107</v>
      </c>
    </row>
    <row r="446" spans="1:9" x14ac:dyDescent="0.2">
      <c r="A446" s="3" t="s">
        <v>22</v>
      </c>
      <c r="B446" s="3" t="s">
        <v>269</v>
      </c>
      <c r="C446" s="3" t="s">
        <v>268</v>
      </c>
      <c r="D446" s="3" t="s">
        <v>90</v>
      </c>
      <c r="E446" s="4">
        <v>9</v>
      </c>
      <c r="F446" s="5">
        <f>IFERROR(3958.8*ACOS(MIN(1,MAX(-1,SIN(RADIANS('ZIP Coordinates'!$C$2))*SIN(RADIANS(INDEX('ZIP Coordinates'!$C:$C,MATCH($A446,'ZIP Coordinates'!$A:$A,0))))+COS(RADIANS('ZIP Coordinates'!$C$2))*COS(RADIANS(INDEX('ZIP Coordinates'!$C:$C,MATCH($A446,'ZIP Coordinates'!$A:$A,0))))*COS(RADIANS(INDEX('ZIP Coordinates'!$D:$D,MATCH($A446,'ZIP Coordinates'!$A:$A,0))-'ZIP Coordinates'!$D$2))))),"N/A")</f>
        <v>167.59263571775259</v>
      </c>
      <c r="G446" s="3" t="str">
        <f t="shared" si="12"/>
        <v>150-199 mi</v>
      </c>
      <c r="H446" s="27">
        <f>IF(RIGHT($B446,1)="P",1,IF(ISNUMBER(SEARCH("HALF GALLON",$C446)),Assumptions!$B$4,IF(ISNUMBER(SEARCH("GALLON",$C446)),Assumptions!$B$3,IF(ISNUMBER(SEARCH("QUART",$C446)),Assumptions!$B$5,IF(ISNUMBER(SEARCH("PINT",$C446)),Assumptions!$B$6,Assumptions!$B$7)))))</f>
        <v>1</v>
      </c>
      <c r="I446" s="27">
        <f t="shared" si="13"/>
        <v>9</v>
      </c>
    </row>
    <row r="447" spans="1:9" x14ac:dyDescent="0.2">
      <c r="A447" s="3" t="s">
        <v>22</v>
      </c>
      <c r="B447" s="3" t="s">
        <v>241</v>
      </c>
      <c r="C447" s="3" t="s">
        <v>242</v>
      </c>
      <c r="D447" s="3" t="s">
        <v>90</v>
      </c>
      <c r="E447" s="4">
        <v>80</v>
      </c>
      <c r="F447" s="5">
        <f>IFERROR(3958.8*ACOS(MIN(1,MAX(-1,SIN(RADIANS('ZIP Coordinates'!$C$2))*SIN(RADIANS(INDEX('ZIP Coordinates'!$C:$C,MATCH($A447,'ZIP Coordinates'!$A:$A,0))))+COS(RADIANS('ZIP Coordinates'!$C$2))*COS(RADIANS(INDEX('ZIP Coordinates'!$C:$C,MATCH($A447,'ZIP Coordinates'!$A:$A,0))))*COS(RADIANS(INDEX('ZIP Coordinates'!$D:$D,MATCH($A447,'ZIP Coordinates'!$A:$A,0))-'ZIP Coordinates'!$D$2))))),"N/A")</f>
        <v>167.59263571775259</v>
      </c>
      <c r="G447" s="3" t="str">
        <f t="shared" si="12"/>
        <v>150-199 mi</v>
      </c>
      <c r="H447" s="27">
        <f>IF(RIGHT($B447,1)="P",1,IF(ISNUMBER(SEARCH("HALF GALLON",$C447)),Assumptions!$B$4,IF(ISNUMBER(SEARCH("GALLON",$C447)),Assumptions!$B$3,IF(ISNUMBER(SEARCH("QUART",$C447)),Assumptions!$B$5,IF(ISNUMBER(SEARCH("PINT",$C447)),Assumptions!$B$6,Assumptions!$B$7)))))</f>
        <v>1</v>
      </c>
      <c r="I447" s="27">
        <f t="shared" si="13"/>
        <v>80</v>
      </c>
    </row>
    <row r="448" spans="1:9" x14ac:dyDescent="0.2">
      <c r="A448" s="3" t="s">
        <v>22</v>
      </c>
      <c r="B448" s="3" t="s">
        <v>243</v>
      </c>
      <c r="C448" s="3" t="s">
        <v>244</v>
      </c>
      <c r="D448" s="3" t="s">
        <v>90</v>
      </c>
      <c r="E448" s="4">
        <v>91</v>
      </c>
      <c r="F448" s="5">
        <f>IFERROR(3958.8*ACOS(MIN(1,MAX(-1,SIN(RADIANS('ZIP Coordinates'!$C$2))*SIN(RADIANS(INDEX('ZIP Coordinates'!$C:$C,MATCH($A448,'ZIP Coordinates'!$A:$A,0))))+COS(RADIANS('ZIP Coordinates'!$C$2))*COS(RADIANS(INDEX('ZIP Coordinates'!$C:$C,MATCH($A448,'ZIP Coordinates'!$A:$A,0))))*COS(RADIANS(INDEX('ZIP Coordinates'!$D:$D,MATCH($A448,'ZIP Coordinates'!$A:$A,0))-'ZIP Coordinates'!$D$2))))),"N/A")</f>
        <v>167.59263571775259</v>
      </c>
      <c r="G448" s="3" t="str">
        <f t="shared" si="12"/>
        <v>150-199 mi</v>
      </c>
      <c r="H448" s="27">
        <f>IF(RIGHT($B448,1)="P",1,IF(ISNUMBER(SEARCH("HALF GALLON",$C448)),Assumptions!$B$4,IF(ISNUMBER(SEARCH("GALLON",$C448)),Assumptions!$B$3,IF(ISNUMBER(SEARCH("QUART",$C448)),Assumptions!$B$5,IF(ISNUMBER(SEARCH("PINT",$C448)),Assumptions!$B$6,Assumptions!$B$7)))))</f>
        <v>1</v>
      </c>
      <c r="I448" s="27">
        <f t="shared" si="13"/>
        <v>91</v>
      </c>
    </row>
    <row r="449" spans="1:9" x14ac:dyDescent="0.2">
      <c r="A449" s="3" t="s">
        <v>22</v>
      </c>
      <c r="B449" s="3" t="s">
        <v>272</v>
      </c>
      <c r="C449" s="3" t="s">
        <v>273</v>
      </c>
      <c r="D449" s="3" t="s">
        <v>90</v>
      </c>
      <c r="E449" s="4">
        <v>2</v>
      </c>
      <c r="F449" s="5">
        <f>IFERROR(3958.8*ACOS(MIN(1,MAX(-1,SIN(RADIANS('ZIP Coordinates'!$C$2))*SIN(RADIANS(INDEX('ZIP Coordinates'!$C:$C,MATCH($A449,'ZIP Coordinates'!$A:$A,0))))+COS(RADIANS('ZIP Coordinates'!$C$2))*COS(RADIANS(INDEX('ZIP Coordinates'!$C:$C,MATCH($A449,'ZIP Coordinates'!$A:$A,0))))*COS(RADIANS(INDEX('ZIP Coordinates'!$D:$D,MATCH($A449,'ZIP Coordinates'!$A:$A,0))-'ZIP Coordinates'!$D$2))))),"N/A")</f>
        <v>167.59263571775259</v>
      </c>
      <c r="G449" s="3" t="str">
        <f t="shared" si="12"/>
        <v>150-199 mi</v>
      </c>
      <c r="H449" s="27">
        <f>IF(RIGHT($B449,1)="P",1,IF(ISNUMBER(SEARCH("HALF GALLON",$C449)),Assumptions!$B$4,IF(ISNUMBER(SEARCH("GALLON",$C449)),Assumptions!$B$3,IF(ISNUMBER(SEARCH("QUART",$C449)),Assumptions!$B$5,IF(ISNUMBER(SEARCH("PINT",$C449)),Assumptions!$B$6,Assumptions!$B$7)))))</f>
        <v>1</v>
      </c>
      <c r="I449" s="27">
        <f t="shared" si="13"/>
        <v>2</v>
      </c>
    </row>
    <row r="450" spans="1:9" x14ac:dyDescent="0.2">
      <c r="A450" s="3" t="s">
        <v>22</v>
      </c>
      <c r="B450" s="3" t="s">
        <v>276</v>
      </c>
      <c r="C450" s="3" t="s">
        <v>275</v>
      </c>
      <c r="D450" s="3" t="s">
        <v>90</v>
      </c>
      <c r="E450" s="4">
        <v>98</v>
      </c>
      <c r="F450" s="5">
        <f>IFERROR(3958.8*ACOS(MIN(1,MAX(-1,SIN(RADIANS('ZIP Coordinates'!$C$2))*SIN(RADIANS(INDEX('ZIP Coordinates'!$C:$C,MATCH($A450,'ZIP Coordinates'!$A:$A,0))))+COS(RADIANS('ZIP Coordinates'!$C$2))*COS(RADIANS(INDEX('ZIP Coordinates'!$C:$C,MATCH($A450,'ZIP Coordinates'!$A:$A,0))))*COS(RADIANS(INDEX('ZIP Coordinates'!$D:$D,MATCH($A450,'ZIP Coordinates'!$A:$A,0))-'ZIP Coordinates'!$D$2))))),"N/A")</f>
        <v>167.59263571775259</v>
      </c>
      <c r="G450" s="3" t="str">
        <f t="shared" ref="G450:G513" si="14">IF($F450="N/A","Unknown",IF($F450&lt;50,"0-49 mi",IF($F450&lt;100,"50-99 mi",IF($F450&lt;150,"100-149 mi",IF($F450&lt;200,"150-199 mi","200+ mi")))))</f>
        <v>150-199 mi</v>
      </c>
      <c r="H450" s="27">
        <f>IF(RIGHT($B450,1)="P",1,IF(ISNUMBER(SEARCH("HALF GALLON",$C450)),Assumptions!$B$4,IF(ISNUMBER(SEARCH("GALLON",$C450)),Assumptions!$B$3,IF(ISNUMBER(SEARCH("QUART",$C450)),Assumptions!$B$5,IF(ISNUMBER(SEARCH("PINT",$C450)),Assumptions!$B$6,Assumptions!$B$7)))))</f>
        <v>1</v>
      </c>
      <c r="I450" s="27">
        <f t="shared" si="13"/>
        <v>98</v>
      </c>
    </row>
    <row r="451" spans="1:9" x14ac:dyDescent="0.2">
      <c r="A451" s="3" t="s">
        <v>22</v>
      </c>
      <c r="B451" s="3" t="s">
        <v>277</v>
      </c>
      <c r="C451" s="3" t="s">
        <v>278</v>
      </c>
      <c r="D451" s="3" t="s">
        <v>90</v>
      </c>
      <c r="E451" s="4">
        <v>39</v>
      </c>
      <c r="F451" s="5">
        <f>IFERROR(3958.8*ACOS(MIN(1,MAX(-1,SIN(RADIANS('ZIP Coordinates'!$C$2))*SIN(RADIANS(INDEX('ZIP Coordinates'!$C:$C,MATCH($A451,'ZIP Coordinates'!$A:$A,0))))+COS(RADIANS('ZIP Coordinates'!$C$2))*COS(RADIANS(INDEX('ZIP Coordinates'!$C:$C,MATCH($A451,'ZIP Coordinates'!$A:$A,0))))*COS(RADIANS(INDEX('ZIP Coordinates'!$D:$D,MATCH($A451,'ZIP Coordinates'!$A:$A,0))-'ZIP Coordinates'!$D$2))))),"N/A")</f>
        <v>167.59263571775259</v>
      </c>
      <c r="G451" s="3" t="str">
        <f t="shared" si="14"/>
        <v>150-199 mi</v>
      </c>
      <c r="H451" s="27">
        <f>IF(RIGHT($B451,1)="P",1,IF(ISNUMBER(SEARCH("HALF GALLON",$C451)),Assumptions!$B$4,IF(ISNUMBER(SEARCH("GALLON",$C451)),Assumptions!$B$3,IF(ISNUMBER(SEARCH("QUART",$C451)),Assumptions!$B$5,IF(ISNUMBER(SEARCH("PINT",$C451)),Assumptions!$B$6,Assumptions!$B$7)))))</f>
        <v>1</v>
      </c>
      <c r="I451" s="27">
        <f t="shared" ref="I451:I514" si="15">$E451*$H451</f>
        <v>39</v>
      </c>
    </row>
    <row r="452" spans="1:9" x14ac:dyDescent="0.2">
      <c r="A452" s="3" t="s">
        <v>22</v>
      </c>
      <c r="B452" s="3" t="s">
        <v>279</v>
      </c>
      <c r="C452" s="3" t="s">
        <v>280</v>
      </c>
      <c r="D452" s="3" t="s">
        <v>90</v>
      </c>
      <c r="E452" s="4">
        <v>36</v>
      </c>
      <c r="F452" s="5">
        <f>IFERROR(3958.8*ACOS(MIN(1,MAX(-1,SIN(RADIANS('ZIP Coordinates'!$C$2))*SIN(RADIANS(INDEX('ZIP Coordinates'!$C:$C,MATCH($A452,'ZIP Coordinates'!$A:$A,0))))+COS(RADIANS('ZIP Coordinates'!$C$2))*COS(RADIANS(INDEX('ZIP Coordinates'!$C:$C,MATCH($A452,'ZIP Coordinates'!$A:$A,0))))*COS(RADIANS(INDEX('ZIP Coordinates'!$D:$D,MATCH($A452,'ZIP Coordinates'!$A:$A,0))-'ZIP Coordinates'!$D$2))))),"N/A")</f>
        <v>167.59263571775259</v>
      </c>
      <c r="G452" s="3" t="str">
        <f t="shared" si="14"/>
        <v>150-199 mi</v>
      </c>
      <c r="H452" s="27">
        <f>IF(RIGHT($B452,1)="P",1,IF(ISNUMBER(SEARCH("HALF GALLON",$C452)),Assumptions!$B$4,IF(ISNUMBER(SEARCH("GALLON",$C452)),Assumptions!$B$3,IF(ISNUMBER(SEARCH("QUART",$C452)),Assumptions!$B$5,IF(ISNUMBER(SEARCH("PINT",$C452)),Assumptions!$B$6,Assumptions!$B$7)))))</f>
        <v>1</v>
      </c>
      <c r="I452" s="27">
        <f t="shared" si="15"/>
        <v>36</v>
      </c>
    </row>
    <row r="453" spans="1:9" x14ac:dyDescent="0.2">
      <c r="A453" s="3" t="s">
        <v>22</v>
      </c>
      <c r="B453" s="3" t="s">
        <v>247</v>
      </c>
      <c r="C453" s="3" t="s">
        <v>246</v>
      </c>
      <c r="D453" s="3" t="s">
        <v>90</v>
      </c>
      <c r="E453" s="4">
        <v>122</v>
      </c>
      <c r="F453" s="5">
        <f>IFERROR(3958.8*ACOS(MIN(1,MAX(-1,SIN(RADIANS('ZIP Coordinates'!$C$2))*SIN(RADIANS(INDEX('ZIP Coordinates'!$C:$C,MATCH($A453,'ZIP Coordinates'!$A:$A,0))))+COS(RADIANS('ZIP Coordinates'!$C$2))*COS(RADIANS(INDEX('ZIP Coordinates'!$C:$C,MATCH($A453,'ZIP Coordinates'!$A:$A,0))))*COS(RADIANS(INDEX('ZIP Coordinates'!$D:$D,MATCH($A453,'ZIP Coordinates'!$A:$A,0))-'ZIP Coordinates'!$D$2))))),"N/A")</f>
        <v>167.59263571775259</v>
      </c>
      <c r="G453" s="3" t="str">
        <f t="shared" si="14"/>
        <v>150-199 mi</v>
      </c>
      <c r="H453" s="27">
        <f>IF(RIGHT($B453,1)="P",1,IF(ISNUMBER(SEARCH("HALF GALLON",$C453)),Assumptions!$B$4,IF(ISNUMBER(SEARCH("GALLON",$C453)),Assumptions!$B$3,IF(ISNUMBER(SEARCH("QUART",$C453)),Assumptions!$B$5,IF(ISNUMBER(SEARCH("PINT",$C453)),Assumptions!$B$6,Assumptions!$B$7)))))</f>
        <v>1</v>
      </c>
      <c r="I453" s="27">
        <f t="shared" si="15"/>
        <v>122</v>
      </c>
    </row>
    <row r="454" spans="1:9" x14ac:dyDescent="0.2">
      <c r="A454" s="3" t="s">
        <v>22</v>
      </c>
      <c r="B454" s="3" t="s">
        <v>250</v>
      </c>
      <c r="C454" s="3" t="s">
        <v>249</v>
      </c>
      <c r="D454" s="3" t="s">
        <v>90</v>
      </c>
      <c r="E454" s="4">
        <v>130</v>
      </c>
      <c r="F454" s="5">
        <f>IFERROR(3958.8*ACOS(MIN(1,MAX(-1,SIN(RADIANS('ZIP Coordinates'!$C$2))*SIN(RADIANS(INDEX('ZIP Coordinates'!$C:$C,MATCH($A454,'ZIP Coordinates'!$A:$A,0))))+COS(RADIANS('ZIP Coordinates'!$C$2))*COS(RADIANS(INDEX('ZIP Coordinates'!$C:$C,MATCH($A454,'ZIP Coordinates'!$A:$A,0))))*COS(RADIANS(INDEX('ZIP Coordinates'!$D:$D,MATCH($A454,'ZIP Coordinates'!$A:$A,0))-'ZIP Coordinates'!$D$2))))),"N/A")</f>
        <v>167.59263571775259</v>
      </c>
      <c r="G454" s="3" t="str">
        <f t="shared" si="14"/>
        <v>150-199 mi</v>
      </c>
      <c r="H454" s="27">
        <f>IF(RIGHT($B454,1)="P",1,IF(ISNUMBER(SEARCH("HALF GALLON",$C454)),Assumptions!$B$4,IF(ISNUMBER(SEARCH("GALLON",$C454)),Assumptions!$B$3,IF(ISNUMBER(SEARCH("QUART",$C454)),Assumptions!$B$5,IF(ISNUMBER(SEARCH("PINT",$C454)),Assumptions!$B$6,Assumptions!$B$7)))))</f>
        <v>1</v>
      </c>
      <c r="I454" s="27">
        <f t="shared" si="15"/>
        <v>130</v>
      </c>
    </row>
    <row r="455" spans="1:9" x14ac:dyDescent="0.2">
      <c r="A455" s="3" t="s">
        <v>22</v>
      </c>
      <c r="B455" s="3" t="s">
        <v>251</v>
      </c>
      <c r="C455" s="3" t="s">
        <v>252</v>
      </c>
      <c r="D455" s="3" t="s">
        <v>90</v>
      </c>
      <c r="E455" s="4">
        <v>195</v>
      </c>
      <c r="F455" s="5">
        <f>IFERROR(3958.8*ACOS(MIN(1,MAX(-1,SIN(RADIANS('ZIP Coordinates'!$C$2))*SIN(RADIANS(INDEX('ZIP Coordinates'!$C:$C,MATCH($A455,'ZIP Coordinates'!$A:$A,0))))+COS(RADIANS('ZIP Coordinates'!$C$2))*COS(RADIANS(INDEX('ZIP Coordinates'!$C:$C,MATCH($A455,'ZIP Coordinates'!$A:$A,0))))*COS(RADIANS(INDEX('ZIP Coordinates'!$D:$D,MATCH($A455,'ZIP Coordinates'!$A:$A,0))-'ZIP Coordinates'!$D$2))))),"N/A")</f>
        <v>167.59263571775259</v>
      </c>
      <c r="G455" s="3" t="str">
        <f t="shared" si="14"/>
        <v>150-199 mi</v>
      </c>
      <c r="H455" s="27">
        <f>IF(RIGHT($B455,1)="P",1,IF(ISNUMBER(SEARCH("HALF GALLON",$C455)),Assumptions!$B$4,IF(ISNUMBER(SEARCH("GALLON",$C455)),Assumptions!$B$3,IF(ISNUMBER(SEARCH("QUART",$C455)),Assumptions!$B$5,IF(ISNUMBER(SEARCH("PINT",$C455)),Assumptions!$B$6,Assumptions!$B$7)))))</f>
        <v>1</v>
      </c>
      <c r="I455" s="27">
        <f t="shared" si="15"/>
        <v>195</v>
      </c>
    </row>
    <row r="456" spans="1:9" x14ac:dyDescent="0.2">
      <c r="A456" s="3" t="s">
        <v>22</v>
      </c>
      <c r="B456" s="3" t="s">
        <v>284</v>
      </c>
      <c r="C456" s="3" t="s">
        <v>285</v>
      </c>
      <c r="D456" s="3" t="s">
        <v>90</v>
      </c>
      <c r="E456" s="4">
        <v>26</v>
      </c>
      <c r="F456" s="5">
        <f>IFERROR(3958.8*ACOS(MIN(1,MAX(-1,SIN(RADIANS('ZIP Coordinates'!$C$2))*SIN(RADIANS(INDEX('ZIP Coordinates'!$C:$C,MATCH($A456,'ZIP Coordinates'!$A:$A,0))))+COS(RADIANS('ZIP Coordinates'!$C$2))*COS(RADIANS(INDEX('ZIP Coordinates'!$C:$C,MATCH($A456,'ZIP Coordinates'!$A:$A,0))))*COS(RADIANS(INDEX('ZIP Coordinates'!$D:$D,MATCH($A456,'ZIP Coordinates'!$A:$A,0))-'ZIP Coordinates'!$D$2))))),"N/A")</f>
        <v>167.59263571775259</v>
      </c>
      <c r="G456" s="3" t="str">
        <f t="shared" si="14"/>
        <v>150-199 mi</v>
      </c>
      <c r="H456" s="27">
        <f>IF(RIGHT($B456,1)="P",1,IF(ISNUMBER(SEARCH("HALF GALLON",$C456)),Assumptions!$B$4,IF(ISNUMBER(SEARCH("GALLON",$C456)),Assumptions!$B$3,IF(ISNUMBER(SEARCH("QUART",$C456)),Assumptions!$B$5,IF(ISNUMBER(SEARCH("PINT",$C456)),Assumptions!$B$6,Assumptions!$B$7)))))</f>
        <v>1</v>
      </c>
      <c r="I456" s="27">
        <f t="shared" si="15"/>
        <v>26</v>
      </c>
    </row>
    <row r="457" spans="1:9" x14ac:dyDescent="0.2">
      <c r="A457" s="3" t="s">
        <v>22</v>
      </c>
      <c r="B457" s="3" t="s">
        <v>288</v>
      </c>
      <c r="C457" s="3" t="s">
        <v>287</v>
      </c>
      <c r="D457" s="3" t="s">
        <v>90</v>
      </c>
      <c r="E457" s="4">
        <v>360</v>
      </c>
      <c r="F457" s="5">
        <f>IFERROR(3958.8*ACOS(MIN(1,MAX(-1,SIN(RADIANS('ZIP Coordinates'!$C$2))*SIN(RADIANS(INDEX('ZIP Coordinates'!$C:$C,MATCH($A457,'ZIP Coordinates'!$A:$A,0))))+COS(RADIANS('ZIP Coordinates'!$C$2))*COS(RADIANS(INDEX('ZIP Coordinates'!$C:$C,MATCH($A457,'ZIP Coordinates'!$A:$A,0))))*COS(RADIANS(INDEX('ZIP Coordinates'!$D:$D,MATCH($A457,'ZIP Coordinates'!$A:$A,0))-'ZIP Coordinates'!$D$2))))),"N/A")</f>
        <v>167.59263571775259</v>
      </c>
      <c r="G457" s="3" t="str">
        <f t="shared" si="14"/>
        <v>150-199 mi</v>
      </c>
      <c r="H457" s="27">
        <f>IF(RIGHT($B457,1)="P",1,IF(ISNUMBER(SEARCH("HALF GALLON",$C457)),Assumptions!$B$4,IF(ISNUMBER(SEARCH("GALLON",$C457)),Assumptions!$B$3,IF(ISNUMBER(SEARCH("QUART",$C457)),Assumptions!$B$5,IF(ISNUMBER(SEARCH("PINT",$C457)),Assumptions!$B$6,Assumptions!$B$7)))))</f>
        <v>1</v>
      </c>
      <c r="I457" s="27">
        <f t="shared" si="15"/>
        <v>360</v>
      </c>
    </row>
    <row r="458" spans="1:9" x14ac:dyDescent="0.2">
      <c r="A458" s="3" t="s">
        <v>22</v>
      </c>
      <c r="B458" s="3" t="s">
        <v>257</v>
      </c>
      <c r="C458" s="3" t="s">
        <v>256</v>
      </c>
      <c r="D458" s="3" t="s">
        <v>90</v>
      </c>
      <c r="E458" s="4">
        <v>818</v>
      </c>
      <c r="F458" s="5">
        <f>IFERROR(3958.8*ACOS(MIN(1,MAX(-1,SIN(RADIANS('ZIP Coordinates'!$C$2))*SIN(RADIANS(INDEX('ZIP Coordinates'!$C:$C,MATCH($A458,'ZIP Coordinates'!$A:$A,0))))+COS(RADIANS('ZIP Coordinates'!$C$2))*COS(RADIANS(INDEX('ZIP Coordinates'!$C:$C,MATCH($A458,'ZIP Coordinates'!$A:$A,0))))*COS(RADIANS(INDEX('ZIP Coordinates'!$D:$D,MATCH($A458,'ZIP Coordinates'!$A:$A,0))-'ZIP Coordinates'!$D$2))))),"N/A")</f>
        <v>167.59263571775259</v>
      </c>
      <c r="G458" s="3" t="str">
        <f t="shared" si="14"/>
        <v>150-199 mi</v>
      </c>
      <c r="H458" s="27">
        <f>IF(RIGHT($B458,1)="P",1,IF(ISNUMBER(SEARCH("HALF GALLON",$C458)),Assumptions!$B$4,IF(ISNUMBER(SEARCH("GALLON",$C458)),Assumptions!$B$3,IF(ISNUMBER(SEARCH("QUART",$C458)),Assumptions!$B$5,IF(ISNUMBER(SEARCH("PINT",$C458)),Assumptions!$B$6,Assumptions!$B$7)))))</f>
        <v>1</v>
      </c>
      <c r="I458" s="27">
        <f t="shared" si="15"/>
        <v>818</v>
      </c>
    </row>
    <row r="459" spans="1:9" x14ac:dyDescent="0.2">
      <c r="A459" s="3" t="s">
        <v>23</v>
      </c>
      <c r="B459" s="3" t="s">
        <v>239</v>
      </c>
      <c r="C459" s="3" t="s">
        <v>240</v>
      </c>
      <c r="D459" s="3" t="s">
        <v>111</v>
      </c>
      <c r="E459" s="4">
        <v>28</v>
      </c>
      <c r="F459" s="5">
        <f>IFERROR(3958.8*ACOS(MIN(1,MAX(-1,SIN(RADIANS('ZIP Coordinates'!$C$2))*SIN(RADIANS(INDEX('ZIP Coordinates'!$C:$C,MATCH($A459,'ZIP Coordinates'!$A:$A,0))))+COS(RADIANS('ZIP Coordinates'!$C$2))*COS(RADIANS(INDEX('ZIP Coordinates'!$C:$C,MATCH($A459,'ZIP Coordinates'!$A:$A,0))))*COS(RADIANS(INDEX('ZIP Coordinates'!$D:$D,MATCH($A459,'ZIP Coordinates'!$A:$A,0))-'ZIP Coordinates'!$D$2))))),"N/A")</f>
        <v>200.09402060306726</v>
      </c>
      <c r="G459" s="3" t="str">
        <f t="shared" si="14"/>
        <v>200+ mi</v>
      </c>
      <c r="H459" s="27">
        <f>IF(RIGHT($B459,1)="P",1,IF(ISNUMBER(SEARCH("HALF GALLON",$C459)),Assumptions!$B$4,IF(ISNUMBER(SEARCH("GALLON",$C459)),Assumptions!$B$3,IF(ISNUMBER(SEARCH("QUART",$C459)),Assumptions!$B$5,IF(ISNUMBER(SEARCH("PINT",$C459)),Assumptions!$B$6,Assumptions!$B$7)))))</f>
        <v>1</v>
      </c>
      <c r="I459" s="27">
        <f t="shared" si="15"/>
        <v>28</v>
      </c>
    </row>
    <row r="460" spans="1:9" x14ac:dyDescent="0.2">
      <c r="A460" s="3" t="s">
        <v>23</v>
      </c>
      <c r="B460" s="3" t="s">
        <v>259</v>
      </c>
      <c r="C460" s="3" t="s">
        <v>260</v>
      </c>
      <c r="D460" s="3" t="s">
        <v>111</v>
      </c>
      <c r="E460" s="4">
        <v>28</v>
      </c>
      <c r="F460" s="5">
        <f>IFERROR(3958.8*ACOS(MIN(1,MAX(-1,SIN(RADIANS('ZIP Coordinates'!$C$2))*SIN(RADIANS(INDEX('ZIP Coordinates'!$C:$C,MATCH($A460,'ZIP Coordinates'!$A:$A,0))))+COS(RADIANS('ZIP Coordinates'!$C$2))*COS(RADIANS(INDEX('ZIP Coordinates'!$C:$C,MATCH($A460,'ZIP Coordinates'!$A:$A,0))))*COS(RADIANS(INDEX('ZIP Coordinates'!$D:$D,MATCH($A460,'ZIP Coordinates'!$A:$A,0))-'ZIP Coordinates'!$D$2))))),"N/A")</f>
        <v>200.09402060306726</v>
      </c>
      <c r="G460" s="3" t="str">
        <f t="shared" si="14"/>
        <v>200+ mi</v>
      </c>
      <c r="H460" s="27">
        <f>IF(RIGHT($B460,1)="P",1,IF(ISNUMBER(SEARCH("HALF GALLON",$C460)),Assumptions!$B$4,IF(ISNUMBER(SEARCH("GALLON",$C460)),Assumptions!$B$3,IF(ISNUMBER(SEARCH("QUART",$C460)),Assumptions!$B$5,IF(ISNUMBER(SEARCH("PINT",$C460)),Assumptions!$B$6,Assumptions!$B$7)))))</f>
        <v>4</v>
      </c>
      <c r="I460" s="27">
        <f t="shared" si="15"/>
        <v>112</v>
      </c>
    </row>
    <row r="461" spans="1:9" x14ac:dyDescent="0.2">
      <c r="A461" s="3" t="s">
        <v>23</v>
      </c>
      <c r="B461" s="3" t="s">
        <v>241</v>
      </c>
      <c r="C461" s="3" t="s">
        <v>242</v>
      </c>
      <c r="D461" s="3" t="s">
        <v>111</v>
      </c>
      <c r="E461" s="4">
        <v>32</v>
      </c>
      <c r="F461" s="5">
        <f>IFERROR(3958.8*ACOS(MIN(1,MAX(-1,SIN(RADIANS('ZIP Coordinates'!$C$2))*SIN(RADIANS(INDEX('ZIP Coordinates'!$C:$C,MATCH($A461,'ZIP Coordinates'!$A:$A,0))))+COS(RADIANS('ZIP Coordinates'!$C$2))*COS(RADIANS(INDEX('ZIP Coordinates'!$C:$C,MATCH($A461,'ZIP Coordinates'!$A:$A,0))))*COS(RADIANS(INDEX('ZIP Coordinates'!$D:$D,MATCH($A461,'ZIP Coordinates'!$A:$A,0))-'ZIP Coordinates'!$D$2))))),"N/A")</f>
        <v>200.09402060306726</v>
      </c>
      <c r="G461" s="3" t="str">
        <f t="shared" si="14"/>
        <v>200+ mi</v>
      </c>
      <c r="H461" s="27">
        <f>IF(RIGHT($B461,1)="P",1,IF(ISNUMBER(SEARCH("HALF GALLON",$C461)),Assumptions!$B$4,IF(ISNUMBER(SEARCH("GALLON",$C461)),Assumptions!$B$3,IF(ISNUMBER(SEARCH("QUART",$C461)),Assumptions!$B$5,IF(ISNUMBER(SEARCH("PINT",$C461)),Assumptions!$B$6,Assumptions!$B$7)))))</f>
        <v>1</v>
      </c>
      <c r="I461" s="27">
        <f t="shared" si="15"/>
        <v>32</v>
      </c>
    </row>
    <row r="462" spans="1:9" x14ac:dyDescent="0.2">
      <c r="A462" s="3" t="s">
        <v>23</v>
      </c>
      <c r="B462" s="3" t="s">
        <v>243</v>
      </c>
      <c r="C462" s="3" t="s">
        <v>244</v>
      </c>
      <c r="D462" s="3" t="s">
        <v>111</v>
      </c>
      <c r="E462" s="4">
        <v>42</v>
      </c>
      <c r="F462" s="5">
        <f>IFERROR(3958.8*ACOS(MIN(1,MAX(-1,SIN(RADIANS('ZIP Coordinates'!$C$2))*SIN(RADIANS(INDEX('ZIP Coordinates'!$C:$C,MATCH($A462,'ZIP Coordinates'!$A:$A,0))))+COS(RADIANS('ZIP Coordinates'!$C$2))*COS(RADIANS(INDEX('ZIP Coordinates'!$C:$C,MATCH($A462,'ZIP Coordinates'!$A:$A,0))))*COS(RADIANS(INDEX('ZIP Coordinates'!$D:$D,MATCH($A462,'ZIP Coordinates'!$A:$A,0))-'ZIP Coordinates'!$D$2))))),"N/A")</f>
        <v>200.09402060306726</v>
      </c>
      <c r="G462" s="3" t="str">
        <f t="shared" si="14"/>
        <v>200+ mi</v>
      </c>
      <c r="H462" s="27">
        <f>IF(RIGHT($B462,1)="P",1,IF(ISNUMBER(SEARCH("HALF GALLON",$C462)),Assumptions!$B$4,IF(ISNUMBER(SEARCH("GALLON",$C462)),Assumptions!$B$3,IF(ISNUMBER(SEARCH("QUART",$C462)),Assumptions!$B$5,IF(ISNUMBER(SEARCH("PINT",$C462)),Assumptions!$B$6,Assumptions!$B$7)))))</f>
        <v>1</v>
      </c>
      <c r="I462" s="27">
        <f t="shared" si="15"/>
        <v>42</v>
      </c>
    </row>
    <row r="463" spans="1:9" x14ac:dyDescent="0.2">
      <c r="A463" s="3" t="s">
        <v>23</v>
      </c>
      <c r="B463" s="3" t="s">
        <v>276</v>
      </c>
      <c r="C463" s="3" t="s">
        <v>275</v>
      </c>
      <c r="D463" s="3" t="s">
        <v>111</v>
      </c>
      <c r="E463" s="4">
        <v>46</v>
      </c>
      <c r="F463" s="5">
        <f>IFERROR(3958.8*ACOS(MIN(1,MAX(-1,SIN(RADIANS('ZIP Coordinates'!$C$2))*SIN(RADIANS(INDEX('ZIP Coordinates'!$C:$C,MATCH($A463,'ZIP Coordinates'!$A:$A,0))))+COS(RADIANS('ZIP Coordinates'!$C$2))*COS(RADIANS(INDEX('ZIP Coordinates'!$C:$C,MATCH($A463,'ZIP Coordinates'!$A:$A,0))))*COS(RADIANS(INDEX('ZIP Coordinates'!$D:$D,MATCH($A463,'ZIP Coordinates'!$A:$A,0))-'ZIP Coordinates'!$D$2))))),"N/A")</f>
        <v>200.09402060306726</v>
      </c>
      <c r="G463" s="3" t="str">
        <f t="shared" si="14"/>
        <v>200+ mi</v>
      </c>
      <c r="H463" s="27">
        <f>IF(RIGHT($B463,1)="P",1,IF(ISNUMBER(SEARCH("HALF GALLON",$C463)),Assumptions!$B$4,IF(ISNUMBER(SEARCH("GALLON",$C463)),Assumptions!$B$3,IF(ISNUMBER(SEARCH("QUART",$C463)),Assumptions!$B$5,IF(ISNUMBER(SEARCH("PINT",$C463)),Assumptions!$B$6,Assumptions!$B$7)))))</f>
        <v>1</v>
      </c>
      <c r="I463" s="27">
        <f t="shared" si="15"/>
        <v>46</v>
      </c>
    </row>
    <row r="464" spans="1:9" x14ac:dyDescent="0.2">
      <c r="A464" s="3" t="s">
        <v>23</v>
      </c>
      <c r="B464" s="3" t="s">
        <v>277</v>
      </c>
      <c r="C464" s="3" t="s">
        <v>278</v>
      </c>
      <c r="D464" s="3" t="s">
        <v>111</v>
      </c>
      <c r="E464" s="4">
        <v>41</v>
      </c>
      <c r="F464" s="5">
        <f>IFERROR(3958.8*ACOS(MIN(1,MAX(-1,SIN(RADIANS('ZIP Coordinates'!$C$2))*SIN(RADIANS(INDEX('ZIP Coordinates'!$C:$C,MATCH($A464,'ZIP Coordinates'!$A:$A,0))))+COS(RADIANS('ZIP Coordinates'!$C$2))*COS(RADIANS(INDEX('ZIP Coordinates'!$C:$C,MATCH($A464,'ZIP Coordinates'!$A:$A,0))))*COS(RADIANS(INDEX('ZIP Coordinates'!$D:$D,MATCH($A464,'ZIP Coordinates'!$A:$A,0))-'ZIP Coordinates'!$D$2))))),"N/A")</f>
        <v>200.09402060306726</v>
      </c>
      <c r="G464" s="3" t="str">
        <f t="shared" si="14"/>
        <v>200+ mi</v>
      </c>
      <c r="H464" s="27">
        <f>IF(RIGHT($B464,1)="P",1,IF(ISNUMBER(SEARCH("HALF GALLON",$C464)),Assumptions!$B$4,IF(ISNUMBER(SEARCH("GALLON",$C464)),Assumptions!$B$3,IF(ISNUMBER(SEARCH("QUART",$C464)),Assumptions!$B$5,IF(ISNUMBER(SEARCH("PINT",$C464)),Assumptions!$B$6,Assumptions!$B$7)))))</f>
        <v>1</v>
      </c>
      <c r="I464" s="27">
        <f t="shared" si="15"/>
        <v>41</v>
      </c>
    </row>
    <row r="465" spans="1:9" x14ac:dyDescent="0.2">
      <c r="A465" s="3" t="s">
        <v>23</v>
      </c>
      <c r="B465" s="3" t="s">
        <v>279</v>
      </c>
      <c r="C465" s="3" t="s">
        <v>280</v>
      </c>
      <c r="D465" s="3" t="s">
        <v>111</v>
      </c>
      <c r="E465" s="4">
        <v>50</v>
      </c>
      <c r="F465" s="5">
        <f>IFERROR(3958.8*ACOS(MIN(1,MAX(-1,SIN(RADIANS('ZIP Coordinates'!$C$2))*SIN(RADIANS(INDEX('ZIP Coordinates'!$C:$C,MATCH($A465,'ZIP Coordinates'!$A:$A,0))))+COS(RADIANS('ZIP Coordinates'!$C$2))*COS(RADIANS(INDEX('ZIP Coordinates'!$C:$C,MATCH($A465,'ZIP Coordinates'!$A:$A,0))))*COS(RADIANS(INDEX('ZIP Coordinates'!$D:$D,MATCH($A465,'ZIP Coordinates'!$A:$A,0))-'ZIP Coordinates'!$D$2))))),"N/A")</f>
        <v>200.09402060306726</v>
      </c>
      <c r="G465" s="3" t="str">
        <f t="shared" si="14"/>
        <v>200+ mi</v>
      </c>
      <c r="H465" s="27">
        <f>IF(RIGHT($B465,1)="P",1,IF(ISNUMBER(SEARCH("HALF GALLON",$C465)),Assumptions!$B$4,IF(ISNUMBER(SEARCH("GALLON",$C465)),Assumptions!$B$3,IF(ISNUMBER(SEARCH("QUART",$C465)),Assumptions!$B$5,IF(ISNUMBER(SEARCH("PINT",$C465)),Assumptions!$B$6,Assumptions!$B$7)))))</f>
        <v>1</v>
      </c>
      <c r="I465" s="27">
        <f t="shared" si="15"/>
        <v>50</v>
      </c>
    </row>
    <row r="466" spans="1:9" x14ac:dyDescent="0.2">
      <c r="A466" s="3" t="s">
        <v>23</v>
      </c>
      <c r="B466" s="3" t="s">
        <v>247</v>
      </c>
      <c r="C466" s="3" t="s">
        <v>246</v>
      </c>
      <c r="D466" s="3" t="s">
        <v>111</v>
      </c>
      <c r="E466" s="4">
        <v>56</v>
      </c>
      <c r="F466" s="5">
        <f>IFERROR(3958.8*ACOS(MIN(1,MAX(-1,SIN(RADIANS('ZIP Coordinates'!$C$2))*SIN(RADIANS(INDEX('ZIP Coordinates'!$C:$C,MATCH($A466,'ZIP Coordinates'!$A:$A,0))))+COS(RADIANS('ZIP Coordinates'!$C$2))*COS(RADIANS(INDEX('ZIP Coordinates'!$C:$C,MATCH($A466,'ZIP Coordinates'!$A:$A,0))))*COS(RADIANS(INDEX('ZIP Coordinates'!$D:$D,MATCH($A466,'ZIP Coordinates'!$A:$A,0))-'ZIP Coordinates'!$D$2))))),"N/A")</f>
        <v>200.09402060306726</v>
      </c>
      <c r="G466" s="3" t="str">
        <f t="shared" si="14"/>
        <v>200+ mi</v>
      </c>
      <c r="H466" s="27">
        <f>IF(RIGHT($B466,1)="P",1,IF(ISNUMBER(SEARCH("HALF GALLON",$C466)),Assumptions!$B$4,IF(ISNUMBER(SEARCH("GALLON",$C466)),Assumptions!$B$3,IF(ISNUMBER(SEARCH("QUART",$C466)),Assumptions!$B$5,IF(ISNUMBER(SEARCH("PINT",$C466)),Assumptions!$B$6,Assumptions!$B$7)))))</f>
        <v>1</v>
      </c>
      <c r="I466" s="27">
        <f t="shared" si="15"/>
        <v>56</v>
      </c>
    </row>
    <row r="467" spans="1:9" x14ac:dyDescent="0.2">
      <c r="A467" s="3" t="s">
        <v>23</v>
      </c>
      <c r="B467" s="3" t="s">
        <v>250</v>
      </c>
      <c r="C467" s="3" t="s">
        <v>249</v>
      </c>
      <c r="D467" s="3" t="s">
        <v>111</v>
      </c>
      <c r="E467" s="4">
        <v>60</v>
      </c>
      <c r="F467" s="5">
        <f>IFERROR(3958.8*ACOS(MIN(1,MAX(-1,SIN(RADIANS('ZIP Coordinates'!$C$2))*SIN(RADIANS(INDEX('ZIP Coordinates'!$C:$C,MATCH($A467,'ZIP Coordinates'!$A:$A,0))))+COS(RADIANS('ZIP Coordinates'!$C$2))*COS(RADIANS(INDEX('ZIP Coordinates'!$C:$C,MATCH($A467,'ZIP Coordinates'!$A:$A,0))))*COS(RADIANS(INDEX('ZIP Coordinates'!$D:$D,MATCH($A467,'ZIP Coordinates'!$A:$A,0))-'ZIP Coordinates'!$D$2))))),"N/A")</f>
        <v>200.09402060306726</v>
      </c>
      <c r="G467" s="3" t="str">
        <f t="shared" si="14"/>
        <v>200+ mi</v>
      </c>
      <c r="H467" s="27">
        <f>IF(RIGHT($B467,1)="P",1,IF(ISNUMBER(SEARCH("HALF GALLON",$C467)),Assumptions!$B$4,IF(ISNUMBER(SEARCH("GALLON",$C467)),Assumptions!$B$3,IF(ISNUMBER(SEARCH("QUART",$C467)),Assumptions!$B$5,IF(ISNUMBER(SEARCH("PINT",$C467)),Assumptions!$B$6,Assumptions!$B$7)))))</f>
        <v>1</v>
      </c>
      <c r="I467" s="27">
        <f t="shared" si="15"/>
        <v>60</v>
      </c>
    </row>
    <row r="468" spans="1:9" x14ac:dyDescent="0.2">
      <c r="A468" s="3" t="s">
        <v>23</v>
      </c>
      <c r="B468" s="3" t="s">
        <v>251</v>
      </c>
      <c r="C468" s="3" t="s">
        <v>252</v>
      </c>
      <c r="D468" s="3" t="s">
        <v>111</v>
      </c>
      <c r="E468" s="4">
        <v>57</v>
      </c>
      <c r="F468" s="5">
        <f>IFERROR(3958.8*ACOS(MIN(1,MAX(-1,SIN(RADIANS('ZIP Coordinates'!$C$2))*SIN(RADIANS(INDEX('ZIP Coordinates'!$C:$C,MATCH($A468,'ZIP Coordinates'!$A:$A,0))))+COS(RADIANS('ZIP Coordinates'!$C$2))*COS(RADIANS(INDEX('ZIP Coordinates'!$C:$C,MATCH($A468,'ZIP Coordinates'!$A:$A,0))))*COS(RADIANS(INDEX('ZIP Coordinates'!$D:$D,MATCH($A468,'ZIP Coordinates'!$A:$A,0))-'ZIP Coordinates'!$D$2))))),"N/A")</f>
        <v>200.09402060306726</v>
      </c>
      <c r="G468" s="3" t="str">
        <f t="shared" si="14"/>
        <v>200+ mi</v>
      </c>
      <c r="H468" s="27">
        <f>IF(RIGHT($B468,1)="P",1,IF(ISNUMBER(SEARCH("HALF GALLON",$C468)),Assumptions!$B$4,IF(ISNUMBER(SEARCH("GALLON",$C468)),Assumptions!$B$3,IF(ISNUMBER(SEARCH("QUART",$C468)),Assumptions!$B$5,IF(ISNUMBER(SEARCH("PINT",$C468)),Assumptions!$B$6,Assumptions!$B$7)))))</f>
        <v>1</v>
      </c>
      <c r="I468" s="27">
        <f t="shared" si="15"/>
        <v>57</v>
      </c>
    </row>
    <row r="469" spans="1:9" x14ac:dyDescent="0.2">
      <c r="A469" s="3" t="s">
        <v>23</v>
      </c>
      <c r="B469" s="3" t="s">
        <v>282</v>
      </c>
      <c r="C469" s="3" t="s">
        <v>283</v>
      </c>
      <c r="D469" s="3" t="s">
        <v>111</v>
      </c>
      <c r="E469" s="4">
        <v>8</v>
      </c>
      <c r="F469" s="5">
        <f>IFERROR(3958.8*ACOS(MIN(1,MAX(-1,SIN(RADIANS('ZIP Coordinates'!$C$2))*SIN(RADIANS(INDEX('ZIP Coordinates'!$C:$C,MATCH($A469,'ZIP Coordinates'!$A:$A,0))))+COS(RADIANS('ZIP Coordinates'!$C$2))*COS(RADIANS(INDEX('ZIP Coordinates'!$C:$C,MATCH($A469,'ZIP Coordinates'!$A:$A,0))))*COS(RADIANS(INDEX('ZIP Coordinates'!$D:$D,MATCH($A469,'ZIP Coordinates'!$A:$A,0))-'ZIP Coordinates'!$D$2))))),"N/A")</f>
        <v>200.09402060306726</v>
      </c>
      <c r="G469" s="3" t="str">
        <f t="shared" si="14"/>
        <v>200+ mi</v>
      </c>
      <c r="H469" s="27">
        <f>IF(RIGHT($B469,1)="P",1,IF(ISNUMBER(SEARCH("HALF GALLON",$C469)),Assumptions!$B$4,IF(ISNUMBER(SEARCH("GALLON",$C469)),Assumptions!$B$3,IF(ISNUMBER(SEARCH("QUART",$C469)),Assumptions!$B$5,IF(ISNUMBER(SEARCH("PINT",$C469)),Assumptions!$B$6,Assumptions!$B$7)))))</f>
        <v>1</v>
      </c>
      <c r="I469" s="27">
        <f t="shared" si="15"/>
        <v>8</v>
      </c>
    </row>
    <row r="470" spans="1:9" x14ac:dyDescent="0.2">
      <c r="A470" s="3" t="s">
        <v>23</v>
      </c>
      <c r="B470" s="3" t="s">
        <v>284</v>
      </c>
      <c r="C470" s="3" t="s">
        <v>285</v>
      </c>
      <c r="D470" s="3" t="s">
        <v>111</v>
      </c>
      <c r="E470" s="4">
        <v>6</v>
      </c>
      <c r="F470" s="5">
        <f>IFERROR(3958.8*ACOS(MIN(1,MAX(-1,SIN(RADIANS('ZIP Coordinates'!$C$2))*SIN(RADIANS(INDEX('ZIP Coordinates'!$C:$C,MATCH($A470,'ZIP Coordinates'!$A:$A,0))))+COS(RADIANS('ZIP Coordinates'!$C$2))*COS(RADIANS(INDEX('ZIP Coordinates'!$C:$C,MATCH($A470,'ZIP Coordinates'!$A:$A,0))))*COS(RADIANS(INDEX('ZIP Coordinates'!$D:$D,MATCH($A470,'ZIP Coordinates'!$A:$A,0))-'ZIP Coordinates'!$D$2))))),"N/A")</f>
        <v>200.09402060306726</v>
      </c>
      <c r="G470" s="3" t="str">
        <f t="shared" si="14"/>
        <v>200+ mi</v>
      </c>
      <c r="H470" s="27">
        <f>IF(RIGHT($B470,1)="P",1,IF(ISNUMBER(SEARCH("HALF GALLON",$C470)),Assumptions!$B$4,IF(ISNUMBER(SEARCH("GALLON",$C470)),Assumptions!$B$3,IF(ISNUMBER(SEARCH("QUART",$C470)),Assumptions!$B$5,IF(ISNUMBER(SEARCH("PINT",$C470)),Assumptions!$B$6,Assumptions!$B$7)))))</f>
        <v>1</v>
      </c>
      <c r="I470" s="27">
        <f t="shared" si="15"/>
        <v>6</v>
      </c>
    </row>
    <row r="471" spans="1:9" x14ac:dyDescent="0.2">
      <c r="A471" s="3" t="s">
        <v>23</v>
      </c>
      <c r="B471" s="3" t="s">
        <v>288</v>
      </c>
      <c r="C471" s="3" t="s">
        <v>287</v>
      </c>
      <c r="D471" s="3" t="s">
        <v>111</v>
      </c>
      <c r="E471" s="4">
        <v>63</v>
      </c>
      <c r="F471" s="5">
        <f>IFERROR(3958.8*ACOS(MIN(1,MAX(-1,SIN(RADIANS('ZIP Coordinates'!$C$2))*SIN(RADIANS(INDEX('ZIP Coordinates'!$C:$C,MATCH($A471,'ZIP Coordinates'!$A:$A,0))))+COS(RADIANS('ZIP Coordinates'!$C$2))*COS(RADIANS(INDEX('ZIP Coordinates'!$C:$C,MATCH($A471,'ZIP Coordinates'!$A:$A,0))))*COS(RADIANS(INDEX('ZIP Coordinates'!$D:$D,MATCH($A471,'ZIP Coordinates'!$A:$A,0))-'ZIP Coordinates'!$D$2))))),"N/A")</f>
        <v>200.09402060306726</v>
      </c>
      <c r="G471" s="3" t="str">
        <f t="shared" si="14"/>
        <v>200+ mi</v>
      </c>
      <c r="H471" s="27">
        <f>IF(RIGHT($B471,1)="P",1,IF(ISNUMBER(SEARCH("HALF GALLON",$C471)),Assumptions!$B$4,IF(ISNUMBER(SEARCH("GALLON",$C471)),Assumptions!$B$3,IF(ISNUMBER(SEARCH("QUART",$C471)),Assumptions!$B$5,IF(ISNUMBER(SEARCH("PINT",$C471)),Assumptions!$B$6,Assumptions!$B$7)))))</f>
        <v>1</v>
      </c>
      <c r="I471" s="27">
        <f t="shared" si="15"/>
        <v>63</v>
      </c>
    </row>
    <row r="472" spans="1:9" x14ac:dyDescent="0.2">
      <c r="A472" s="3" t="s">
        <v>23</v>
      </c>
      <c r="B472" s="3" t="s">
        <v>255</v>
      </c>
      <c r="C472" s="3" t="s">
        <v>256</v>
      </c>
      <c r="D472" s="3" t="s">
        <v>111</v>
      </c>
      <c r="E472" s="4">
        <v>10</v>
      </c>
      <c r="F472" s="5">
        <f>IFERROR(3958.8*ACOS(MIN(1,MAX(-1,SIN(RADIANS('ZIP Coordinates'!$C$2))*SIN(RADIANS(INDEX('ZIP Coordinates'!$C:$C,MATCH($A472,'ZIP Coordinates'!$A:$A,0))))+COS(RADIANS('ZIP Coordinates'!$C$2))*COS(RADIANS(INDEX('ZIP Coordinates'!$C:$C,MATCH($A472,'ZIP Coordinates'!$A:$A,0))))*COS(RADIANS(INDEX('ZIP Coordinates'!$D:$D,MATCH($A472,'ZIP Coordinates'!$A:$A,0))-'ZIP Coordinates'!$D$2))))),"N/A")</f>
        <v>200.09402060306726</v>
      </c>
      <c r="G472" s="3" t="str">
        <f t="shared" si="14"/>
        <v>200+ mi</v>
      </c>
      <c r="H472" s="27">
        <f>IF(RIGHT($B472,1)="P",1,IF(ISNUMBER(SEARCH("HALF GALLON",$C472)),Assumptions!$B$4,IF(ISNUMBER(SEARCH("GALLON",$C472)),Assumptions!$B$3,IF(ISNUMBER(SEARCH("QUART",$C472)),Assumptions!$B$5,IF(ISNUMBER(SEARCH("PINT",$C472)),Assumptions!$B$6,Assumptions!$B$7)))))</f>
        <v>20</v>
      </c>
      <c r="I472" s="27">
        <f t="shared" si="15"/>
        <v>200</v>
      </c>
    </row>
    <row r="473" spans="1:9" x14ac:dyDescent="0.2">
      <c r="A473" s="3" t="s">
        <v>24</v>
      </c>
      <c r="B473" s="3" t="s">
        <v>294</v>
      </c>
      <c r="C473" s="3" t="s">
        <v>295</v>
      </c>
      <c r="D473" s="3" t="s">
        <v>213</v>
      </c>
      <c r="E473" s="4">
        <v>3</v>
      </c>
      <c r="F473" s="5">
        <f>IFERROR(3958.8*ACOS(MIN(1,MAX(-1,SIN(RADIANS('ZIP Coordinates'!$C$2))*SIN(RADIANS(INDEX('ZIP Coordinates'!$C:$C,MATCH($A473,'ZIP Coordinates'!$A:$A,0))))+COS(RADIANS('ZIP Coordinates'!$C$2))*COS(RADIANS(INDEX('ZIP Coordinates'!$C:$C,MATCH($A473,'ZIP Coordinates'!$A:$A,0))))*COS(RADIANS(INDEX('ZIP Coordinates'!$D:$D,MATCH($A473,'ZIP Coordinates'!$A:$A,0))-'ZIP Coordinates'!$D$2))))),"N/A")</f>
        <v>128.90650428006145</v>
      </c>
      <c r="G473" s="3" t="str">
        <f t="shared" si="14"/>
        <v>100-149 mi</v>
      </c>
      <c r="H473" s="27">
        <f>IF(RIGHT($B473,1)="P",1,IF(ISNUMBER(SEARCH("HALF GALLON",$C473)),Assumptions!$B$4,IF(ISNUMBER(SEARCH("GALLON",$C473)),Assumptions!$B$3,IF(ISNUMBER(SEARCH("QUART",$C473)),Assumptions!$B$5,IF(ISNUMBER(SEARCH("PINT",$C473)),Assumptions!$B$6,Assumptions!$B$7)))))</f>
        <v>1</v>
      </c>
      <c r="I473" s="27">
        <f t="shared" si="15"/>
        <v>3</v>
      </c>
    </row>
    <row r="474" spans="1:9" x14ac:dyDescent="0.2">
      <c r="A474" s="3" t="s">
        <v>24</v>
      </c>
      <c r="B474" s="3" t="s">
        <v>241</v>
      </c>
      <c r="C474" s="3" t="s">
        <v>242</v>
      </c>
      <c r="D474" s="3" t="s">
        <v>116</v>
      </c>
      <c r="E474" s="4">
        <v>36</v>
      </c>
      <c r="F474" s="5">
        <f>IFERROR(3958.8*ACOS(MIN(1,MAX(-1,SIN(RADIANS('ZIP Coordinates'!$C$2))*SIN(RADIANS(INDEX('ZIP Coordinates'!$C:$C,MATCH($A474,'ZIP Coordinates'!$A:$A,0))))+COS(RADIANS('ZIP Coordinates'!$C$2))*COS(RADIANS(INDEX('ZIP Coordinates'!$C:$C,MATCH($A474,'ZIP Coordinates'!$A:$A,0))))*COS(RADIANS(INDEX('ZIP Coordinates'!$D:$D,MATCH($A474,'ZIP Coordinates'!$A:$A,0))-'ZIP Coordinates'!$D$2))))),"N/A")</f>
        <v>128.90650428006145</v>
      </c>
      <c r="G474" s="3" t="str">
        <f t="shared" si="14"/>
        <v>100-149 mi</v>
      </c>
      <c r="H474" s="27">
        <f>IF(RIGHT($B474,1)="P",1,IF(ISNUMBER(SEARCH("HALF GALLON",$C474)),Assumptions!$B$4,IF(ISNUMBER(SEARCH("GALLON",$C474)),Assumptions!$B$3,IF(ISNUMBER(SEARCH("QUART",$C474)),Assumptions!$B$5,IF(ISNUMBER(SEARCH("PINT",$C474)),Assumptions!$B$6,Assumptions!$B$7)))))</f>
        <v>1</v>
      </c>
      <c r="I474" s="27">
        <f t="shared" si="15"/>
        <v>36</v>
      </c>
    </row>
    <row r="475" spans="1:9" x14ac:dyDescent="0.2">
      <c r="A475" s="3" t="s">
        <v>24</v>
      </c>
      <c r="B475" s="3" t="s">
        <v>247</v>
      </c>
      <c r="C475" s="3" t="s">
        <v>246</v>
      </c>
      <c r="D475" s="3" t="s">
        <v>116</v>
      </c>
      <c r="E475" s="4">
        <v>100</v>
      </c>
      <c r="F475" s="5">
        <f>IFERROR(3958.8*ACOS(MIN(1,MAX(-1,SIN(RADIANS('ZIP Coordinates'!$C$2))*SIN(RADIANS(INDEX('ZIP Coordinates'!$C:$C,MATCH($A475,'ZIP Coordinates'!$A:$A,0))))+COS(RADIANS('ZIP Coordinates'!$C$2))*COS(RADIANS(INDEX('ZIP Coordinates'!$C:$C,MATCH($A475,'ZIP Coordinates'!$A:$A,0))))*COS(RADIANS(INDEX('ZIP Coordinates'!$D:$D,MATCH($A475,'ZIP Coordinates'!$A:$A,0))-'ZIP Coordinates'!$D$2))))),"N/A")</f>
        <v>128.90650428006145</v>
      </c>
      <c r="G475" s="3" t="str">
        <f t="shared" si="14"/>
        <v>100-149 mi</v>
      </c>
      <c r="H475" s="27">
        <f>IF(RIGHT($B475,1)="P",1,IF(ISNUMBER(SEARCH("HALF GALLON",$C475)),Assumptions!$B$4,IF(ISNUMBER(SEARCH("GALLON",$C475)),Assumptions!$B$3,IF(ISNUMBER(SEARCH("QUART",$C475)),Assumptions!$B$5,IF(ISNUMBER(SEARCH("PINT",$C475)),Assumptions!$B$6,Assumptions!$B$7)))))</f>
        <v>1</v>
      </c>
      <c r="I475" s="27">
        <f t="shared" si="15"/>
        <v>100</v>
      </c>
    </row>
    <row r="476" spans="1:9" x14ac:dyDescent="0.2">
      <c r="A476" s="3" t="s">
        <v>24</v>
      </c>
      <c r="B476" s="3" t="s">
        <v>250</v>
      </c>
      <c r="C476" s="3" t="s">
        <v>249</v>
      </c>
      <c r="D476" s="3" t="s">
        <v>116</v>
      </c>
      <c r="E476" s="4">
        <v>96</v>
      </c>
      <c r="F476" s="5">
        <f>IFERROR(3958.8*ACOS(MIN(1,MAX(-1,SIN(RADIANS('ZIP Coordinates'!$C$2))*SIN(RADIANS(INDEX('ZIP Coordinates'!$C:$C,MATCH($A476,'ZIP Coordinates'!$A:$A,0))))+COS(RADIANS('ZIP Coordinates'!$C$2))*COS(RADIANS(INDEX('ZIP Coordinates'!$C:$C,MATCH($A476,'ZIP Coordinates'!$A:$A,0))))*COS(RADIANS(INDEX('ZIP Coordinates'!$D:$D,MATCH($A476,'ZIP Coordinates'!$A:$A,0))-'ZIP Coordinates'!$D$2))))),"N/A")</f>
        <v>128.90650428006145</v>
      </c>
      <c r="G476" s="3" t="str">
        <f t="shared" si="14"/>
        <v>100-149 mi</v>
      </c>
      <c r="H476" s="27">
        <f>IF(RIGHT($B476,1)="P",1,IF(ISNUMBER(SEARCH("HALF GALLON",$C476)),Assumptions!$B$4,IF(ISNUMBER(SEARCH("GALLON",$C476)),Assumptions!$B$3,IF(ISNUMBER(SEARCH("QUART",$C476)),Assumptions!$B$5,IF(ISNUMBER(SEARCH("PINT",$C476)),Assumptions!$B$6,Assumptions!$B$7)))))</f>
        <v>1</v>
      </c>
      <c r="I476" s="27">
        <f t="shared" si="15"/>
        <v>96</v>
      </c>
    </row>
    <row r="477" spans="1:9" x14ac:dyDescent="0.2">
      <c r="A477" s="3" t="s">
        <v>24</v>
      </c>
      <c r="B477" s="3" t="s">
        <v>251</v>
      </c>
      <c r="C477" s="3" t="s">
        <v>252</v>
      </c>
      <c r="D477" s="3" t="s">
        <v>116</v>
      </c>
      <c r="E477" s="4">
        <v>84</v>
      </c>
      <c r="F477" s="5">
        <f>IFERROR(3958.8*ACOS(MIN(1,MAX(-1,SIN(RADIANS('ZIP Coordinates'!$C$2))*SIN(RADIANS(INDEX('ZIP Coordinates'!$C:$C,MATCH($A477,'ZIP Coordinates'!$A:$A,0))))+COS(RADIANS('ZIP Coordinates'!$C$2))*COS(RADIANS(INDEX('ZIP Coordinates'!$C:$C,MATCH($A477,'ZIP Coordinates'!$A:$A,0))))*COS(RADIANS(INDEX('ZIP Coordinates'!$D:$D,MATCH($A477,'ZIP Coordinates'!$A:$A,0))-'ZIP Coordinates'!$D$2))))),"N/A")</f>
        <v>128.90650428006145</v>
      </c>
      <c r="G477" s="3" t="str">
        <f t="shared" si="14"/>
        <v>100-149 mi</v>
      </c>
      <c r="H477" s="27">
        <f>IF(RIGHT($B477,1)="P",1,IF(ISNUMBER(SEARCH("HALF GALLON",$C477)),Assumptions!$B$4,IF(ISNUMBER(SEARCH("GALLON",$C477)),Assumptions!$B$3,IF(ISNUMBER(SEARCH("QUART",$C477)),Assumptions!$B$5,IF(ISNUMBER(SEARCH("PINT",$C477)),Assumptions!$B$6,Assumptions!$B$7)))))</f>
        <v>1</v>
      </c>
      <c r="I477" s="27">
        <f t="shared" si="15"/>
        <v>84</v>
      </c>
    </row>
    <row r="478" spans="1:9" x14ac:dyDescent="0.2">
      <c r="A478" s="3" t="s">
        <v>24</v>
      </c>
      <c r="B478" s="3" t="s">
        <v>255</v>
      </c>
      <c r="C478" s="3" t="s">
        <v>256</v>
      </c>
      <c r="D478" s="3" t="s">
        <v>116</v>
      </c>
      <c r="E478" s="4">
        <v>11</v>
      </c>
      <c r="F478" s="5">
        <f>IFERROR(3958.8*ACOS(MIN(1,MAX(-1,SIN(RADIANS('ZIP Coordinates'!$C$2))*SIN(RADIANS(INDEX('ZIP Coordinates'!$C:$C,MATCH($A478,'ZIP Coordinates'!$A:$A,0))))+COS(RADIANS('ZIP Coordinates'!$C$2))*COS(RADIANS(INDEX('ZIP Coordinates'!$C:$C,MATCH($A478,'ZIP Coordinates'!$A:$A,0))))*COS(RADIANS(INDEX('ZIP Coordinates'!$D:$D,MATCH($A478,'ZIP Coordinates'!$A:$A,0))-'ZIP Coordinates'!$D$2))))),"N/A")</f>
        <v>128.90650428006145</v>
      </c>
      <c r="G478" s="3" t="str">
        <f t="shared" si="14"/>
        <v>100-149 mi</v>
      </c>
      <c r="H478" s="27">
        <f>IF(RIGHT($B478,1)="P",1,IF(ISNUMBER(SEARCH("HALF GALLON",$C478)),Assumptions!$B$4,IF(ISNUMBER(SEARCH("GALLON",$C478)),Assumptions!$B$3,IF(ISNUMBER(SEARCH("QUART",$C478)),Assumptions!$B$5,IF(ISNUMBER(SEARCH("PINT",$C478)),Assumptions!$B$6,Assumptions!$B$7)))))</f>
        <v>20</v>
      </c>
      <c r="I478" s="27">
        <f t="shared" si="15"/>
        <v>220</v>
      </c>
    </row>
    <row r="479" spans="1:9" x14ac:dyDescent="0.2">
      <c r="A479" s="3" t="s">
        <v>24</v>
      </c>
      <c r="B479" s="3" t="s">
        <v>257</v>
      </c>
      <c r="C479" s="3" t="s">
        <v>256</v>
      </c>
      <c r="D479" s="3" t="s">
        <v>116</v>
      </c>
      <c r="E479" s="4">
        <v>63</v>
      </c>
      <c r="F479" s="5">
        <f>IFERROR(3958.8*ACOS(MIN(1,MAX(-1,SIN(RADIANS('ZIP Coordinates'!$C$2))*SIN(RADIANS(INDEX('ZIP Coordinates'!$C:$C,MATCH($A479,'ZIP Coordinates'!$A:$A,0))))+COS(RADIANS('ZIP Coordinates'!$C$2))*COS(RADIANS(INDEX('ZIP Coordinates'!$C:$C,MATCH($A479,'ZIP Coordinates'!$A:$A,0))))*COS(RADIANS(INDEX('ZIP Coordinates'!$D:$D,MATCH($A479,'ZIP Coordinates'!$A:$A,0))-'ZIP Coordinates'!$D$2))))),"N/A")</f>
        <v>128.90650428006145</v>
      </c>
      <c r="G479" s="3" t="str">
        <f t="shared" si="14"/>
        <v>100-149 mi</v>
      </c>
      <c r="H479" s="27">
        <f>IF(RIGHT($B479,1)="P",1,IF(ISNUMBER(SEARCH("HALF GALLON",$C479)),Assumptions!$B$4,IF(ISNUMBER(SEARCH("GALLON",$C479)),Assumptions!$B$3,IF(ISNUMBER(SEARCH("QUART",$C479)),Assumptions!$B$5,IF(ISNUMBER(SEARCH("PINT",$C479)),Assumptions!$B$6,Assumptions!$B$7)))))</f>
        <v>1</v>
      </c>
      <c r="I479" s="27">
        <f t="shared" si="15"/>
        <v>63</v>
      </c>
    </row>
    <row r="480" spans="1:9" x14ac:dyDescent="0.2">
      <c r="A480" s="3" t="s">
        <v>25</v>
      </c>
      <c r="B480" s="3" t="s">
        <v>294</v>
      </c>
      <c r="C480" s="3" t="s">
        <v>296</v>
      </c>
      <c r="D480" s="3" t="s">
        <v>147</v>
      </c>
      <c r="E480" s="4">
        <v>6</v>
      </c>
      <c r="F480" s="5">
        <f>IFERROR(3958.8*ACOS(MIN(1,MAX(-1,SIN(RADIANS('ZIP Coordinates'!$C$2))*SIN(RADIANS(INDEX('ZIP Coordinates'!$C:$C,MATCH($A480,'ZIP Coordinates'!$A:$A,0))))+COS(RADIANS('ZIP Coordinates'!$C$2))*COS(RADIANS(INDEX('ZIP Coordinates'!$C:$C,MATCH($A480,'ZIP Coordinates'!$A:$A,0))))*COS(RADIANS(INDEX('ZIP Coordinates'!$D:$D,MATCH($A480,'ZIP Coordinates'!$A:$A,0))-'ZIP Coordinates'!$D$2))))),"N/A")</f>
        <v>133.2296450053272</v>
      </c>
      <c r="G480" s="3" t="str">
        <f t="shared" si="14"/>
        <v>100-149 mi</v>
      </c>
      <c r="H480" s="27">
        <f>IF(RIGHT($B480,1)="P",1,IF(ISNUMBER(SEARCH("HALF GALLON",$C480)),Assumptions!$B$4,IF(ISNUMBER(SEARCH("GALLON",$C480)),Assumptions!$B$3,IF(ISNUMBER(SEARCH("QUART",$C480)),Assumptions!$B$5,IF(ISNUMBER(SEARCH("PINT",$C480)),Assumptions!$B$6,Assumptions!$B$7)))))</f>
        <v>1</v>
      </c>
      <c r="I480" s="27">
        <f t="shared" si="15"/>
        <v>6</v>
      </c>
    </row>
    <row r="481" spans="1:9" x14ac:dyDescent="0.2">
      <c r="A481" s="3" t="s">
        <v>25</v>
      </c>
      <c r="B481" s="3" t="s">
        <v>294</v>
      </c>
      <c r="C481" s="3" t="s">
        <v>296</v>
      </c>
      <c r="D481" s="3" t="s">
        <v>147</v>
      </c>
      <c r="E481" s="4">
        <v>7</v>
      </c>
      <c r="F481" s="5">
        <f>IFERROR(3958.8*ACOS(MIN(1,MAX(-1,SIN(RADIANS('ZIP Coordinates'!$C$2))*SIN(RADIANS(INDEX('ZIP Coordinates'!$C:$C,MATCH($A481,'ZIP Coordinates'!$A:$A,0))))+COS(RADIANS('ZIP Coordinates'!$C$2))*COS(RADIANS(INDEX('ZIP Coordinates'!$C:$C,MATCH($A481,'ZIP Coordinates'!$A:$A,0))))*COS(RADIANS(INDEX('ZIP Coordinates'!$D:$D,MATCH($A481,'ZIP Coordinates'!$A:$A,0))-'ZIP Coordinates'!$D$2))))),"N/A")</f>
        <v>133.2296450053272</v>
      </c>
      <c r="G481" s="3" t="str">
        <f t="shared" si="14"/>
        <v>100-149 mi</v>
      </c>
      <c r="H481" s="27">
        <f>IF(RIGHT($B481,1)="P",1,IF(ISNUMBER(SEARCH("HALF GALLON",$C481)),Assumptions!$B$4,IF(ISNUMBER(SEARCH("GALLON",$C481)),Assumptions!$B$3,IF(ISNUMBER(SEARCH("QUART",$C481)),Assumptions!$B$5,IF(ISNUMBER(SEARCH("PINT",$C481)),Assumptions!$B$6,Assumptions!$B$7)))))</f>
        <v>1</v>
      </c>
      <c r="I481" s="27">
        <f t="shared" si="15"/>
        <v>7</v>
      </c>
    </row>
    <row r="482" spans="1:9" x14ac:dyDescent="0.2">
      <c r="A482" s="3" t="s">
        <v>25</v>
      </c>
      <c r="B482" s="3" t="s">
        <v>294</v>
      </c>
      <c r="C482" s="3" t="s">
        <v>296</v>
      </c>
      <c r="D482" s="3" t="s">
        <v>147</v>
      </c>
      <c r="E482" s="4">
        <v>6</v>
      </c>
      <c r="F482" s="5">
        <f>IFERROR(3958.8*ACOS(MIN(1,MAX(-1,SIN(RADIANS('ZIP Coordinates'!$C$2))*SIN(RADIANS(INDEX('ZIP Coordinates'!$C:$C,MATCH($A482,'ZIP Coordinates'!$A:$A,0))))+COS(RADIANS('ZIP Coordinates'!$C$2))*COS(RADIANS(INDEX('ZIP Coordinates'!$C:$C,MATCH($A482,'ZIP Coordinates'!$A:$A,0))))*COS(RADIANS(INDEX('ZIP Coordinates'!$D:$D,MATCH($A482,'ZIP Coordinates'!$A:$A,0))-'ZIP Coordinates'!$D$2))))),"N/A")</f>
        <v>133.2296450053272</v>
      </c>
      <c r="G482" s="3" t="str">
        <f t="shared" si="14"/>
        <v>100-149 mi</v>
      </c>
      <c r="H482" s="27">
        <f>IF(RIGHT($B482,1)="P",1,IF(ISNUMBER(SEARCH("HALF GALLON",$C482)),Assumptions!$B$4,IF(ISNUMBER(SEARCH("GALLON",$C482)),Assumptions!$B$3,IF(ISNUMBER(SEARCH("QUART",$C482)),Assumptions!$B$5,IF(ISNUMBER(SEARCH("PINT",$C482)),Assumptions!$B$6,Assumptions!$B$7)))))</f>
        <v>1</v>
      </c>
      <c r="I482" s="27">
        <f t="shared" si="15"/>
        <v>6</v>
      </c>
    </row>
    <row r="483" spans="1:9" x14ac:dyDescent="0.2">
      <c r="A483" s="3" t="s">
        <v>25</v>
      </c>
      <c r="B483" s="3" t="s">
        <v>294</v>
      </c>
      <c r="C483" s="3" t="s">
        <v>296</v>
      </c>
      <c r="D483" s="3" t="s">
        <v>147</v>
      </c>
      <c r="E483" s="4">
        <v>3</v>
      </c>
      <c r="F483" s="5">
        <f>IFERROR(3958.8*ACOS(MIN(1,MAX(-1,SIN(RADIANS('ZIP Coordinates'!$C$2))*SIN(RADIANS(INDEX('ZIP Coordinates'!$C:$C,MATCH($A483,'ZIP Coordinates'!$A:$A,0))))+COS(RADIANS('ZIP Coordinates'!$C$2))*COS(RADIANS(INDEX('ZIP Coordinates'!$C:$C,MATCH($A483,'ZIP Coordinates'!$A:$A,0))))*COS(RADIANS(INDEX('ZIP Coordinates'!$D:$D,MATCH($A483,'ZIP Coordinates'!$A:$A,0))-'ZIP Coordinates'!$D$2))))),"N/A")</f>
        <v>133.2296450053272</v>
      </c>
      <c r="G483" s="3" t="str">
        <f t="shared" si="14"/>
        <v>100-149 mi</v>
      </c>
      <c r="H483" s="27">
        <f>IF(RIGHT($B483,1)="P",1,IF(ISNUMBER(SEARCH("HALF GALLON",$C483)),Assumptions!$B$4,IF(ISNUMBER(SEARCH("GALLON",$C483)),Assumptions!$B$3,IF(ISNUMBER(SEARCH("QUART",$C483)),Assumptions!$B$5,IF(ISNUMBER(SEARCH("PINT",$C483)),Assumptions!$B$6,Assumptions!$B$7)))))</f>
        <v>1</v>
      </c>
      <c r="I483" s="27">
        <f t="shared" si="15"/>
        <v>3</v>
      </c>
    </row>
    <row r="484" spans="1:9" x14ac:dyDescent="0.2">
      <c r="A484" s="3" t="s">
        <v>25</v>
      </c>
      <c r="B484" s="3" t="s">
        <v>294</v>
      </c>
      <c r="C484" s="3" t="s">
        <v>296</v>
      </c>
      <c r="D484" s="3" t="s">
        <v>147</v>
      </c>
      <c r="E484" s="4">
        <v>9</v>
      </c>
      <c r="F484" s="5">
        <f>IFERROR(3958.8*ACOS(MIN(1,MAX(-1,SIN(RADIANS('ZIP Coordinates'!$C$2))*SIN(RADIANS(INDEX('ZIP Coordinates'!$C:$C,MATCH($A484,'ZIP Coordinates'!$A:$A,0))))+COS(RADIANS('ZIP Coordinates'!$C$2))*COS(RADIANS(INDEX('ZIP Coordinates'!$C:$C,MATCH($A484,'ZIP Coordinates'!$A:$A,0))))*COS(RADIANS(INDEX('ZIP Coordinates'!$D:$D,MATCH($A484,'ZIP Coordinates'!$A:$A,0))-'ZIP Coordinates'!$D$2))))),"N/A")</f>
        <v>133.2296450053272</v>
      </c>
      <c r="G484" s="3" t="str">
        <f t="shared" si="14"/>
        <v>100-149 mi</v>
      </c>
      <c r="H484" s="27">
        <f>IF(RIGHT($B484,1)="P",1,IF(ISNUMBER(SEARCH("HALF GALLON",$C484)),Assumptions!$B$4,IF(ISNUMBER(SEARCH("GALLON",$C484)),Assumptions!$B$3,IF(ISNUMBER(SEARCH("QUART",$C484)),Assumptions!$B$5,IF(ISNUMBER(SEARCH("PINT",$C484)),Assumptions!$B$6,Assumptions!$B$7)))))</f>
        <v>1</v>
      </c>
      <c r="I484" s="27">
        <f t="shared" si="15"/>
        <v>9</v>
      </c>
    </row>
    <row r="485" spans="1:9" x14ac:dyDescent="0.2">
      <c r="A485" s="3" t="s">
        <v>25</v>
      </c>
      <c r="B485" s="3" t="s">
        <v>294</v>
      </c>
      <c r="C485" s="3" t="s">
        <v>296</v>
      </c>
      <c r="D485" s="3" t="s">
        <v>147</v>
      </c>
      <c r="E485" s="4">
        <v>3</v>
      </c>
      <c r="F485" s="5">
        <f>IFERROR(3958.8*ACOS(MIN(1,MAX(-1,SIN(RADIANS('ZIP Coordinates'!$C$2))*SIN(RADIANS(INDEX('ZIP Coordinates'!$C:$C,MATCH($A485,'ZIP Coordinates'!$A:$A,0))))+COS(RADIANS('ZIP Coordinates'!$C$2))*COS(RADIANS(INDEX('ZIP Coordinates'!$C:$C,MATCH($A485,'ZIP Coordinates'!$A:$A,0))))*COS(RADIANS(INDEX('ZIP Coordinates'!$D:$D,MATCH($A485,'ZIP Coordinates'!$A:$A,0))-'ZIP Coordinates'!$D$2))))),"N/A")</f>
        <v>133.2296450053272</v>
      </c>
      <c r="G485" s="3" t="str">
        <f t="shared" si="14"/>
        <v>100-149 mi</v>
      </c>
      <c r="H485" s="27">
        <f>IF(RIGHT($B485,1)="P",1,IF(ISNUMBER(SEARCH("HALF GALLON",$C485)),Assumptions!$B$4,IF(ISNUMBER(SEARCH("GALLON",$C485)),Assumptions!$B$3,IF(ISNUMBER(SEARCH("QUART",$C485)),Assumptions!$B$5,IF(ISNUMBER(SEARCH("PINT",$C485)),Assumptions!$B$6,Assumptions!$B$7)))))</f>
        <v>1</v>
      </c>
      <c r="I485" s="27">
        <f t="shared" si="15"/>
        <v>3</v>
      </c>
    </row>
    <row r="486" spans="1:9" x14ac:dyDescent="0.2">
      <c r="A486" s="3" t="s">
        <v>25</v>
      </c>
      <c r="B486" s="3" t="s">
        <v>294</v>
      </c>
      <c r="C486" s="3" t="s">
        <v>296</v>
      </c>
      <c r="D486" s="3" t="s">
        <v>147</v>
      </c>
      <c r="E486" s="4">
        <v>6</v>
      </c>
      <c r="F486" s="5">
        <f>IFERROR(3958.8*ACOS(MIN(1,MAX(-1,SIN(RADIANS('ZIP Coordinates'!$C$2))*SIN(RADIANS(INDEX('ZIP Coordinates'!$C:$C,MATCH($A486,'ZIP Coordinates'!$A:$A,0))))+COS(RADIANS('ZIP Coordinates'!$C$2))*COS(RADIANS(INDEX('ZIP Coordinates'!$C:$C,MATCH($A486,'ZIP Coordinates'!$A:$A,0))))*COS(RADIANS(INDEX('ZIP Coordinates'!$D:$D,MATCH($A486,'ZIP Coordinates'!$A:$A,0))-'ZIP Coordinates'!$D$2))))),"N/A")</f>
        <v>133.2296450053272</v>
      </c>
      <c r="G486" s="3" t="str">
        <f t="shared" si="14"/>
        <v>100-149 mi</v>
      </c>
      <c r="H486" s="27">
        <f>IF(RIGHT($B486,1)="P",1,IF(ISNUMBER(SEARCH("HALF GALLON",$C486)),Assumptions!$B$4,IF(ISNUMBER(SEARCH("GALLON",$C486)),Assumptions!$B$3,IF(ISNUMBER(SEARCH("QUART",$C486)),Assumptions!$B$5,IF(ISNUMBER(SEARCH("PINT",$C486)),Assumptions!$B$6,Assumptions!$B$7)))))</f>
        <v>1</v>
      </c>
      <c r="I486" s="27">
        <f t="shared" si="15"/>
        <v>6</v>
      </c>
    </row>
    <row r="487" spans="1:9" x14ac:dyDescent="0.2">
      <c r="A487" s="3" t="s">
        <v>25</v>
      </c>
      <c r="B487" s="3" t="s">
        <v>294</v>
      </c>
      <c r="C487" s="3" t="s">
        <v>296</v>
      </c>
      <c r="D487" s="3" t="s">
        <v>147</v>
      </c>
      <c r="E487" s="4">
        <v>4</v>
      </c>
      <c r="F487" s="5">
        <f>IFERROR(3958.8*ACOS(MIN(1,MAX(-1,SIN(RADIANS('ZIP Coordinates'!$C$2))*SIN(RADIANS(INDEX('ZIP Coordinates'!$C:$C,MATCH($A487,'ZIP Coordinates'!$A:$A,0))))+COS(RADIANS('ZIP Coordinates'!$C$2))*COS(RADIANS(INDEX('ZIP Coordinates'!$C:$C,MATCH($A487,'ZIP Coordinates'!$A:$A,0))))*COS(RADIANS(INDEX('ZIP Coordinates'!$D:$D,MATCH($A487,'ZIP Coordinates'!$A:$A,0))-'ZIP Coordinates'!$D$2))))),"N/A")</f>
        <v>133.2296450053272</v>
      </c>
      <c r="G487" s="3" t="str">
        <f t="shared" si="14"/>
        <v>100-149 mi</v>
      </c>
      <c r="H487" s="27">
        <f>IF(RIGHT($B487,1)="P",1,IF(ISNUMBER(SEARCH("HALF GALLON",$C487)),Assumptions!$B$4,IF(ISNUMBER(SEARCH("GALLON",$C487)),Assumptions!$B$3,IF(ISNUMBER(SEARCH("QUART",$C487)),Assumptions!$B$5,IF(ISNUMBER(SEARCH("PINT",$C487)),Assumptions!$B$6,Assumptions!$B$7)))))</f>
        <v>1</v>
      </c>
      <c r="I487" s="27">
        <f t="shared" si="15"/>
        <v>4</v>
      </c>
    </row>
    <row r="488" spans="1:9" x14ac:dyDescent="0.2">
      <c r="A488" s="3" t="s">
        <v>25</v>
      </c>
      <c r="B488" s="3" t="s">
        <v>294</v>
      </c>
      <c r="C488" s="3" t="s">
        <v>296</v>
      </c>
      <c r="D488" s="3" t="s">
        <v>147</v>
      </c>
      <c r="E488" s="4">
        <v>5</v>
      </c>
      <c r="F488" s="5">
        <f>IFERROR(3958.8*ACOS(MIN(1,MAX(-1,SIN(RADIANS('ZIP Coordinates'!$C$2))*SIN(RADIANS(INDEX('ZIP Coordinates'!$C:$C,MATCH($A488,'ZIP Coordinates'!$A:$A,0))))+COS(RADIANS('ZIP Coordinates'!$C$2))*COS(RADIANS(INDEX('ZIP Coordinates'!$C:$C,MATCH($A488,'ZIP Coordinates'!$A:$A,0))))*COS(RADIANS(INDEX('ZIP Coordinates'!$D:$D,MATCH($A488,'ZIP Coordinates'!$A:$A,0))-'ZIP Coordinates'!$D$2))))),"N/A")</f>
        <v>133.2296450053272</v>
      </c>
      <c r="G488" s="3" t="str">
        <f t="shared" si="14"/>
        <v>100-149 mi</v>
      </c>
      <c r="H488" s="27">
        <f>IF(RIGHT($B488,1)="P",1,IF(ISNUMBER(SEARCH("HALF GALLON",$C488)),Assumptions!$B$4,IF(ISNUMBER(SEARCH("GALLON",$C488)),Assumptions!$B$3,IF(ISNUMBER(SEARCH("QUART",$C488)),Assumptions!$B$5,IF(ISNUMBER(SEARCH("PINT",$C488)),Assumptions!$B$6,Assumptions!$B$7)))))</f>
        <v>1</v>
      </c>
      <c r="I488" s="27">
        <f t="shared" si="15"/>
        <v>5</v>
      </c>
    </row>
    <row r="489" spans="1:9" x14ac:dyDescent="0.2">
      <c r="A489" s="3" t="s">
        <v>25</v>
      </c>
      <c r="B489" s="3" t="s">
        <v>294</v>
      </c>
      <c r="C489" s="3" t="s">
        <v>296</v>
      </c>
      <c r="D489" s="3" t="s">
        <v>147</v>
      </c>
      <c r="E489" s="4">
        <v>5</v>
      </c>
      <c r="F489" s="5">
        <f>IFERROR(3958.8*ACOS(MIN(1,MAX(-1,SIN(RADIANS('ZIP Coordinates'!$C$2))*SIN(RADIANS(INDEX('ZIP Coordinates'!$C:$C,MATCH($A489,'ZIP Coordinates'!$A:$A,0))))+COS(RADIANS('ZIP Coordinates'!$C$2))*COS(RADIANS(INDEX('ZIP Coordinates'!$C:$C,MATCH($A489,'ZIP Coordinates'!$A:$A,0))))*COS(RADIANS(INDEX('ZIP Coordinates'!$D:$D,MATCH($A489,'ZIP Coordinates'!$A:$A,0))-'ZIP Coordinates'!$D$2))))),"N/A")</f>
        <v>133.2296450053272</v>
      </c>
      <c r="G489" s="3" t="str">
        <f t="shared" si="14"/>
        <v>100-149 mi</v>
      </c>
      <c r="H489" s="27">
        <f>IF(RIGHT($B489,1)="P",1,IF(ISNUMBER(SEARCH("HALF GALLON",$C489)),Assumptions!$B$4,IF(ISNUMBER(SEARCH("GALLON",$C489)),Assumptions!$B$3,IF(ISNUMBER(SEARCH("QUART",$C489)),Assumptions!$B$5,IF(ISNUMBER(SEARCH("PINT",$C489)),Assumptions!$B$6,Assumptions!$B$7)))))</f>
        <v>1</v>
      </c>
      <c r="I489" s="27">
        <f t="shared" si="15"/>
        <v>5</v>
      </c>
    </row>
    <row r="490" spans="1:9" x14ac:dyDescent="0.2">
      <c r="A490" s="3" t="s">
        <v>25</v>
      </c>
      <c r="B490" s="3" t="s">
        <v>294</v>
      </c>
      <c r="C490" s="3" t="s">
        <v>296</v>
      </c>
      <c r="D490" s="3" t="s">
        <v>147</v>
      </c>
      <c r="E490" s="4">
        <v>5</v>
      </c>
      <c r="F490" s="5">
        <f>IFERROR(3958.8*ACOS(MIN(1,MAX(-1,SIN(RADIANS('ZIP Coordinates'!$C$2))*SIN(RADIANS(INDEX('ZIP Coordinates'!$C:$C,MATCH($A490,'ZIP Coordinates'!$A:$A,0))))+COS(RADIANS('ZIP Coordinates'!$C$2))*COS(RADIANS(INDEX('ZIP Coordinates'!$C:$C,MATCH($A490,'ZIP Coordinates'!$A:$A,0))))*COS(RADIANS(INDEX('ZIP Coordinates'!$D:$D,MATCH($A490,'ZIP Coordinates'!$A:$A,0))-'ZIP Coordinates'!$D$2))))),"N/A")</f>
        <v>133.2296450053272</v>
      </c>
      <c r="G490" s="3" t="str">
        <f t="shared" si="14"/>
        <v>100-149 mi</v>
      </c>
      <c r="H490" s="27">
        <f>IF(RIGHT($B490,1)="P",1,IF(ISNUMBER(SEARCH("HALF GALLON",$C490)),Assumptions!$B$4,IF(ISNUMBER(SEARCH("GALLON",$C490)),Assumptions!$B$3,IF(ISNUMBER(SEARCH("QUART",$C490)),Assumptions!$B$5,IF(ISNUMBER(SEARCH("PINT",$C490)),Assumptions!$B$6,Assumptions!$B$7)))))</f>
        <v>1</v>
      </c>
      <c r="I490" s="27">
        <f t="shared" si="15"/>
        <v>5</v>
      </c>
    </row>
    <row r="491" spans="1:9" x14ac:dyDescent="0.2">
      <c r="A491" s="3" t="s">
        <v>25</v>
      </c>
      <c r="B491" s="3" t="s">
        <v>294</v>
      </c>
      <c r="C491" s="3" t="s">
        <v>296</v>
      </c>
      <c r="D491" s="3" t="s">
        <v>147</v>
      </c>
      <c r="E491" s="4">
        <v>3</v>
      </c>
      <c r="F491" s="5">
        <f>IFERROR(3958.8*ACOS(MIN(1,MAX(-1,SIN(RADIANS('ZIP Coordinates'!$C$2))*SIN(RADIANS(INDEX('ZIP Coordinates'!$C:$C,MATCH($A491,'ZIP Coordinates'!$A:$A,0))))+COS(RADIANS('ZIP Coordinates'!$C$2))*COS(RADIANS(INDEX('ZIP Coordinates'!$C:$C,MATCH($A491,'ZIP Coordinates'!$A:$A,0))))*COS(RADIANS(INDEX('ZIP Coordinates'!$D:$D,MATCH($A491,'ZIP Coordinates'!$A:$A,0))-'ZIP Coordinates'!$D$2))))),"N/A")</f>
        <v>133.2296450053272</v>
      </c>
      <c r="G491" s="3" t="str">
        <f t="shared" si="14"/>
        <v>100-149 mi</v>
      </c>
      <c r="H491" s="27">
        <f>IF(RIGHT($B491,1)="P",1,IF(ISNUMBER(SEARCH("HALF GALLON",$C491)),Assumptions!$B$4,IF(ISNUMBER(SEARCH("GALLON",$C491)),Assumptions!$B$3,IF(ISNUMBER(SEARCH("QUART",$C491)),Assumptions!$B$5,IF(ISNUMBER(SEARCH("PINT",$C491)),Assumptions!$B$6,Assumptions!$B$7)))))</f>
        <v>1</v>
      </c>
      <c r="I491" s="27">
        <f t="shared" si="15"/>
        <v>3</v>
      </c>
    </row>
    <row r="492" spans="1:9" x14ac:dyDescent="0.2">
      <c r="A492" s="3" t="s">
        <v>25</v>
      </c>
      <c r="B492" s="3" t="s">
        <v>294</v>
      </c>
      <c r="C492" s="3" t="s">
        <v>296</v>
      </c>
      <c r="D492" s="3" t="s">
        <v>147</v>
      </c>
      <c r="E492" s="4">
        <v>6</v>
      </c>
      <c r="F492" s="5">
        <f>IFERROR(3958.8*ACOS(MIN(1,MAX(-1,SIN(RADIANS('ZIP Coordinates'!$C$2))*SIN(RADIANS(INDEX('ZIP Coordinates'!$C:$C,MATCH($A492,'ZIP Coordinates'!$A:$A,0))))+COS(RADIANS('ZIP Coordinates'!$C$2))*COS(RADIANS(INDEX('ZIP Coordinates'!$C:$C,MATCH($A492,'ZIP Coordinates'!$A:$A,0))))*COS(RADIANS(INDEX('ZIP Coordinates'!$D:$D,MATCH($A492,'ZIP Coordinates'!$A:$A,0))-'ZIP Coordinates'!$D$2))))),"N/A")</f>
        <v>133.2296450053272</v>
      </c>
      <c r="G492" s="3" t="str">
        <f t="shared" si="14"/>
        <v>100-149 mi</v>
      </c>
      <c r="H492" s="27">
        <f>IF(RIGHT($B492,1)="P",1,IF(ISNUMBER(SEARCH("HALF GALLON",$C492)),Assumptions!$B$4,IF(ISNUMBER(SEARCH("GALLON",$C492)),Assumptions!$B$3,IF(ISNUMBER(SEARCH("QUART",$C492)),Assumptions!$B$5,IF(ISNUMBER(SEARCH("PINT",$C492)),Assumptions!$B$6,Assumptions!$B$7)))))</f>
        <v>1</v>
      </c>
      <c r="I492" s="27">
        <f t="shared" si="15"/>
        <v>6</v>
      </c>
    </row>
    <row r="493" spans="1:9" x14ac:dyDescent="0.2">
      <c r="A493" s="3" t="s">
        <v>25</v>
      </c>
      <c r="B493" s="3" t="s">
        <v>294</v>
      </c>
      <c r="C493" s="3" t="s">
        <v>296</v>
      </c>
      <c r="D493" s="3" t="s">
        <v>147</v>
      </c>
      <c r="E493" s="4">
        <v>3</v>
      </c>
      <c r="F493" s="5">
        <f>IFERROR(3958.8*ACOS(MIN(1,MAX(-1,SIN(RADIANS('ZIP Coordinates'!$C$2))*SIN(RADIANS(INDEX('ZIP Coordinates'!$C:$C,MATCH($A493,'ZIP Coordinates'!$A:$A,0))))+COS(RADIANS('ZIP Coordinates'!$C$2))*COS(RADIANS(INDEX('ZIP Coordinates'!$C:$C,MATCH($A493,'ZIP Coordinates'!$A:$A,0))))*COS(RADIANS(INDEX('ZIP Coordinates'!$D:$D,MATCH($A493,'ZIP Coordinates'!$A:$A,0))-'ZIP Coordinates'!$D$2))))),"N/A")</f>
        <v>133.2296450053272</v>
      </c>
      <c r="G493" s="3" t="str">
        <f t="shared" si="14"/>
        <v>100-149 mi</v>
      </c>
      <c r="H493" s="27">
        <f>IF(RIGHT($B493,1)="P",1,IF(ISNUMBER(SEARCH("HALF GALLON",$C493)),Assumptions!$B$4,IF(ISNUMBER(SEARCH("GALLON",$C493)),Assumptions!$B$3,IF(ISNUMBER(SEARCH("QUART",$C493)),Assumptions!$B$5,IF(ISNUMBER(SEARCH("PINT",$C493)),Assumptions!$B$6,Assumptions!$B$7)))))</f>
        <v>1</v>
      </c>
      <c r="I493" s="27">
        <f t="shared" si="15"/>
        <v>3</v>
      </c>
    </row>
    <row r="494" spans="1:9" x14ac:dyDescent="0.2">
      <c r="A494" s="3" t="s">
        <v>25</v>
      </c>
      <c r="B494" s="3" t="s">
        <v>294</v>
      </c>
      <c r="C494" s="3" t="s">
        <v>296</v>
      </c>
      <c r="D494" s="3" t="s">
        <v>147</v>
      </c>
      <c r="E494" s="4">
        <v>8</v>
      </c>
      <c r="F494" s="5">
        <f>IFERROR(3958.8*ACOS(MIN(1,MAX(-1,SIN(RADIANS('ZIP Coordinates'!$C$2))*SIN(RADIANS(INDEX('ZIP Coordinates'!$C:$C,MATCH($A494,'ZIP Coordinates'!$A:$A,0))))+COS(RADIANS('ZIP Coordinates'!$C$2))*COS(RADIANS(INDEX('ZIP Coordinates'!$C:$C,MATCH($A494,'ZIP Coordinates'!$A:$A,0))))*COS(RADIANS(INDEX('ZIP Coordinates'!$D:$D,MATCH($A494,'ZIP Coordinates'!$A:$A,0))-'ZIP Coordinates'!$D$2))))),"N/A")</f>
        <v>133.2296450053272</v>
      </c>
      <c r="G494" s="3" t="str">
        <f t="shared" si="14"/>
        <v>100-149 mi</v>
      </c>
      <c r="H494" s="27">
        <f>IF(RIGHT($B494,1)="P",1,IF(ISNUMBER(SEARCH("HALF GALLON",$C494)),Assumptions!$B$4,IF(ISNUMBER(SEARCH("GALLON",$C494)),Assumptions!$B$3,IF(ISNUMBER(SEARCH("QUART",$C494)),Assumptions!$B$5,IF(ISNUMBER(SEARCH("PINT",$C494)),Assumptions!$B$6,Assumptions!$B$7)))))</f>
        <v>1</v>
      </c>
      <c r="I494" s="27">
        <f t="shared" si="15"/>
        <v>8</v>
      </c>
    </row>
    <row r="495" spans="1:9" x14ac:dyDescent="0.2">
      <c r="A495" s="3" t="s">
        <v>25</v>
      </c>
      <c r="B495" s="3" t="s">
        <v>294</v>
      </c>
      <c r="C495" s="3" t="s">
        <v>296</v>
      </c>
      <c r="D495" s="3" t="s">
        <v>147</v>
      </c>
      <c r="E495" s="4">
        <v>4</v>
      </c>
      <c r="F495" s="5">
        <f>IFERROR(3958.8*ACOS(MIN(1,MAX(-1,SIN(RADIANS('ZIP Coordinates'!$C$2))*SIN(RADIANS(INDEX('ZIP Coordinates'!$C:$C,MATCH($A495,'ZIP Coordinates'!$A:$A,0))))+COS(RADIANS('ZIP Coordinates'!$C$2))*COS(RADIANS(INDEX('ZIP Coordinates'!$C:$C,MATCH($A495,'ZIP Coordinates'!$A:$A,0))))*COS(RADIANS(INDEX('ZIP Coordinates'!$D:$D,MATCH($A495,'ZIP Coordinates'!$A:$A,0))-'ZIP Coordinates'!$D$2))))),"N/A")</f>
        <v>133.2296450053272</v>
      </c>
      <c r="G495" s="3" t="str">
        <f t="shared" si="14"/>
        <v>100-149 mi</v>
      </c>
      <c r="H495" s="27">
        <f>IF(RIGHT($B495,1)="P",1,IF(ISNUMBER(SEARCH("HALF GALLON",$C495)),Assumptions!$B$4,IF(ISNUMBER(SEARCH("GALLON",$C495)),Assumptions!$B$3,IF(ISNUMBER(SEARCH("QUART",$C495)),Assumptions!$B$5,IF(ISNUMBER(SEARCH("PINT",$C495)),Assumptions!$B$6,Assumptions!$B$7)))))</f>
        <v>1</v>
      </c>
      <c r="I495" s="27">
        <f t="shared" si="15"/>
        <v>4</v>
      </c>
    </row>
    <row r="496" spans="1:9" x14ac:dyDescent="0.2">
      <c r="A496" s="3" t="s">
        <v>25</v>
      </c>
      <c r="B496" s="3" t="s">
        <v>294</v>
      </c>
      <c r="C496" s="3" t="s">
        <v>296</v>
      </c>
      <c r="D496" s="3" t="s">
        <v>147</v>
      </c>
      <c r="E496" s="4">
        <v>4</v>
      </c>
      <c r="F496" s="5">
        <f>IFERROR(3958.8*ACOS(MIN(1,MAX(-1,SIN(RADIANS('ZIP Coordinates'!$C$2))*SIN(RADIANS(INDEX('ZIP Coordinates'!$C:$C,MATCH($A496,'ZIP Coordinates'!$A:$A,0))))+COS(RADIANS('ZIP Coordinates'!$C$2))*COS(RADIANS(INDEX('ZIP Coordinates'!$C:$C,MATCH($A496,'ZIP Coordinates'!$A:$A,0))))*COS(RADIANS(INDEX('ZIP Coordinates'!$D:$D,MATCH($A496,'ZIP Coordinates'!$A:$A,0))-'ZIP Coordinates'!$D$2))))),"N/A")</f>
        <v>133.2296450053272</v>
      </c>
      <c r="G496" s="3" t="str">
        <f t="shared" si="14"/>
        <v>100-149 mi</v>
      </c>
      <c r="H496" s="27">
        <f>IF(RIGHT($B496,1)="P",1,IF(ISNUMBER(SEARCH("HALF GALLON",$C496)),Assumptions!$B$4,IF(ISNUMBER(SEARCH("GALLON",$C496)),Assumptions!$B$3,IF(ISNUMBER(SEARCH("QUART",$C496)),Assumptions!$B$5,IF(ISNUMBER(SEARCH("PINT",$C496)),Assumptions!$B$6,Assumptions!$B$7)))))</f>
        <v>1</v>
      </c>
      <c r="I496" s="27">
        <f t="shared" si="15"/>
        <v>4</v>
      </c>
    </row>
    <row r="497" spans="1:9" x14ac:dyDescent="0.2">
      <c r="A497" s="3" t="s">
        <v>25</v>
      </c>
      <c r="B497" s="3" t="s">
        <v>294</v>
      </c>
      <c r="C497" s="3" t="s">
        <v>296</v>
      </c>
      <c r="D497" s="3" t="s">
        <v>147</v>
      </c>
      <c r="E497" s="4">
        <v>4</v>
      </c>
      <c r="F497" s="5">
        <f>IFERROR(3958.8*ACOS(MIN(1,MAX(-1,SIN(RADIANS('ZIP Coordinates'!$C$2))*SIN(RADIANS(INDEX('ZIP Coordinates'!$C:$C,MATCH($A497,'ZIP Coordinates'!$A:$A,0))))+COS(RADIANS('ZIP Coordinates'!$C$2))*COS(RADIANS(INDEX('ZIP Coordinates'!$C:$C,MATCH($A497,'ZIP Coordinates'!$A:$A,0))))*COS(RADIANS(INDEX('ZIP Coordinates'!$D:$D,MATCH($A497,'ZIP Coordinates'!$A:$A,0))-'ZIP Coordinates'!$D$2))))),"N/A")</f>
        <v>133.2296450053272</v>
      </c>
      <c r="G497" s="3" t="str">
        <f t="shared" si="14"/>
        <v>100-149 mi</v>
      </c>
      <c r="H497" s="27">
        <f>IF(RIGHT($B497,1)="P",1,IF(ISNUMBER(SEARCH("HALF GALLON",$C497)),Assumptions!$B$4,IF(ISNUMBER(SEARCH("GALLON",$C497)),Assumptions!$B$3,IF(ISNUMBER(SEARCH("QUART",$C497)),Assumptions!$B$5,IF(ISNUMBER(SEARCH("PINT",$C497)),Assumptions!$B$6,Assumptions!$B$7)))))</f>
        <v>1</v>
      </c>
      <c r="I497" s="27">
        <f t="shared" si="15"/>
        <v>4</v>
      </c>
    </row>
    <row r="498" spans="1:9" x14ac:dyDescent="0.2">
      <c r="A498" s="3" t="s">
        <v>25</v>
      </c>
      <c r="B498" s="3" t="s">
        <v>294</v>
      </c>
      <c r="C498" s="3" t="s">
        <v>296</v>
      </c>
      <c r="D498" s="3" t="s">
        <v>147</v>
      </c>
      <c r="E498" s="4">
        <v>6</v>
      </c>
      <c r="F498" s="5">
        <f>IFERROR(3958.8*ACOS(MIN(1,MAX(-1,SIN(RADIANS('ZIP Coordinates'!$C$2))*SIN(RADIANS(INDEX('ZIP Coordinates'!$C:$C,MATCH($A498,'ZIP Coordinates'!$A:$A,0))))+COS(RADIANS('ZIP Coordinates'!$C$2))*COS(RADIANS(INDEX('ZIP Coordinates'!$C:$C,MATCH($A498,'ZIP Coordinates'!$A:$A,0))))*COS(RADIANS(INDEX('ZIP Coordinates'!$D:$D,MATCH($A498,'ZIP Coordinates'!$A:$A,0))-'ZIP Coordinates'!$D$2))))),"N/A")</f>
        <v>133.2296450053272</v>
      </c>
      <c r="G498" s="3" t="str">
        <f t="shared" si="14"/>
        <v>100-149 mi</v>
      </c>
      <c r="H498" s="27">
        <f>IF(RIGHT($B498,1)="P",1,IF(ISNUMBER(SEARCH("HALF GALLON",$C498)),Assumptions!$B$4,IF(ISNUMBER(SEARCH("GALLON",$C498)),Assumptions!$B$3,IF(ISNUMBER(SEARCH("QUART",$C498)),Assumptions!$B$5,IF(ISNUMBER(SEARCH("PINT",$C498)),Assumptions!$B$6,Assumptions!$B$7)))))</f>
        <v>1</v>
      </c>
      <c r="I498" s="27">
        <f t="shared" si="15"/>
        <v>6</v>
      </c>
    </row>
    <row r="499" spans="1:9" x14ac:dyDescent="0.2">
      <c r="A499" s="3" t="s">
        <v>25</v>
      </c>
      <c r="B499" s="3" t="s">
        <v>294</v>
      </c>
      <c r="C499" s="3" t="s">
        <v>296</v>
      </c>
      <c r="D499" s="3" t="s">
        <v>147</v>
      </c>
      <c r="E499" s="4">
        <v>2</v>
      </c>
      <c r="F499" s="5">
        <f>IFERROR(3958.8*ACOS(MIN(1,MAX(-1,SIN(RADIANS('ZIP Coordinates'!$C$2))*SIN(RADIANS(INDEX('ZIP Coordinates'!$C:$C,MATCH($A499,'ZIP Coordinates'!$A:$A,0))))+COS(RADIANS('ZIP Coordinates'!$C$2))*COS(RADIANS(INDEX('ZIP Coordinates'!$C:$C,MATCH($A499,'ZIP Coordinates'!$A:$A,0))))*COS(RADIANS(INDEX('ZIP Coordinates'!$D:$D,MATCH($A499,'ZIP Coordinates'!$A:$A,0))-'ZIP Coordinates'!$D$2))))),"N/A")</f>
        <v>133.2296450053272</v>
      </c>
      <c r="G499" s="3" t="str">
        <f t="shared" si="14"/>
        <v>100-149 mi</v>
      </c>
      <c r="H499" s="27">
        <f>IF(RIGHT($B499,1)="P",1,IF(ISNUMBER(SEARCH("HALF GALLON",$C499)),Assumptions!$B$4,IF(ISNUMBER(SEARCH("GALLON",$C499)),Assumptions!$B$3,IF(ISNUMBER(SEARCH("QUART",$C499)),Assumptions!$B$5,IF(ISNUMBER(SEARCH("PINT",$C499)),Assumptions!$B$6,Assumptions!$B$7)))))</f>
        <v>1</v>
      </c>
      <c r="I499" s="27">
        <f t="shared" si="15"/>
        <v>2</v>
      </c>
    </row>
    <row r="500" spans="1:9" x14ac:dyDescent="0.2">
      <c r="A500" s="3" t="s">
        <v>25</v>
      </c>
      <c r="B500" s="3" t="s">
        <v>294</v>
      </c>
      <c r="C500" s="3" t="s">
        <v>296</v>
      </c>
      <c r="D500" s="3" t="s">
        <v>147</v>
      </c>
      <c r="E500" s="4">
        <v>3</v>
      </c>
      <c r="F500" s="5">
        <f>IFERROR(3958.8*ACOS(MIN(1,MAX(-1,SIN(RADIANS('ZIP Coordinates'!$C$2))*SIN(RADIANS(INDEX('ZIP Coordinates'!$C:$C,MATCH($A500,'ZIP Coordinates'!$A:$A,0))))+COS(RADIANS('ZIP Coordinates'!$C$2))*COS(RADIANS(INDEX('ZIP Coordinates'!$C:$C,MATCH($A500,'ZIP Coordinates'!$A:$A,0))))*COS(RADIANS(INDEX('ZIP Coordinates'!$D:$D,MATCH($A500,'ZIP Coordinates'!$A:$A,0))-'ZIP Coordinates'!$D$2))))),"N/A")</f>
        <v>133.2296450053272</v>
      </c>
      <c r="G500" s="3" t="str">
        <f t="shared" si="14"/>
        <v>100-149 mi</v>
      </c>
      <c r="H500" s="27">
        <f>IF(RIGHT($B500,1)="P",1,IF(ISNUMBER(SEARCH("HALF GALLON",$C500)),Assumptions!$B$4,IF(ISNUMBER(SEARCH("GALLON",$C500)),Assumptions!$B$3,IF(ISNUMBER(SEARCH("QUART",$C500)),Assumptions!$B$5,IF(ISNUMBER(SEARCH("PINT",$C500)),Assumptions!$B$6,Assumptions!$B$7)))))</f>
        <v>1</v>
      </c>
      <c r="I500" s="27">
        <f t="shared" si="15"/>
        <v>3</v>
      </c>
    </row>
    <row r="501" spans="1:9" x14ac:dyDescent="0.2">
      <c r="A501" s="3" t="s">
        <v>25</v>
      </c>
      <c r="B501" s="3" t="s">
        <v>294</v>
      </c>
      <c r="C501" s="3" t="s">
        <v>296</v>
      </c>
      <c r="D501" s="3" t="s">
        <v>147</v>
      </c>
      <c r="E501" s="4">
        <v>7</v>
      </c>
      <c r="F501" s="5">
        <f>IFERROR(3958.8*ACOS(MIN(1,MAX(-1,SIN(RADIANS('ZIP Coordinates'!$C$2))*SIN(RADIANS(INDEX('ZIP Coordinates'!$C:$C,MATCH($A501,'ZIP Coordinates'!$A:$A,0))))+COS(RADIANS('ZIP Coordinates'!$C$2))*COS(RADIANS(INDEX('ZIP Coordinates'!$C:$C,MATCH($A501,'ZIP Coordinates'!$A:$A,0))))*COS(RADIANS(INDEX('ZIP Coordinates'!$D:$D,MATCH($A501,'ZIP Coordinates'!$A:$A,0))-'ZIP Coordinates'!$D$2))))),"N/A")</f>
        <v>133.2296450053272</v>
      </c>
      <c r="G501" s="3" t="str">
        <f t="shared" si="14"/>
        <v>100-149 mi</v>
      </c>
      <c r="H501" s="27">
        <f>IF(RIGHT($B501,1)="P",1,IF(ISNUMBER(SEARCH("HALF GALLON",$C501)),Assumptions!$B$4,IF(ISNUMBER(SEARCH("GALLON",$C501)),Assumptions!$B$3,IF(ISNUMBER(SEARCH("QUART",$C501)),Assumptions!$B$5,IF(ISNUMBER(SEARCH("PINT",$C501)),Assumptions!$B$6,Assumptions!$B$7)))))</f>
        <v>1</v>
      </c>
      <c r="I501" s="27">
        <f t="shared" si="15"/>
        <v>7</v>
      </c>
    </row>
    <row r="502" spans="1:9" x14ac:dyDescent="0.2">
      <c r="A502" s="3" t="s">
        <v>25</v>
      </c>
      <c r="B502" s="3" t="s">
        <v>294</v>
      </c>
      <c r="C502" s="3" t="s">
        <v>296</v>
      </c>
      <c r="D502" s="3" t="s">
        <v>147</v>
      </c>
      <c r="E502" s="4">
        <v>3</v>
      </c>
      <c r="F502" s="5">
        <f>IFERROR(3958.8*ACOS(MIN(1,MAX(-1,SIN(RADIANS('ZIP Coordinates'!$C$2))*SIN(RADIANS(INDEX('ZIP Coordinates'!$C:$C,MATCH($A502,'ZIP Coordinates'!$A:$A,0))))+COS(RADIANS('ZIP Coordinates'!$C$2))*COS(RADIANS(INDEX('ZIP Coordinates'!$C:$C,MATCH($A502,'ZIP Coordinates'!$A:$A,0))))*COS(RADIANS(INDEX('ZIP Coordinates'!$D:$D,MATCH($A502,'ZIP Coordinates'!$A:$A,0))-'ZIP Coordinates'!$D$2))))),"N/A")</f>
        <v>133.2296450053272</v>
      </c>
      <c r="G502" s="3" t="str">
        <f t="shared" si="14"/>
        <v>100-149 mi</v>
      </c>
      <c r="H502" s="27">
        <f>IF(RIGHT($B502,1)="P",1,IF(ISNUMBER(SEARCH("HALF GALLON",$C502)),Assumptions!$B$4,IF(ISNUMBER(SEARCH("GALLON",$C502)),Assumptions!$B$3,IF(ISNUMBER(SEARCH("QUART",$C502)),Assumptions!$B$5,IF(ISNUMBER(SEARCH("PINT",$C502)),Assumptions!$B$6,Assumptions!$B$7)))))</f>
        <v>1</v>
      </c>
      <c r="I502" s="27">
        <f t="shared" si="15"/>
        <v>3</v>
      </c>
    </row>
    <row r="503" spans="1:9" x14ac:dyDescent="0.2">
      <c r="A503" s="3" t="s">
        <v>26</v>
      </c>
      <c r="B503" s="3" t="s">
        <v>259</v>
      </c>
      <c r="C503" s="3" t="s">
        <v>260</v>
      </c>
      <c r="D503" s="3" t="s">
        <v>201</v>
      </c>
      <c r="E503" s="4">
        <v>2</v>
      </c>
      <c r="F503" s="5">
        <f>IFERROR(3958.8*ACOS(MIN(1,MAX(-1,SIN(RADIANS('ZIP Coordinates'!$C$2))*SIN(RADIANS(INDEX('ZIP Coordinates'!$C:$C,MATCH($A503,'ZIP Coordinates'!$A:$A,0))))+COS(RADIANS('ZIP Coordinates'!$C$2))*COS(RADIANS(INDEX('ZIP Coordinates'!$C:$C,MATCH($A503,'ZIP Coordinates'!$A:$A,0))))*COS(RADIANS(INDEX('ZIP Coordinates'!$D:$D,MATCH($A503,'ZIP Coordinates'!$A:$A,0))-'ZIP Coordinates'!$D$2))))),"N/A")</f>
        <v>125.68759292675206</v>
      </c>
      <c r="G503" s="3" t="str">
        <f t="shared" si="14"/>
        <v>100-149 mi</v>
      </c>
      <c r="H503" s="27">
        <f>IF(RIGHT($B503,1)="P",1,IF(ISNUMBER(SEARCH("HALF GALLON",$C503)),Assumptions!$B$4,IF(ISNUMBER(SEARCH("GALLON",$C503)),Assumptions!$B$3,IF(ISNUMBER(SEARCH("QUART",$C503)),Assumptions!$B$5,IF(ISNUMBER(SEARCH("PINT",$C503)),Assumptions!$B$6,Assumptions!$B$7)))))</f>
        <v>4</v>
      </c>
      <c r="I503" s="27">
        <f t="shared" si="15"/>
        <v>8</v>
      </c>
    </row>
    <row r="504" spans="1:9" x14ac:dyDescent="0.2">
      <c r="A504" s="3" t="s">
        <v>26</v>
      </c>
      <c r="B504" s="3" t="s">
        <v>253</v>
      </c>
      <c r="C504" s="3" t="s">
        <v>254</v>
      </c>
      <c r="D504" s="3" t="s">
        <v>201</v>
      </c>
      <c r="E504" s="4">
        <v>7</v>
      </c>
      <c r="F504" s="5">
        <f>IFERROR(3958.8*ACOS(MIN(1,MAX(-1,SIN(RADIANS('ZIP Coordinates'!$C$2))*SIN(RADIANS(INDEX('ZIP Coordinates'!$C:$C,MATCH($A504,'ZIP Coordinates'!$A:$A,0))))+COS(RADIANS('ZIP Coordinates'!$C$2))*COS(RADIANS(INDEX('ZIP Coordinates'!$C:$C,MATCH($A504,'ZIP Coordinates'!$A:$A,0))))*COS(RADIANS(INDEX('ZIP Coordinates'!$D:$D,MATCH($A504,'ZIP Coordinates'!$A:$A,0))-'ZIP Coordinates'!$D$2))))),"N/A")</f>
        <v>125.68759292675206</v>
      </c>
      <c r="G504" s="3" t="str">
        <f t="shared" si="14"/>
        <v>100-149 mi</v>
      </c>
      <c r="H504" s="27">
        <f>IF(RIGHT($B504,1)="P",1,IF(ISNUMBER(SEARCH("HALF GALLON",$C504)),Assumptions!$B$4,IF(ISNUMBER(SEARCH("GALLON",$C504)),Assumptions!$B$3,IF(ISNUMBER(SEARCH("QUART",$C504)),Assumptions!$B$5,IF(ISNUMBER(SEARCH("PINT",$C504)),Assumptions!$B$6,Assumptions!$B$7)))))</f>
        <v>1</v>
      </c>
      <c r="I504" s="27">
        <f t="shared" si="15"/>
        <v>7</v>
      </c>
    </row>
    <row r="505" spans="1:9" x14ac:dyDescent="0.2">
      <c r="A505" s="3" t="s">
        <v>27</v>
      </c>
      <c r="B505" s="3" t="s">
        <v>258</v>
      </c>
      <c r="C505" s="3" t="s">
        <v>240</v>
      </c>
      <c r="D505" s="3" t="s">
        <v>180</v>
      </c>
      <c r="E505" s="4">
        <v>29</v>
      </c>
      <c r="F505" s="5">
        <f>IFERROR(3958.8*ACOS(MIN(1,MAX(-1,SIN(RADIANS('ZIP Coordinates'!$C$2))*SIN(RADIANS(INDEX('ZIP Coordinates'!$C:$C,MATCH($A505,'ZIP Coordinates'!$A:$A,0))))+COS(RADIANS('ZIP Coordinates'!$C$2))*COS(RADIANS(INDEX('ZIP Coordinates'!$C:$C,MATCH($A505,'ZIP Coordinates'!$A:$A,0))))*COS(RADIANS(INDEX('ZIP Coordinates'!$D:$D,MATCH($A505,'ZIP Coordinates'!$A:$A,0))-'ZIP Coordinates'!$D$2))))),"N/A")</f>
        <v>133.84218480102859</v>
      </c>
      <c r="G505" s="3" t="str">
        <f t="shared" si="14"/>
        <v>100-149 mi</v>
      </c>
      <c r="H505" s="27">
        <f>IF(RIGHT($B505,1)="P",1,IF(ISNUMBER(SEARCH("HALF GALLON",$C505)),Assumptions!$B$4,IF(ISNUMBER(SEARCH("GALLON",$C505)),Assumptions!$B$3,IF(ISNUMBER(SEARCH("QUART",$C505)),Assumptions!$B$5,IF(ISNUMBER(SEARCH("PINT",$C505)),Assumptions!$B$6,Assumptions!$B$7)))))</f>
        <v>4</v>
      </c>
      <c r="I505" s="27">
        <f t="shared" si="15"/>
        <v>116</v>
      </c>
    </row>
    <row r="506" spans="1:9" x14ac:dyDescent="0.2">
      <c r="A506" s="3" t="s">
        <v>27</v>
      </c>
      <c r="B506" s="3" t="s">
        <v>259</v>
      </c>
      <c r="C506" s="3" t="s">
        <v>260</v>
      </c>
      <c r="D506" s="3" t="s">
        <v>182</v>
      </c>
      <c r="E506" s="4">
        <v>17</v>
      </c>
      <c r="F506" s="5">
        <f>IFERROR(3958.8*ACOS(MIN(1,MAX(-1,SIN(RADIANS('ZIP Coordinates'!$C$2))*SIN(RADIANS(INDEX('ZIP Coordinates'!$C:$C,MATCH($A506,'ZIP Coordinates'!$A:$A,0))))+COS(RADIANS('ZIP Coordinates'!$C$2))*COS(RADIANS(INDEX('ZIP Coordinates'!$C:$C,MATCH($A506,'ZIP Coordinates'!$A:$A,0))))*COS(RADIANS(INDEX('ZIP Coordinates'!$D:$D,MATCH($A506,'ZIP Coordinates'!$A:$A,0))-'ZIP Coordinates'!$D$2))))),"N/A")</f>
        <v>133.84218480102859</v>
      </c>
      <c r="G506" s="3" t="str">
        <f t="shared" si="14"/>
        <v>100-149 mi</v>
      </c>
      <c r="H506" s="27">
        <f>IF(RIGHT($B506,1)="P",1,IF(ISNUMBER(SEARCH("HALF GALLON",$C506)),Assumptions!$B$4,IF(ISNUMBER(SEARCH("GALLON",$C506)),Assumptions!$B$3,IF(ISNUMBER(SEARCH("QUART",$C506)),Assumptions!$B$5,IF(ISNUMBER(SEARCH("PINT",$C506)),Assumptions!$B$6,Assumptions!$B$7)))))</f>
        <v>4</v>
      </c>
      <c r="I506" s="27">
        <f t="shared" si="15"/>
        <v>68</v>
      </c>
    </row>
    <row r="507" spans="1:9" x14ac:dyDescent="0.2">
      <c r="A507" s="3" t="s">
        <v>27</v>
      </c>
      <c r="B507" s="3" t="s">
        <v>269</v>
      </c>
      <c r="C507" s="3" t="s">
        <v>268</v>
      </c>
      <c r="D507" s="3" t="s">
        <v>182</v>
      </c>
      <c r="E507" s="4">
        <v>11</v>
      </c>
      <c r="F507" s="5">
        <f>IFERROR(3958.8*ACOS(MIN(1,MAX(-1,SIN(RADIANS('ZIP Coordinates'!$C$2))*SIN(RADIANS(INDEX('ZIP Coordinates'!$C:$C,MATCH($A507,'ZIP Coordinates'!$A:$A,0))))+COS(RADIANS('ZIP Coordinates'!$C$2))*COS(RADIANS(INDEX('ZIP Coordinates'!$C:$C,MATCH($A507,'ZIP Coordinates'!$A:$A,0))))*COS(RADIANS(INDEX('ZIP Coordinates'!$D:$D,MATCH($A507,'ZIP Coordinates'!$A:$A,0))-'ZIP Coordinates'!$D$2))))),"N/A")</f>
        <v>133.84218480102859</v>
      </c>
      <c r="G507" s="3" t="str">
        <f t="shared" si="14"/>
        <v>100-149 mi</v>
      </c>
      <c r="H507" s="27">
        <f>IF(RIGHT($B507,1)="P",1,IF(ISNUMBER(SEARCH("HALF GALLON",$C507)),Assumptions!$B$4,IF(ISNUMBER(SEARCH("GALLON",$C507)),Assumptions!$B$3,IF(ISNUMBER(SEARCH("QUART",$C507)),Assumptions!$B$5,IF(ISNUMBER(SEARCH("PINT",$C507)),Assumptions!$B$6,Assumptions!$B$7)))))</f>
        <v>1</v>
      </c>
      <c r="I507" s="27">
        <f t="shared" si="15"/>
        <v>11</v>
      </c>
    </row>
    <row r="508" spans="1:9" x14ac:dyDescent="0.2">
      <c r="A508" s="3" t="s">
        <v>27</v>
      </c>
      <c r="B508" s="3" t="s">
        <v>276</v>
      </c>
      <c r="C508" s="3" t="s">
        <v>275</v>
      </c>
      <c r="D508" s="3" t="s">
        <v>168</v>
      </c>
      <c r="E508" s="4">
        <v>53</v>
      </c>
      <c r="F508" s="5">
        <f>IFERROR(3958.8*ACOS(MIN(1,MAX(-1,SIN(RADIANS('ZIP Coordinates'!$C$2))*SIN(RADIANS(INDEX('ZIP Coordinates'!$C:$C,MATCH($A508,'ZIP Coordinates'!$A:$A,0))))+COS(RADIANS('ZIP Coordinates'!$C$2))*COS(RADIANS(INDEX('ZIP Coordinates'!$C:$C,MATCH($A508,'ZIP Coordinates'!$A:$A,0))))*COS(RADIANS(INDEX('ZIP Coordinates'!$D:$D,MATCH($A508,'ZIP Coordinates'!$A:$A,0))-'ZIP Coordinates'!$D$2))))),"N/A")</f>
        <v>133.84218480102859</v>
      </c>
      <c r="G508" s="3" t="str">
        <f t="shared" si="14"/>
        <v>100-149 mi</v>
      </c>
      <c r="H508" s="27">
        <f>IF(RIGHT($B508,1)="P",1,IF(ISNUMBER(SEARCH("HALF GALLON",$C508)),Assumptions!$B$4,IF(ISNUMBER(SEARCH("GALLON",$C508)),Assumptions!$B$3,IF(ISNUMBER(SEARCH("QUART",$C508)),Assumptions!$B$5,IF(ISNUMBER(SEARCH("PINT",$C508)),Assumptions!$B$6,Assumptions!$B$7)))))</f>
        <v>1</v>
      </c>
      <c r="I508" s="27">
        <f t="shared" si="15"/>
        <v>53</v>
      </c>
    </row>
    <row r="509" spans="1:9" x14ac:dyDescent="0.2">
      <c r="A509" s="3" t="s">
        <v>27</v>
      </c>
      <c r="B509" s="3" t="s">
        <v>247</v>
      </c>
      <c r="C509" s="3" t="s">
        <v>246</v>
      </c>
      <c r="D509" s="3" t="s">
        <v>109</v>
      </c>
      <c r="E509" s="4">
        <v>40</v>
      </c>
      <c r="F509" s="5">
        <f>IFERROR(3958.8*ACOS(MIN(1,MAX(-1,SIN(RADIANS('ZIP Coordinates'!$C$2))*SIN(RADIANS(INDEX('ZIP Coordinates'!$C:$C,MATCH($A509,'ZIP Coordinates'!$A:$A,0))))+COS(RADIANS('ZIP Coordinates'!$C$2))*COS(RADIANS(INDEX('ZIP Coordinates'!$C:$C,MATCH($A509,'ZIP Coordinates'!$A:$A,0))))*COS(RADIANS(INDEX('ZIP Coordinates'!$D:$D,MATCH($A509,'ZIP Coordinates'!$A:$A,0))-'ZIP Coordinates'!$D$2))))),"N/A")</f>
        <v>133.84218480102859</v>
      </c>
      <c r="G509" s="3" t="str">
        <f t="shared" si="14"/>
        <v>100-149 mi</v>
      </c>
      <c r="H509" s="27">
        <f>IF(RIGHT($B509,1)="P",1,IF(ISNUMBER(SEARCH("HALF GALLON",$C509)),Assumptions!$B$4,IF(ISNUMBER(SEARCH("GALLON",$C509)),Assumptions!$B$3,IF(ISNUMBER(SEARCH("QUART",$C509)),Assumptions!$B$5,IF(ISNUMBER(SEARCH("PINT",$C509)),Assumptions!$B$6,Assumptions!$B$7)))))</f>
        <v>1</v>
      </c>
      <c r="I509" s="27">
        <f t="shared" si="15"/>
        <v>40</v>
      </c>
    </row>
    <row r="510" spans="1:9" x14ac:dyDescent="0.2">
      <c r="A510" s="3" t="s">
        <v>27</v>
      </c>
      <c r="B510" s="3" t="s">
        <v>250</v>
      </c>
      <c r="C510" s="3" t="s">
        <v>249</v>
      </c>
      <c r="D510" s="3" t="s">
        <v>109</v>
      </c>
      <c r="E510" s="4">
        <v>40</v>
      </c>
      <c r="F510" s="5">
        <f>IFERROR(3958.8*ACOS(MIN(1,MAX(-1,SIN(RADIANS('ZIP Coordinates'!$C$2))*SIN(RADIANS(INDEX('ZIP Coordinates'!$C:$C,MATCH($A510,'ZIP Coordinates'!$A:$A,0))))+COS(RADIANS('ZIP Coordinates'!$C$2))*COS(RADIANS(INDEX('ZIP Coordinates'!$C:$C,MATCH($A510,'ZIP Coordinates'!$A:$A,0))))*COS(RADIANS(INDEX('ZIP Coordinates'!$D:$D,MATCH($A510,'ZIP Coordinates'!$A:$A,0))-'ZIP Coordinates'!$D$2))))),"N/A")</f>
        <v>133.84218480102859</v>
      </c>
      <c r="G510" s="3" t="str">
        <f t="shared" si="14"/>
        <v>100-149 mi</v>
      </c>
      <c r="H510" s="27">
        <f>IF(RIGHT($B510,1)="P",1,IF(ISNUMBER(SEARCH("HALF GALLON",$C510)),Assumptions!$B$4,IF(ISNUMBER(SEARCH("GALLON",$C510)),Assumptions!$B$3,IF(ISNUMBER(SEARCH("QUART",$C510)),Assumptions!$B$5,IF(ISNUMBER(SEARCH("PINT",$C510)),Assumptions!$B$6,Assumptions!$B$7)))))</f>
        <v>1</v>
      </c>
      <c r="I510" s="27">
        <f t="shared" si="15"/>
        <v>40</v>
      </c>
    </row>
    <row r="511" spans="1:9" x14ac:dyDescent="0.2">
      <c r="A511" s="3" t="s">
        <v>27</v>
      </c>
      <c r="B511" s="3" t="s">
        <v>251</v>
      </c>
      <c r="C511" s="3" t="s">
        <v>252</v>
      </c>
      <c r="D511" s="3" t="s">
        <v>109</v>
      </c>
      <c r="E511" s="4">
        <v>25</v>
      </c>
      <c r="F511" s="5">
        <f>IFERROR(3958.8*ACOS(MIN(1,MAX(-1,SIN(RADIANS('ZIP Coordinates'!$C$2))*SIN(RADIANS(INDEX('ZIP Coordinates'!$C:$C,MATCH($A511,'ZIP Coordinates'!$A:$A,0))))+COS(RADIANS('ZIP Coordinates'!$C$2))*COS(RADIANS(INDEX('ZIP Coordinates'!$C:$C,MATCH($A511,'ZIP Coordinates'!$A:$A,0))))*COS(RADIANS(INDEX('ZIP Coordinates'!$D:$D,MATCH($A511,'ZIP Coordinates'!$A:$A,0))-'ZIP Coordinates'!$D$2))))),"N/A")</f>
        <v>133.84218480102859</v>
      </c>
      <c r="G511" s="3" t="str">
        <f t="shared" si="14"/>
        <v>100-149 mi</v>
      </c>
      <c r="H511" s="27">
        <f>IF(RIGHT($B511,1)="P",1,IF(ISNUMBER(SEARCH("HALF GALLON",$C511)),Assumptions!$B$4,IF(ISNUMBER(SEARCH("GALLON",$C511)),Assumptions!$B$3,IF(ISNUMBER(SEARCH("QUART",$C511)),Assumptions!$B$5,IF(ISNUMBER(SEARCH("PINT",$C511)),Assumptions!$B$6,Assumptions!$B$7)))))</f>
        <v>1</v>
      </c>
      <c r="I511" s="27">
        <f t="shared" si="15"/>
        <v>25</v>
      </c>
    </row>
    <row r="512" spans="1:9" x14ac:dyDescent="0.2">
      <c r="A512" s="3" t="s">
        <v>27</v>
      </c>
      <c r="B512" s="3" t="s">
        <v>255</v>
      </c>
      <c r="C512" s="3" t="s">
        <v>256</v>
      </c>
      <c r="D512" s="3" t="s">
        <v>109</v>
      </c>
      <c r="E512" s="4">
        <v>5</v>
      </c>
      <c r="F512" s="5">
        <f>IFERROR(3958.8*ACOS(MIN(1,MAX(-1,SIN(RADIANS('ZIP Coordinates'!$C$2))*SIN(RADIANS(INDEX('ZIP Coordinates'!$C:$C,MATCH($A512,'ZIP Coordinates'!$A:$A,0))))+COS(RADIANS('ZIP Coordinates'!$C$2))*COS(RADIANS(INDEX('ZIP Coordinates'!$C:$C,MATCH($A512,'ZIP Coordinates'!$A:$A,0))))*COS(RADIANS(INDEX('ZIP Coordinates'!$D:$D,MATCH($A512,'ZIP Coordinates'!$A:$A,0))-'ZIP Coordinates'!$D$2))))),"N/A")</f>
        <v>133.84218480102859</v>
      </c>
      <c r="G512" s="3" t="str">
        <f t="shared" si="14"/>
        <v>100-149 mi</v>
      </c>
      <c r="H512" s="27">
        <f>IF(RIGHT($B512,1)="P",1,IF(ISNUMBER(SEARCH("HALF GALLON",$C512)),Assumptions!$B$4,IF(ISNUMBER(SEARCH("GALLON",$C512)),Assumptions!$B$3,IF(ISNUMBER(SEARCH("QUART",$C512)),Assumptions!$B$5,IF(ISNUMBER(SEARCH("PINT",$C512)),Assumptions!$B$6,Assumptions!$B$7)))))</f>
        <v>20</v>
      </c>
      <c r="I512" s="27">
        <f t="shared" si="15"/>
        <v>100</v>
      </c>
    </row>
    <row r="513" spans="1:9" x14ac:dyDescent="0.2">
      <c r="A513" s="3" t="s">
        <v>27</v>
      </c>
      <c r="B513" s="3" t="s">
        <v>257</v>
      </c>
      <c r="C513" s="3" t="s">
        <v>256</v>
      </c>
      <c r="D513" s="3" t="s">
        <v>109</v>
      </c>
      <c r="E513" s="4">
        <v>30</v>
      </c>
      <c r="F513" s="5">
        <f>IFERROR(3958.8*ACOS(MIN(1,MAX(-1,SIN(RADIANS('ZIP Coordinates'!$C$2))*SIN(RADIANS(INDEX('ZIP Coordinates'!$C:$C,MATCH($A513,'ZIP Coordinates'!$A:$A,0))))+COS(RADIANS('ZIP Coordinates'!$C$2))*COS(RADIANS(INDEX('ZIP Coordinates'!$C:$C,MATCH($A513,'ZIP Coordinates'!$A:$A,0))))*COS(RADIANS(INDEX('ZIP Coordinates'!$D:$D,MATCH($A513,'ZIP Coordinates'!$A:$A,0))-'ZIP Coordinates'!$D$2))))),"N/A")</f>
        <v>133.84218480102859</v>
      </c>
      <c r="G513" s="3" t="str">
        <f t="shared" si="14"/>
        <v>100-149 mi</v>
      </c>
      <c r="H513" s="27">
        <f>IF(RIGHT($B513,1)="P",1,IF(ISNUMBER(SEARCH("HALF GALLON",$C513)),Assumptions!$B$4,IF(ISNUMBER(SEARCH("GALLON",$C513)),Assumptions!$B$3,IF(ISNUMBER(SEARCH("QUART",$C513)),Assumptions!$B$5,IF(ISNUMBER(SEARCH("PINT",$C513)),Assumptions!$B$6,Assumptions!$B$7)))))</f>
        <v>1</v>
      </c>
      <c r="I513" s="27">
        <f t="shared" si="15"/>
        <v>30</v>
      </c>
    </row>
    <row r="514" spans="1:9" x14ac:dyDescent="0.2">
      <c r="A514" s="3" t="s">
        <v>28</v>
      </c>
      <c r="B514" s="3" t="s">
        <v>239</v>
      </c>
      <c r="C514" s="3" t="s">
        <v>240</v>
      </c>
      <c r="D514" s="3" t="s">
        <v>198</v>
      </c>
      <c r="E514" s="4">
        <v>11</v>
      </c>
      <c r="F514" s="5">
        <f>IFERROR(3958.8*ACOS(MIN(1,MAX(-1,SIN(RADIANS('ZIP Coordinates'!$C$2))*SIN(RADIANS(INDEX('ZIP Coordinates'!$C:$C,MATCH($A514,'ZIP Coordinates'!$A:$A,0))))+COS(RADIANS('ZIP Coordinates'!$C$2))*COS(RADIANS(INDEX('ZIP Coordinates'!$C:$C,MATCH($A514,'ZIP Coordinates'!$A:$A,0))))*COS(RADIANS(INDEX('ZIP Coordinates'!$D:$D,MATCH($A514,'ZIP Coordinates'!$A:$A,0))-'ZIP Coordinates'!$D$2))))),"N/A")</f>
        <v>146.62233132851182</v>
      </c>
      <c r="G514" s="3" t="str">
        <f t="shared" ref="G514:G577" si="16">IF($F514="N/A","Unknown",IF($F514&lt;50,"0-49 mi",IF($F514&lt;100,"50-99 mi",IF($F514&lt;150,"100-149 mi",IF($F514&lt;200,"150-199 mi","200+ mi")))))</f>
        <v>100-149 mi</v>
      </c>
      <c r="H514" s="27">
        <f>IF(RIGHT($B514,1)="P",1,IF(ISNUMBER(SEARCH("HALF GALLON",$C514)),Assumptions!$B$4,IF(ISNUMBER(SEARCH("GALLON",$C514)),Assumptions!$B$3,IF(ISNUMBER(SEARCH("QUART",$C514)),Assumptions!$B$5,IF(ISNUMBER(SEARCH("PINT",$C514)),Assumptions!$B$6,Assumptions!$B$7)))))</f>
        <v>1</v>
      </c>
      <c r="I514" s="27">
        <f t="shared" si="15"/>
        <v>11</v>
      </c>
    </row>
    <row r="515" spans="1:9" x14ac:dyDescent="0.2">
      <c r="A515" s="3" t="s">
        <v>28</v>
      </c>
      <c r="B515" s="3" t="s">
        <v>261</v>
      </c>
      <c r="C515" s="3" t="s">
        <v>260</v>
      </c>
      <c r="D515" s="3" t="s">
        <v>119</v>
      </c>
      <c r="E515" s="4">
        <v>12</v>
      </c>
      <c r="F515" s="5">
        <f>IFERROR(3958.8*ACOS(MIN(1,MAX(-1,SIN(RADIANS('ZIP Coordinates'!$C$2))*SIN(RADIANS(INDEX('ZIP Coordinates'!$C:$C,MATCH($A515,'ZIP Coordinates'!$A:$A,0))))+COS(RADIANS('ZIP Coordinates'!$C$2))*COS(RADIANS(INDEX('ZIP Coordinates'!$C:$C,MATCH($A515,'ZIP Coordinates'!$A:$A,0))))*COS(RADIANS(INDEX('ZIP Coordinates'!$D:$D,MATCH($A515,'ZIP Coordinates'!$A:$A,0))-'ZIP Coordinates'!$D$2))))),"N/A")</f>
        <v>146.62233132851182</v>
      </c>
      <c r="G515" s="3" t="str">
        <f t="shared" si="16"/>
        <v>100-149 mi</v>
      </c>
      <c r="H515" s="27">
        <f>IF(RIGHT($B515,1)="P",1,IF(ISNUMBER(SEARCH("HALF GALLON",$C515)),Assumptions!$B$4,IF(ISNUMBER(SEARCH("GALLON",$C515)),Assumptions!$B$3,IF(ISNUMBER(SEARCH("QUART",$C515)),Assumptions!$B$5,IF(ISNUMBER(SEARCH("PINT",$C515)),Assumptions!$B$6,Assumptions!$B$7)))))</f>
        <v>1</v>
      </c>
      <c r="I515" s="27">
        <f t="shared" ref="I515:I578" si="17">$E515*$H515</f>
        <v>12</v>
      </c>
    </row>
    <row r="516" spans="1:9" x14ac:dyDescent="0.2">
      <c r="A516" s="3" t="s">
        <v>28</v>
      </c>
      <c r="B516" s="3" t="s">
        <v>241</v>
      </c>
      <c r="C516" s="3" t="s">
        <v>242</v>
      </c>
      <c r="D516" s="3" t="s">
        <v>119</v>
      </c>
      <c r="E516" s="4">
        <v>10</v>
      </c>
      <c r="F516" s="5">
        <f>IFERROR(3958.8*ACOS(MIN(1,MAX(-1,SIN(RADIANS('ZIP Coordinates'!$C$2))*SIN(RADIANS(INDEX('ZIP Coordinates'!$C:$C,MATCH($A516,'ZIP Coordinates'!$A:$A,0))))+COS(RADIANS('ZIP Coordinates'!$C$2))*COS(RADIANS(INDEX('ZIP Coordinates'!$C:$C,MATCH($A516,'ZIP Coordinates'!$A:$A,0))))*COS(RADIANS(INDEX('ZIP Coordinates'!$D:$D,MATCH($A516,'ZIP Coordinates'!$A:$A,0))-'ZIP Coordinates'!$D$2))))),"N/A")</f>
        <v>146.62233132851182</v>
      </c>
      <c r="G516" s="3" t="str">
        <f t="shared" si="16"/>
        <v>100-149 mi</v>
      </c>
      <c r="H516" s="27">
        <f>IF(RIGHT($B516,1)="P",1,IF(ISNUMBER(SEARCH("HALF GALLON",$C516)),Assumptions!$B$4,IF(ISNUMBER(SEARCH("GALLON",$C516)),Assumptions!$B$3,IF(ISNUMBER(SEARCH("QUART",$C516)),Assumptions!$B$5,IF(ISNUMBER(SEARCH("PINT",$C516)),Assumptions!$B$6,Assumptions!$B$7)))))</f>
        <v>1</v>
      </c>
      <c r="I516" s="27">
        <f t="shared" si="17"/>
        <v>10</v>
      </c>
    </row>
    <row r="517" spans="1:9" x14ac:dyDescent="0.2">
      <c r="A517" s="3" t="s">
        <v>28</v>
      </c>
      <c r="B517" s="3" t="s">
        <v>243</v>
      </c>
      <c r="C517" s="3" t="s">
        <v>244</v>
      </c>
      <c r="D517" s="3" t="s">
        <v>119</v>
      </c>
      <c r="E517" s="4">
        <v>10</v>
      </c>
      <c r="F517" s="5">
        <f>IFERROR(3958.8*ACOS(MIN(1,MAX(-1,SIN(RADIANS('ZIP Coordinates'!$C$2))*SIN(RADIANS(INDEX('ZIP Coordinates'!$C:$C,MATCH($A517,'ZIP Coordinates'!$A:$A,0))))+COS(RADIANS('ZIP Coordinates'!$C$2))*COS(RADIANS(INDEX('ZIP Coordinates'!$C:$C,MATCH($A517,'ZIP Coordinates'!$A:$A,0))))*COS(RADIANS(INDEX('ZIP Coordinates'!$D:$D,MATCH($A517,'ZIP Coordinates'!$A:$A,0))-'ZIP Coordinates'!$D$2))))),"N/A")</f>
        <v>146.62233132851182</v>
      </c>
      <c r="G517" s="3" t="str">
        <f t="shared" si="16"/>
        <v>100-149 mi</v>
      </c>
      <c r="H517" s="27">
        <f>IF(RIGHT($B517,1)="P",1,IF(ISNUMBER(SEARCH("HALF GALLON",$C517)),Assumptions!$B$4,IF(ISNUMBER(SEARCH("GALLON",$C517)),Assumptions!$B$3,IF(ISNUMBER(SEARCH("QUART",$C517)),Assumptions!$B$5,IF(ISNUMBER(SEARCH("PINT",$C517)),Assumptions!$B$6,Assumptions!$B$7)))))</f>
        <v>1</v>
      </c>
      <c r="I517" s="27">
        <f t="shared" si="17"/>
        <v>10</v>
      </c>
    </row>
    <row r="518" spans="1:9" x14ac:dyDescent="0.2">
      <c r="A518" s="3" t="s">
        <v>28</v>
      </c>
      <c r="B518" s="3" t="s">
        <v>276</v>
      </c>
      <c r="C518" s="3" t="s">
        <v>275</v>
      </c>
      <c r="D518" s="3" t="s">
        <v>119</v>
      </c>
      <c r="E518" s="4">
        <v>10</v>
      </c>
      <c r="F518" s="5">
        <f>IFERROR(3958.8*ACOS(MIN(1,MAX(-1,SIN(RADIANS('ZIP Coordinates'!$C$2))*SIN(RADIANS(INDEX('ZIP Coordinates'!$C:$C,MATCH($A518,'ZIP Coordinates'!$A:$A,0))))+COS(RADIANS('ZIP Coordinates'!$C$2))*COS(RADIANS(INDEX('ZIP Coordinates'!$C:$C,MATCH($A518,'ZIP Coordinates'!$A:$A,0))))*COS(RADIANS(INDEX('ZIP Coordinates'!$D:$D,MATCH($A518,'ZIP Coordinates'!$A:$A,0))-'ZIP Coordinates'!$D$2))))),"N/A")</f>
        <v>146.62233132851182</v>
      </c>
      <c r="G518" s="3" t="str">
        <f t="shared" si="16"/>
        <v>100-149 mi</v>
      </c>
      <c r="H518" s="27">
        <f>IF(RIGHT($B518,1)="P",1,IF(ISNUMBER(SEARCH("HALF GALLON",$C518)),Assumptions!$B$4,IF(ISNUMBER(SEARCH("GALLON",$C518)),Assumptions!$B$3,IF(ISNUMBER(SEARCH("QUART",$C518)),Assumptions!$B$5,IF(ISNUMBER(SEARCH("PINT",$C518)),Assumptions!$B$6,Assumptions!$B$7)))))</f>
        <v>1</v>
      </c>
      <c r="I518" s="27">
        <f t="shared" si="17"/>
        <v>10</v>
      </c>
    </row>
    <row r="519" spans="1:9" x14ac:dyDescent="0.2">
      <c r="A519" s="3" t="s">
        <v>28</v>
      </c>
      <c r="B519" s="3" t="s">
        <v>245</v>
      </c>
      <c r="C519" s="3" t="s">
        <v>246</v>
      </c>
      <c r="D519" s="3" t="s">
        <v>119</v>
      </c>
      <c r="E519" s="4">
        <v>1</v>
      </c>
      <c r="F519" s="5">
        <f>IFERROR(3958.8*ACOS(MIN(1,MAX(-1,SIN(RADIANS('ZIP Coordinates'!$C$2))*SIN(RADIANS(INDEX('ZIP Coordinates'!$C:$C,MATCH($A519,'ZIP Coordinates'!$A:$A,0))))+COS(RADIANS('ZIP Coordinates'!$C$2))*COS(RADIANS(INDEX('ZIP Coordinates'!$C:$C,MATCH($A519,'ZIP Coordinates'!$A:$A,0))))*COS(RADIANS(INDEX('ZIP Coordinates'!$D:$D,MATCH($A519,'ZIP Coordinates'!$A:$A,0))-'ZIP Coordinates'!$D$2))))),"N/A")</f>
        <v>146.62233132851182</v>
      </c>
      <c r="G519" s="3" t="str">
        <f t="shared" si="16"/>
        <v>100-149 mi</v>
      </c>
      <c r="H519" s="27">
        <f>IF(RIGHT($B519,1)="P",1,IF(ISNUMBER(SEARCH("HALF GALLON",$C519)),Assumptions!$B$4,IF(ISNUMBER(SEARCH("GALLON",$C519)),Assumptions!$B$3,IF(ISNUMBER(SEARCH("QUART",$C519)),Assumptions!$B$5,IF(ISNUMBER(SEARCH("PINT",$C519)),Assumptions!$B$6,Assumptions!$B$7)))))</f>
        <v>20</v>
      </c>
      <c r="I519" s="27">
        <f t="shared" si="17"/>
        <v>20</v>
      </c>
    </row>
    <row r="520" spans="1:9" x14ac:dyDescent="0.2">
      <c r="A520" s="3" t="s">
        <v>28</v>
      </c>
      <c r="B520" s="3" t="s">
        <v>247</v>
      </c>
      <c r="C520" s="3" t="s">
        <v>246</v>
      </c>
      <c r="D520" s="3" t="s">
        <v>119</v>
      </c>
      <c r="E520" s="4">
        <v>113</v>
      </c>
      <c r="F520" s="5">
        <f>IFERROR(3958.8*ACOS(MIN(1,MAX(-1,SIN(RADIANS('ZIP Coordinates'!$C$2))*SIN(RADIANS(INDEX('ZIP Coordinates'!$C:$C,MATCH($A520,'ZIP Coordinates'!$A:$A,0))))+COS(RADIANS('ZIP Coordinates'!$C$2))*COS(RADIANS(INDEX('ZIP Coordinates'!$C:$C,MATCH($A520,'ZIP Coordinates'!$A:$A,0))))*COS(RADIANS(INDEX('ZIP Coordinates'!$D:$D,MATCH($A520,'ZIP Coordinates'!$A:$A,0))-'ZIP Coordinates'!$D$2))))),"N/A")</f>
        <v>146.62233132851182</v>
      </c>
      <c r="G520" s="3" t="str">
        <f t="shared" si="16"/>
        <v>100-149 mi</v>
      </c>
      <c r="H520" s="27">
        <f>IF(RIGHT($B520,1)="P",1,IF(ISNUMBER(SEARCH("HALF GALLON",$C520)),Assumptions!$B$4,IF(ISNUMBER(SEARCH("GALLON",$C520)),Assumptions!$B$3,IF(ISNUMBER(SEARCH("QUART",$C520)),Assumptions!$B$5,IF(ISNUMBER(SEARCH("PINT",$C520)),Assumptions!$B$6,Assumptions!$B$7)))))</f>
        <v>1</v>
      </c>
      <c r="I520" s="27">
        <f t="shared" si="17"/>
        <v>113</v>
      </c>
    </row>
    <row r="521" spans="1:9" x14ac:dyDescent="0.2">
      <c r="A521" s="3" t="s">
        <v>28</v>
      </c>
      <c r="B521" s="3" t="s">
        <v>250</v>
      </c>
      <c r="C521" s="3" t="s">
        <v>249</v>
      </c>
      <c r="D521" s="3" t="s">
        <v>119</v>
      </c>
      <c r="E521" s="4">
        <v>123</v>
      </c>
      <c r="F521" s="5">
        <f>IFERROR(3958.8*ACOS(MIN(1,MAX(-1,SIN(RADIANS('ZIP Coordinates'!$C$2))*SIN(RADIANS(INDEX('ZIP Coordinates'!$C:$C,MATCH($A521,'ZIP Coordinates'!$A:$A,0))))+COS(RADIANS('ZIP Coordinates'!$C$2))*COS(RADIANS(INDEX('ZIP Coordinates'!$C:$C,MATCH($A521,'ZIP Coordinates'!$A:$A,0))))*COS(RADIANS(INDEX('ZIP Coordinates'!$D:$D,MATCH($A521,'ZIP Coordinates'!$A:$A,0))-'ZIP Coordinates'!$D$2))))),"N/A")</f>
        <v>146.62233132851182</v>
      </c>
      <c r="G521" s="3" t="str">
        <f t="shared" si="16"/>
        <v>100-149 mi</v>
      </c>
      <c r="H521" s="27">
        <f>IF(RIGHT($B521,1)="P",1,IF(ISNUMBER(SEARCH("HALF GALLON",$C521)),Assumptions!$B$4,IF(ISNUMBER(SEARCH("GALLON",$C521)),Assumptions!$B$3,IF(ISNUMBER(SEARCH("QUART",$C521)),Assumptions!$B$5,IF(ISNUMBER(SEARCH("PINT",$C521)),Assumptions!$B$6,Assumptions!$B$7)))))</f>
        <v>1</v>
      </c>
      <c r="I521" s="27">
        <f t="shared" si="17"/>
        <v>123</v>
      </c>
    </row>
    <row r="522" spans="1:9" x14ac:dyDescent="0.2">
      <c r="A522" s="3" t="s">
        <v>28</v>
      </c>
      <c r="B522" s="3" t="s">
        <v>251</v>
      </c>
      <c r="C522" s="3" t="s">
        <v>252</v>
      </c>
      <c r="D522" s="3" t="s">
        <v>119</v>
      </c>
      <c r="E522" s="4">
        <v>67</v>
      </c>
      <c r="F522" s="5">
        <f>IFERROR(3958.8*ACOS(MIN(1,MAX(-1,SIN(RADIANS('ZIP Coordinates'!$C$2))*SIN(RADIANS(INDEX('ZIP Coordinates'!$C:$C,MATCH($A522,'ZIP Coordinates'!$A:$A,0))))+COS(RADIANS('ZIP Coordinates'!$C$2))*COS(RADIANS(INDEX('ZIP Coordinates'!$C:$C,MATCH($A522,'ZIP Coordinates'!$A:$A,0))))*COS(RADIANS(INDEX('ZIP Coordinates'!$D:$D,MATCH($A522,'ZIP Coordinates'!$A:$A,0))-'ZIP Coordinates'!$D$2))))),"N/A")</f>
        <v>146.62233132851182</v>
      </c>
      <c r="G522" s="3" t="str">
        <f t="shared" si="16"/>
        <v>100-149 mi</v>
      </c>
      <c r="H522" s="27">
        <f>IF(RIGHT($B522,1)="P",1,IF(ISNUMBER(SEARCH("HALF GALLON",$C522)),Assumptions!$B$4,IF(ISNUMBER(SEARCH("GALLON",$C522)),Assumptions!$B$3,IF(ISNUMBER(SEARCH("QUART",$C522)),Assumptions!$B$5,IF(ISNUMBER(SEARCH("PINT",$C522)),Assumptions!$B$6,Assumptions!$B$7)))))</f>
        <v>1</v>
      </c>
      <c r="I522" s="27">
        <f t="shared" si="17"/>
        <v>67</v>
      </c>
    </row>
    <row r="523" spans="1:9" x14ac:dyDescent="0.2">
      <c r="A523" s="3" t="s">
        <v>28</v>
      </c>
      <c r="B523" s="3" t="s">
        <v>255</v>
      </c>
      <c r="C523" s="3" t="s">
        <v>256</v>
      </c>
      <c r="D523" s="3" t="s">
        <v>119</v>
      </c>
      <c r="E523" s="4">
        <v>8</v>
      </c>
      <c r="F523" s="5">
        <f>IFERROR(3958.8*ACOS(MIN(1,MAX(-1,SIN(RADIANS('ZIP Coordinates'!$C$2))*SIN(RADIANS(INDEX('ZIP Coordinates'!$C:$C,MATCH($A523,'ZIP Coordinates'!$A:$A,0))))+COS(RADIANS('ZIP Coordinates'!$C$2))*COS(RADIANS(INDEX('ZIP Coordinates'!$C:$C,MATCH($A523,'ZIP Coordinates'!$A:$A,0))))*COS(RADIANS(INDEX('ZIP Coordinates'!$D:$D,MATCH($A523,'ZIP Coordinates'!$A:$A,0))-'ZIP Coordinates'!$D$2))))),"N/A")</f>
        <v>146.62233132851182</v>
      </c>
      <c r="G523" s="3" t="str">
        <f t="shared" si="16"/>
        <v>100-149 mi</v>
      </c>
      <c r="H523" s="27">
        <f>IF(RIGHT($B523,1)="P",1,IF(ISNUMBER(SEARCH("HALF GALLON",$C523)),Assumptions!$B$4,IF(ISNUMBER(SEARCH("GALLON",$C523)),Assumptions!$B$3,IF(ISNUMBER(SEARCH("QUART",$C523)),Assumptions!$B$5,IF(ISNUMBER(SEARCH("PINT",$C523)),Assumptions!$B$6,Assumptions!$B$7)))))</f>
        <v>20</v>
      </c>
      <c r="I523" s="27">
        <f t="shared" si="17"/>
        <v>160</v>
      </c>
    </row>
    <row r="524" spans="1:9" x14ac:dyDescent="0.2">
      <c r="A524" s="3" t="s">
        <v>28</v>
      </c>
      <c r="B524" s="3" t="s">
        <v>257</v>
      </c>
      <c r="C524" s="3" t="s">
        <v>256</v>
      </c>
      <c r="D524" s="3" t="s">
        <v>119</v>
      </c>
      <c r="E524" s="4">
        <v>31</v>
      </c>
      <c r="F524" s="5">
        <f>IFERROR(3958.8*ACOS(MIN(1,MAX(-1,SIN(RADIANS('ZIP Coordinates'!$C$2))*SIN(RADIANS(INDEX('ZIP Coordinates'!$C:$C,MATCH($A524,'ZIP Coordinates'!$A:$A,0))))+COS(RADIANS('ZIP Coordinates'!$C$2))*COS(RADIANS(INDEX('ZIP Coordinates'!$C:$C,MATCH($A524,'ZIP Coordinates'!$A:$A,0))))*COS(RADIANS(INDEX('ZIP Coordinates'!$D:$D,MATCH($A524,'ZIP Coordinates'!$A:$A,0))-'ZIP Coordinates'!$D$2))))),"N/A")</f>
        <v>146.62233132851182</v>
      </c>
      <c r="G524" s="3" t="str">
        <f t="shared" si="16"/>
        <v>100-149 mi</v>
      </c>
      <c r="H524" s="27">
        <f>IF(RIGHT($B524,1)="P",1,IF(ISNUMBER(SEARCH("HALF GALLON",$C524)),Assumptions!$B$4,IF(ISNUMBER(SEARCH("GALLON",$C524)),Assumptions!$B$3,IF(ISNUMBER(SEARCH("QUART",$C524)),Assumptions!$B$5,IF(ISNUMBER(SEARCH("PINT",$C524)),Assumptions!$B$6,Assumptions!$B$7)))))</f>
        <v>1</v>
      </c>
      <c r="I524" s="27">
        <f t="shared" si="17"/>
        <v>31</v>
      </c>
    </row>
    <row r="525" spans="1:9" x14ac:dyDescent="0.2">
      <c r="A525" s="3" t="s">
        <v>29</v>
      </c>
      <c r="B525" s="3" t="s">
        <v>258</v>
      </c>
      <c r="C525" s="3" t="s">
        <v>240</v>
      </c>
      <c r="D525" s="3" t="s">
        <v>191</v>
      </c>
      <c r="E525" s="4">
        <v>15</v>
      </c>
      <c r="F525" s="5">
        <f>IFERROR(3958.8*ACOS(MIN(1,MAX(-1,SIN(RADIANS('ZIP Coordinates'!$C$2))*SIN(RADIANS(INDEX('ZIP Coordinates'!$C:$C,MATCH($A525,'ZIP Coordinates'!$A:$A,0))))+COS(RADIANS('ZIP Coordinates'!$C$2))*COS(RADIANS(INDEX('ZIP Coordinates'!$C:$C,MATCH($A525,'ZIP Coordinates'!$A:$A,0))))*COS(RADIANS(INDEX('ZIP Coordinates'!$D:$D,MATCH($A525,'ZIP Coordinates'!$A:$A,0))-'ZIP Coordinates'!$D$2))))),"N/A")</f>
        <v>143.73270700152293</v>
      </c>
      <c r="G525" s="3" t="str">
        <f t="shared" si="16"/>
        <v>100-149 mi</v>
      </c>
      <c r="H525" s="27">
        <f>IF(RIGHT($B525,1)="P",1,IF(ISNUMBER(SEARCH("HALF GALLON",$C525)),Assumptions!$B$4,IF(ISNUMBER(SEARCH("GALLON",$C525)),Assumptions!$B$3,IF(ISNUMBER(SEARCH("QUART",$C525)),Assumptions!$B$5,IF(ISNUMBER(SEARCH("PINT",$C525)),Assumptions!$B$6,Assumptions!$B$7)))))</f>
        <v>4</v>
      </c>
      <c r="I525" s="27">
        <f t="shared" si="17"/>
        <v>60</v>
      </c>
    </row>
    <row r="526" spans="1:9" x14ac:dyDescent="0.2">
      <c r="A526" s="3" t="s">
        <v>30</v>
      </c>
      <c r="B526" s="3" t="s">
        <v>248</v>
      </c>
      <c r="C526" s="3" t="s">
        <v>249</v>
      </c>
      <c r="D526" s="3" t="s">
        <v>154</v>
      </c>
      <c r="E526" s="4">
        <v>9</v>
      </c>
      <c r="F526" s="5">
        <f>IFERROR(3958.8*ACOS(MIN(1,MAX(-1,SIN(RADIANS('ZIP Coordinates'!$C$2))*SIN(RADIANS(INDEX('ZIP Coordinates'!$C:$C,MATCH($A526,'ZIP Coordinates'!$A:$A,0))))+COS(RADIANS('ZIP Coordinates'!$C$2))*COS(RADIANS(INDEX('ZIP Coordinates'!$C:$C,MATCH($A526,'ZIP Coordinates'!$A:$A,0))))*COS(RADIANS(INDEX('ZIP Coordinates'!$D:$D,MATCH($A526,'ZIP Coordinates'!$A:$A,0))-'ZIP Coordinates'!$D$2))))),"N/A")</f>
        <v>158.91789379300721</v>
      </c>
      <c r="G526" s="3" t="str">
        <f t="shared" si="16"/>
        <v>150-199 mi</v>
      </c>
      <c r="H526" s="27">
        <f>IF(RIGHT($B526,1)="P",1,IF(ISNUMBER(SEARCH("HALF GALLON",$C526)),Assumptions!$B$4,IF(ISNUMBER(SEARCH("GALLON",$C526)),Assumptions!$B$3,IF(ISNUMBER(SEARCH("QUART",$C526)),Assumptions!$B$5,IF(ISNUMBER(SEARCH("PINT",$C526)),Assumptions!$B$6,Assumptions!$B$7)))))</f>
        <v>20</v>
      </c>
      <c r="I526" s="27">
        <f t="shared" si="17"/>
        <v>180</v>
      </c>
    </row>
    <row r="527" spans="1:9" x14ac:dyDescent="0.2">
      <c r="A527" s="3" t="s">
        <v>30</v>
      </c>
      <c r="B527" s="3" t="s">
        <v>281</v>
      </c>
      <c r="C527" s="3" t="s">
        <v>252</v>
      </c>
      <c r="D527" s="3" t="s">
        <v>154</v>
      </c>
      <c r="E527" s="4">
        <v>3</v>
      </c>
      <c r="F527" s="5">
        <f>IFERROR(3958.8*ACOS(MIN(1,MAX(-1,SIN(RADIANS('ZIP Coordinates'!$C$2))*SIN(RADIANS(INDEX('ZIP Coordinates'!$C:$C,MATCH($A527,'ZIP Coordinates'!$A:$A,0))))+COS(RADIANS('ZIP Coordinates'!$C$2))*COS(RADIANS(INDEX('ZIP Coordinates'!$C:$C,MATCH($A527,'ZIP Coordinates'!$A:$A,0))))*COS(RADIANS(INDEX('ZIP Coordinates'!$D:$D,MATCH($A527,'ZIP Coordinates'!$A:$A,0))-'ZIP Coordinates'!$D$2))))),"N/A")</f>
        <v>158.91789379300721</v>
      </c>
      <c r="G527" s="3" t="str">
        <f t="shared" si="16"/>
        <v>150-199 mi</v>
      </c>
      <c r="H527" s="27">
        <f>IF(RIGHT($B527,1)="P",1,IF(ISNUMBER(SEARCH("HALF GALLON",$C527)),Assumptions!$B$4,IF(ISNUMBER(SEARCH("GALLON",$C527)),Assumptions!$B$3,IF(ISNUMBER(SEARCH("QUART",$C527)),Assumptions!$B$5,IF(ISNUMBER(SEARCH("PINT",$C527)),Assumptions!$B$6,Assumptions!$B$7)))))</f>
        <v>20</v>
      </c>
      <c r="I527" s="27">
        <f t="shared" si="17"/>
        <v>60</v>
      </c>
    </row>
    <row r="528" spans="1:9" x14ac:dyDescent="0.2">
      <c r="A528" s="3" t="s">
        <v>30</v>
      </c>
      <c r="B528" s="3" t="s">
        <v>251</v>
      </c>
      <c r="C528" s="3" t="s">
        <v>252</v>
      </c>
      <c r="D528" s="3" t="s">
        <v>154</v>
      </c>
      <c r="E528" s="4">
        <v>64</v>
      </c>
      <c r="F528" s="5">
        <f>IFERROR(3958.8*ACOS(MIN(1,MAX(-1,SIN(RADIANS('ZIP Coordinates'!$C$2))*SIN(RADIANS(INDEX('ZIP Coordinates'!$C:$C,MATCH($A528,'ZIP Coordinates'!$A:$A,0))))+COS(RADIANS('ZIP Coordinates'!$C$2))*COS(RADIANS(INDEX('ZIP Coordinates'!$C:$C,MATCH($A528,'ZIP Coordinates'!$A:$A,0))))*COS(RADIANS(INDEX('ZIP Coordinates'!$D:$D,MATCH($A528,'ZIP Coordinates'!$A:$A,0))-'ZIP Coordinates'!$D$2))))),"N/A")</f>
        <v>158.91789379300721</v>
      </c>
      <c r="G528" s="3" t="str">
        <f t="shared" si="16"/>
        <v>150-199 mi</v>
      </c>
      <c r="H528" s="27">
        <f>IF(RIGHT($B528,1)="P",1,IF(ISNUMBER(SEARCH("HALF GALLON",$C528)),Assumptions!$B$4,IF(ISNUMBER(SEARCH("GALLON",$C528)),Assumptions!$B$3,IF(ISNUMBER(SEARCH("QUART",$C528)),Assumptions!$B$5,IF(ISNUMBER(SEARCH("PINT",$C528)),Assumptions!$B$6,Assumptions!$B$7)))))</f>
        <v>1</v>
      </c>
      <c r="I528" s="27">
        <f t="shared" si="17"/>
        <v>64</v>
      </c>
    </row>
    <row r="529" spans="1:9" x14ac:dyDescent="0.2">
      <c r="A529" s="3" t="s">
        <v>30</v>
      </c>
      <c r="B529" s="3" t="s">
        <v>255</v>
      </c>
      <c r="C529" s="3" t="s">
        <v>256</v>
      </c>
      <c r="D529" s="3" t="s">
        <v>154</v>
      </c>
      <c r="E529" s="4">
        <v>17</v>
      </c>
      <c r="F529" s="5">
        <f>IFERROR(3958.8*ACOS(MIN(1,MAX(-1,SIN(RADIANS('ZIP Coordinates'!$C$2))*SIN(RADIANS(INDEX('ZIP Coordinates'!$C:$C,MATCH($A529,'ZIP Coordinates'!$A:$A,0))))+COS(RADIANS('ZIP Coordinates'!$C$2))*COS(RADIANS(INDEX('ZIP Coordinates'!$C:$C,MATCH($A529,'ZIP Coordinates'!$A:$A,0))))*COS(RADIANS(INDEX('ZIP Coordinates'!$D:$D,MATCH($A529,'ZIP Coordinates'!$A:$A,0))-'ZIP Coordinates'!$D$2))))),"N/A")</f>
        <v>158.91789379300721</v>
      </c>
      <c r="G529" s="3" t="str">
        <f t="shared" si="16"/>
        <v>150-199 mi</v>
      </c>
      <c r="H529" s="27">
        <f>IF(RIGHT($B529,1)="P",1,IF(ISNUMBER(SEARCH("HALF GALLON",$C529)),Assumptions!$B$4,IF(ISNUMBER(SEARCH("GALLON",$C529)),Assumptions!$B$3,IF(ISNUMBER(SEARCH("QUART",$C529)),Assumptions!$B$5,IF(ISNUMBER(SEARCH("PINT",$C529)),Assumptions!$B$6,Assumptions!$B$7)))))</f>
        <v>20</v>
      </c>
      <c r="I529" s="27">
        <f t="shared" si="17"/>
        <v>340</v>
      </c>
    </row>
    <row r="530" spans="1:9" x14ac:dyDescent="0.2">
      <c r="A530" s="3" t="s">
        <v>31</v>
      </c>
      <c r="B530" s="3" t="s">
        <v>261</v>
      </c>
      <c r="C530" s="3" t="s">
        <v>260</v>
      </c>
      <c r="D530" s="3" t="s">
        <v>136</v>
      </c>
      <c r="E530" s="4">
        <v>15</v>
      </c>
      <c r="F530" s="5">
        <f>IFERROR(3958.8*ACOS(MIN(1,MAX(-1,SIN(RADIANS('ZIP Coordinates'!$C$2))*SIN(RADIANS(INDEX('ZIP Coordinates'!$C:$C,MATCH($A530,'ZIP Coordinates'!$A:$A,0))))+COS(RADIANS('ZIP Coordinates'!$C$2))*COS(RADIANS(INDEX('ZIP Coordinates'!$C:$C,MATCH($A530,'ZIP Coordinates'!$A:$A,0))))*COS(RADIANS(INDEX('ZIP Coordinates'!$D:$D,MATCH($A530,'ZIP Coordinates'!$A:$A,0))-'ZIP Coordinates'!$D$2))))),"N/A")</f>
        <v>147.51382379737242</v>
      </c>
      <c r="G530" s="3" t="str">
        <f t="shared" si="16"/>
        <v>100-149 mi</v>
      </c>
      <c r="H530" s="27">
        <f>IF(RIGHT($B530,1)="P",1,IF(ISNUMBER(SEARCH("HALF GALLON",$C530)),Assumptions!$B$4,IF(ISNUMBER(SEARCH("GALLON",$C530)),Assumptions!$B$3,IF(ISNUMBER(SEARCH("QUART",$C530)),Assumptions!$B$5,IF(ISNUMBER(SEARCH("PINT",$C530)),Assumptions!$B$6,Assumptions!$B$7)))))</f>
        <v>1</v>
      </c>
      <c r="I530" s="27">
        <f t="shared" si="17"/>
        <v>15</v>
      </c>
    </row>
    <row r="531" spans="1:9" x14ac:dyDescent="0.2">
      <c r="A531" s="3" t="s">
        <v>31</v>
      </c>
      <c r="B531" s="3" t="s">
        <v>241</v>
      </c>
      <c r="C531" s="3" t="s">
        <v>242</v>
      </c>
      <c r="D531" s="3" t="s">
        <v>136</v>
      </c>
      <c r="E531" s="4">
        <v>18</v>
      </c>
      <c r="F531" s="5">
        <f>IFERROR(3958.8*ACOS(MIN(1,MAX(-1,SIN(RADIANS('ZIP Coordinates'!$C$2))*SIN(RADIANS(INDEX('ZIP Coordinates'!$C:$C,MATCH($A531,'ZIP Coordinates'!$A:$A,0))))+COS(RADIANS('ZIP Coordinates'!$C$2))*COS(RADIANS(INDEX('ZIP Coordinates'!$C:$C,MATCH($A531,'ZIP Coordinates'!$A:$A,0))))*COS(RADIANS(INDEX('ZIP Coordinates'!$D:$D,MATCH($A531,'ZIP Coordinates'!$A:$A,0))-'ZIP Coordinates'!$D$2))))),"N/A")</f>
        <v>147.51382379737242</v>
      </c>
      <c r="G531" s="3" t="str">
        <f t="shared" si="16"/>
        <v>100-149 mi</v>
      </c>
      <c r="H531" s="27">
        <f>IF(RIGHT($B531,1)="P",1,IF(ISNUMBER(SEARCH("HALF GALLON",$C531)),Assumptions!$B$4,IF(ISNUMBER(SEARCH("GALLON",$C531)),Assumptions!$B$3,IF(ISNUMBER(SEARCH("QUART",$C531)),Assumptions!$B$5,IF(ISNUMBER(SEARCH("PINT",$C531)),Assumptions!$B$6,Assumptions!$B$7)))))</f>
        <v>1</v>
      </c>
      <c r="I531" s="27">
        <f t="shared" si="17"/>
        <v>18</v>
      </c>
    </row>
    <row r="532" spans="1:9" x14ac:dyDescent="0.2">
      <c r="A532" s="3" t="s">
        <v>31</v>
      </c>
      <c r="B532" s="3" t="s">
        <v>243</v>
      </c>
      <c r="C532" s="3" t="s">
        <v>244</v>
      </c>
      <c r="D532" s="3" t="s">
        <v>136</v>
      </c>
      <c r="E532" s="4">
        <v>2</v>
      </c>
      <c r="F532" s="5">
        <f>IFERROR(3958.8*ACOS(MIN(1,MAX(-1,SIN(RADIANS('ZIP Coordinates'!$C$2))*SIN(RADIANS(INDEX('ZIP Coordinates'!$C:$C,MATCH($A532,'ZIP Coordinates'!$A:$A,0))))+COS(RADIANS('ZIP Coordinates'!$C$2))*COS(RADIANS(INDEX('ZIP Coordinates'!$C:$C,MATCH($A532,'ZIP Coordinates'!$A:$A,0))))*COS(RADIANS(INDEX('ZIP Coordinates'!$D:$D,MATCH($A532,'ZIP Coordinates'!$A:$A,0))-'ZIP Coordinates'!$D$2))))),"N/A")</f>
        <v>147.51382379737242</v>
      </c>
      <c r="G532" s="3" t="str">
        <f t="shared" si="16"/>
        <v>100-149 mi</v>
      </c>
      <c r="H532" s="27">
        <f>IF(RIGHT($B532,1)="P",1,IF(ISNUMBER(SEARCH("HALF GALLON",$C532)),Assumptions!$B$4,IF(ISNUMBER(SEARCH("GALLON",$C532)),Assumptions!$B$3,IF(ISNUMBER(SEARCH("QUART",$C532)),Assumptions!$B$5,IF(ISNUMBER(SEARCH("PINT",$C532)),Assumptions!$B$6,Assumptions!$B$7)))))</f>
        <v>1</v>
      </c>
      <c r="I532" s="27">
        <f t="shared" si="17"/>
        <v>2</v>
      </c>
    </row>
    <row r="533" spans="1:9" x14ac:dyDescent="0.2">
      <c r="A533" s="3" t="s">
        <v>31</v>
      </c>
      <c r="B533" s="3" t="s">
        <v>276</v>
      </c>
      <c r="C533" s="3" t="s">
        <v>275</v>
      </c>
      <c r="D533" s="3" t="s">
        <v>136</v>
      </c>
      <c r="E533" s="4">
        <v>23</v>
      </c>
      <c r="F533" s="5">
        <f>IFERROR(3958.8*ACOS(MIN(1,MAX(-1,SIN(RADIANS('ZIP Coordinates'!$C$2))*SIN(RADIANS(INDEX('ZIP Coordinates'!$C:$C,MATCH($A533,'ZIP Coordinates'!$A:$A,0))))+COS(RADIANS('ZIP Coordinates'!$C$2))*COS(RADIANS(INDEX('ZIP Coordinates'!$C:$C,MATCH($A533,'ZIP Coordinates'!$A:$A,0))))*COS(RADIANS(INDEX('ZIP Coordinates'!$D:$D,MATCH($A533,'ZIP Coordinates'!$A:$A,0))-'ZIP Coordinates'!$D$2))))),"N/A")</f>
        <v>147.51382379737242</v>
      </c>
      <c r="G533" s="3" t="str">
        <f t="shared" si="16"/>
        <v>100-149 mi</v>
      </c>
      <c r="H533" s="27">
        <f>IF(RIGHT($B533,1)="P",1,IF(ISNUMBER(SEARCH("HALF GALLON",$C533)),Assumptions!$B$4,IF(ISNUMBER(SEARCH("GALLON",$C533)),Assumptions!$B$3,IF(ISNUMBER(SEARCH("QUART",$C533)),Assumptions!$B$5,IF(ISNUMBER(SEARCH("PINT",$C533)),Assumptions!$B$6,Assumptions!$B$7)))))</f>
        <v>1</v>
      </c>
      <c r="I533" s="27">
        <f t="shared" si="17"/>
        <v>23</v>
      </c>
    </row>
    <row r="534" spans="1:9" x14ac:dyDescent="0.2">
      <c r="A534" s="3" t="s">
        <v>31</v>
      </c>
      <c r="B534" s="3" t="s">
        <v>277</v>
      </c>
      <c r="C534" s="3" t="s">
        <v>278</v>
      </c>
      <c r="D534" s="3" t="s">
        <v>136</v>
      </c>
      <c r="E534" s="4">
        <v>28</v>
      </c>
      <c r="F534" s="5">
        <f>IFERROR(3958.8*ACOS(MIN(1,MAX(-1,SIN(RADIANS('ZIP Coordinates'!$C$2))*SIN(RADIANS(INDEX('ZIP Coordinates'!$C:$C,MATCH($A534,'ZIP Coordinates'!$A:$A,0))))+COS(RADIANS('ZIP Coordinates'!$C$2))*COS(RADIANS(INDEX('ZIP Coordinates'!$C:$C,MATCH($A534,'ZIP Coordinates'!$A:$A,0))))*COS(RADIANS(INDEX('ZIP Coordinates'!$D:$D,MATCH($A534,'ZIP Coordinates'!$A:$A,0))-'ZIP Coordinates'!$D$2))))),"N/A")</f>
        <v>147.51382379737242</v>
      </c>
      <c r="G534" s="3" t="str">
        <f t="shared" si="16"/>
        <v>100-149 mi</v>
      </c>
      <c r="H534" s="27">
        <f>IF(RIGHT($B534,1)="P",1,IF(ISNUMBER(SEARCH("HALF GALLON",$C534)),Assumptions!$B$4,IF(ISNUMBER(SEARCH("GALLON",$C534)),Assumptions!$B$3,IF(ISNUMBER(SEARCH("QUART",$C534)),Assumptions!$B$5,IF(ISNUMBER(SEARCH("PINT",$C534)),Assumptions!$B$6,Assumptions!$B$7)))))</f>
        <v>1</v>
      </c>
      <c r="I534" s="27">
        <f t="shared" si="17"/>
        <v>28</v>
      </c>
    </row>
    <row r="535" spans="1:9" x14ac:dyDescent="0.2">
      <c r="A535" s="3" t="s">
        <v>31</v>
      </c>
      <c r="B535" s="3" t="s">
        <v>279</v>
      </c>
      <c r="C535" s="3" t="s">
        <v>280</v>
      </c>
      <c r="D535" s="3" t="s">
        <v>136</v>
      </c>
      <c r="E535" s="4">
        <v>24</v>
      </c>
      <c r="F535" s="5">
        <f>IFERROR(3958.8*ACOS(MIN(1,MAX(-1,SIN(RADIANS('ZIP Coordinates'!$C$2))*SIN(RADIANS(INDEX('ZIP Coordinates'!$C:$C,MATCH($A535,'ZIP Coordinates'!$A:$A,0))))+COS(RADIANS('ZIP Coordinates'!$C$2))*COS(RADIANS(INDEX('ZIP Coordinates'!$C:$C,MATCH($A535,'ZIP Coordinates'!$A:$A,0))))*COS(RADIANS(INDEX('ZIP Coordinates'!$D:$D,MATCH($A535,'ZIP Coordinates'!$A:$A,0))-'ZIP Coordinates'!$D$2))))),"N/A")</f>
        <v>147.51382379737242</v>
      </c>
      <c r="G535" s="3" t="str">
        <f t="shared" si="16"/>
        <v>100-149 mi</v>
      </c>
      <c r="H535" s="27">
        <f>IF(RIGHT($B535,1)="P",1,IF(ISNUMBER(SEARCH("HALF GALLON",$C535)),Assumptions!$B$4,IF(ISNUMBER(SEARCH("GALLON",$C535)),Assumptions!$B$3,IF(ISNUMBER(SEARCH("QUART",$C535)),Assumptions!$B$5,IF(ISNUMBER(SEARCH("PINT",$C535)),Assumptions!$B$6,Assumptions!$B$7)))))</f>
        <v>1</v>
      </c>
      <c r="I535" s="27">
        <f t="shared" si="17"/>
        <v>24</v>
      </c>
    </row>
    <row r="536" spans="1:9" x14ac:dyDescent="0.2">
      <c r="A536" s="3" t="s">
        <v>31</v>
      </c>
      <c r="B536" s="3" t="s">
        <v>247</v>
      </c>
      <c r="C536" s="3" t="s">
        <v>246</v>
      </c>
      <c r="D536" s="3" t="s">
        <v>136</v>
      </c>
      <c r="E536" s="4">
        <v>58</v>
      </c>
      <c r="F536" s="5">
        <f>IFERROR(3958.8*ACOS(MIN(1,MAX(-1,SIN(RADIANS('ZIP Coordinates'!$C$2))*SIN(RADIANS(INDEX('ZIP Coordinates'!$C:$C,MATCH($A536,'ZIP Coordinates'!$A:$A,0))))+COS(RADIANS('ZIP Coordinates'!$C$2))*COS(RADIANS(INDEX('ZIP Coordinates'!$C:$C,MATCH($A536,'ZIP Coordinates'!$A:$A,0))))*COS(RADIANS(INDEX('ZIP Coordinates'!$D:$D,MATCH($A536,'ZIP Coordinates'!$A:$A,0))-'ZIP Coordinates'!$D$2))))),"N/A")</f>
        <v>147.51382379737242</v>
      </c>
      <c r="G536" s="3" t="str">
        <f t="shared" si="16"/>
        <v>100-149 mi</v>
      </c>
      <c r="H536" s="27">
        <f>IF(RIGHT($B536,1)="P",1,IF(ISNUMBER(SEARCH("HALF GALLON",$C536)),Assumptions!$B$4,IF(ISNUMBER(SEARCH("GALLON",$C536)),Assumptions!$B$3,IF(ISNUMBER(SEARCH("QUART",$C536)),Assumptions!$B$5,IF(ISNUMBER(SEARCH("PINT",$C536)),Assumptions!$B$6,Assumptions!$B$7)))))</f>
        <v>1</v>
      </c>
      <c r="I536" s="27">
        <f t="shared" si="17"/>
        <v>58</v>
      </c>
    </row>
    <row r="537" spans="1:9" x14ac:dyDescent="0.2">
      <c r="A537" s="3" t="s">
        <v>31</v>
      </c>
      <c r="B537" s="3" t="s">
        <v>250</v>
      </c>
      <c r="C537" s="3" t="s">
        <v>249</v>
      </c>
      <c r="D537" s="3" t="s">
        <v>103</v>
      </c>
      <c r="E537" s="4">
        <v>211</v>
      </c>
      <c r="F537" s="5">
        <f>IFERROR(3958.8*ACOS(MIN(1,MAX(-1,SIN(RADIANS('ZIP Coordinates'!$C$2))*SIN(RADIANS(INDEX('ZIP Coordinates'!$C:$C,MATCH($A537,'ZIP Coordinates'!$A:$A,0))))+COS(RADIANS('ZIP Coordinates'!$C$2))*COS(RADIANS(INDEX('ZIP Coordinates'!$C:$C,MATCH($A537,'ZIP Coordinates'!$A:$A,0))))*COS(RADIANS(INDEX('ZIP Coordinates'!$D:$D,MATCH($A537,'ZIP Coordinates'!$A:$A,0))-'ZIP Coordinates'!$D$2))))),"N/A")</f>
        <v>147.51382379737242</v>
      </c>
      <c r="G537" s="3" t="str">
        <f t="shared" si="16"/>
        <v>100-149 mi</v>
      </c>
      <c r="H537" s="27">
        <f>IF(RIGHT($B537,1)="P",1,IF(ISNUMBER(SEARCH("HALF GALLON",$C537)),Assumptions!$B$4,IF(ISNUMBER(SEARCH("GALLON",$C537)),Assumptions!$B$3,IF(ISNUMBER(SEARCH("QUART",$C537)),Assumptions!$B$5,IF(ISNUMBER(SEARCH("PINT",$C537)),Assumptions!$B$6,Assumptions!$B$7)))))</f>
        <v>1</v>
      </c>
      <c r="I537" s="27">
        <f t="shared" si="17"/>
        <v>211</v>
      </c>
    </row>
    <row r="538" spans="1:9" x14ac:dyDescent="0.2">
      <c r="A538" s="3" t="s">
        <v>31</v>
      </c>
      <c r="B538" s="3" t="s">
        <v>251</v>
      </c>
      <c r="C538" s="3" t="s">
        <v>252</v>
      </c>
      <c r="D538" s="3" t="s">
        <v>103</v>
      </c>
      <c r="E538" s="4">
        <v>193</v>
      </c>
      <c r="F538" s="5">
        <f>IFERROR(3958.8*ACOS(MIN(1,MAX(-1,SIN(RADIANS('ZIP Coordinates'!$C$2))*SIN(RADIANS(INDEX('ZIP Coordinates'!$C:$C,MATCH($A538,'ZIP Coordinates'!$A:$A,0))))+COS(RADIANS('ZIP Coordinates'!$C$2))*COS(RADIANS(INDEX('ZIP Coordinates'!$C:$C,MATCH($A538,'ZIP Coordinates'!$A:$A,0))))*COS(RADIANS(INDEX('ZIP Coordinates'!$D:$D,MATCH($A538,'ZIP Coordinates'!$A:$A,0))-'ZIP Coordinates'!$D$2))))),"N/A")</f>
        <v>147.51382379737242</v>
      </c>
      <c r="G538" s="3" t="str">
        <f t="shared" si="16"/>
        <v>100-149 mi</v>
      </c>
      <c r="H538" s="27">
        <f>IF(RIGHT($B538,1)="P",1,IF(ISNUMBER(SEARCH("HALF GALLON",$C538)),Assumptions!$B$4,IF(ISNUMBER(SEARCH("GALLON",$C538)),Assumptions!$B$3,IF(ISNUMBER(SEARCH("QUART",$C538)),Assumptions!$B$5,IF(ISNUMBER(SEARCH("PINT",$C538)),Assumptions!$B$6,Assumptions!$B$7)))))</f>
        <v>1</v>
      </c>
      <c r="I538" s="27">
        <f t="shared" si="17"/>
        <v>193</v>
      </c>
    </row>
    <row r="539" spans="1:9" x14ac:dyDescent="0.2">
      <c r="A539" s="3" t="s">
        <v>31</v>
      </c>
      <c r="B539" s="3" t="s">
        <v>284</v>
      </c>
      <c r="C539" s="3" t="s">
        <v>285</v>
      </c>
      <c r="D539" s="3" t="s">
        <v>136</v>
      </c>
      <c r="E539" s="4">
        <v>4</v>
      </c>
      <c r="F539" s="5">
        <f>IFERROR(3958.8*ACOS(MIN(1,MAX(-1,SIN(RADIANS('ZIP Coordinates'!$C$2))*SIN(RADIANS(INDEX('ZIP Coordinates'!$C:$C,MATCH($A539,'ZIP Coordinates'!$A:$A,0))))+COS(RADIANS('ZIP Coordinates'!$C$2))*COS(RADIANS(INDEX('ZIP Coordinates'!$C:$C,MATCH($A539,'ZIP Coordinates'!$A:$A,0))))*COS(RADIANS(INDEX('ZIP Coordinates'!$D:$D,MATCH($A539,'ZIP Coordinates'!$A:$A,0))-'ZIP Coordinates'!$D$2))))),"N/A")</f>
        <v>147.51382379737242</v>
      </c>
      <c r="G539" s="3" t="str">
        <f t="shared" si="16"/>
        <v>100-149 mi</v>
      </c>
      <c r="H539" s="27">
        <f>IF(RIGHT($B539,1)="P",1,IF(ISNUMBER(SEARCH("HALF GALLON",$C539)),Assumptions!$B$4,IF(ISNUMBER(SEARCH("GALLON",$C539)),Assumptions!$B$3,IF(ISNUMBER(SEARCH("QUART",$C539)),Assumptions!$B$5,IF(ISNUMBER(SEARCH("PINT",$C539)),Assumptions!$B$6,Assumptions!$B$7)))))</f>
        <v>1</v>
      </c>
      <c r="I539" s="27">
        <f t="shared" si="17"/>
        <v>4</v>
      </c>
    </row>
    <row r="540" spans="1:9" x14ac:dyDescent="0.2">
      <c r="A540" s="3" t="s">
        <v>31</v>
      </c>
      <c r="B540" s="3" t="s">
        <v>288</v>
      </c>
      <c r="C540" s="3" t="s">
        <v>287</v>
      </c>
      <c r="D540" s="3" t="s">
        <v>103</v>
      </c>
      <c r="E540" s="4">
        <v>257</v>
      </c>
      <c r="F540" s="5">
        <f>IFERROR(3958.8*ACOS(MIN(1,MAX(-1,SIN(RADIANS('ZIP Coordinates'!$C$2))*SIN(RADIANS(INDEX('ZIP Coordinates'!$C:$C,MATCH($A540,'ZIP Coordinates'!$A:$A,0))))+COS(RADIANS('ZIP Coordinates'!$C$2))*COS(RADIANS(INDEX('ZIP Coordinates'!$C:$C,MATCH($A540,'ZIP Coordinates'!$A:$A,0))))*COS(RADIANS(INDEX('ZIP Coordinates'!$D:$D,MATCH($A540,'ZIP Coordinates'!$A:$A,0))-'ZIP Coordinates'!$D$2))))),"N/A")</f>
        <v>147.51382379737242</v>
      </c>
      <c r="G540" s="3" t="str">
        <f t="shared" si="16"/>
        <v>100-149 mi</v>
      </c>
      <c r="H540" s="27">
        <f>IF(RIGHT($B540,1)="P",1,IF(ISNUMBER(SEARCH("HALF GALLON",$C540)),Assumptions!$B$4,IF(ISNUMBER(SEARCH("GALLON",$C540)),Assumptions!$B$3,IF(ISNUMBER(SEARCH("QUART",$C540)),Assumptions!$B$5,IF(ISNUMBER(SEARCH("PINT",$C540)),Assumptions!$B$6,Assumptions!$B$7)))))</f>
        <v>1</v>
      </c>
      <c r="I540" s="27">
        <f t="shared" si="17"/>
        <v>257</v>
      </c>
    </row>
    <row r="541" spans="1:9" x14ac:dyDescent="0.2">
      <c r="A541" s="3" t="s">
        <v>31</v>
      </c>
      <c r="B541" s="3" t="s">
        <v>257</v>
      </c>
      <c r="C541" s="3" t="s">
        <v>256</v>
      </c>
      <c r="D541" s="3" t="s">
        <v>103</v>
      </c>
      <c r="E541" s="4">
        <v>65</v>
      </c>
      <c r="F541" s="5">
        <f>IFERROR(3958.8*ACOS(MIN(1,MAX(-1,SIN(RADIANS('ZIP Coordinates'!$C$2))*SIN(RADIANS(INDEX('ZIP Coordinates'!$C:$C,MATCH($A541,'ZIP Coordinates'!$A:$A,0))))+COS(RADIANS('ZIP Coordinates'!$C$2))*COS(RADIANS(INDEX('ZIP Coordinates'!$C:$C,MATCH($A541,'ZIP Coordinates'!$A:$A,0))))*COS(RADIANS(INDEX('ZIP Coordinates'!$D:$D,MATCH($A541,'ZIP Coordinates'!$A:$A,0))-'ZIP Coordinates'!$D$2))))),"N/A")</f>
        <v>147.51382379737242</v>
      </c>
      <c r="G541" s="3" t="str">
        <f t="shared" si="16"/>
        <v>100-149 mi</v>
      </c>
      <c r="H541" s="27">
        <f>IF(RIGHT($B541,1)="P",1,IF(ISNUMBER(SEARCH("HALF GALLON",$C541)),Assumptions!$B$4,IF(ISNUMBER(SEARCH("GALLON",$C541)),Assumptions!$B$3,IF(ISNUMBER(SEARCH("QUART",$C541)),Assumptions!$B$5,IF(ISNUMBER(SEARCH("PINT",$C541)),Assumptions!$B$6,Assumptions!$B$7)))))</f>
        <v>1</v>
      </c>
      <c r="I541" s="27">
        <f t="shared" si="17"/>
        <v>65</v>
      </c>
    </row>
    <row r="542" spans="1:9" x14ac:dyDescent="0.2">
      <c r="A542" s="3" t="s">
        <v>32</v>
      </c>
      <c r="B542" s="3" t="s">
        <v>259</v>
      </c>
      <c r="C542" s="3" t="s">
        <v>260</v>
      </c>
      <c r="D542" s="3" t="s">
        <v>151</v>
      </c>
      <c r="E542" s="4">
        <v>3</v>
      </c>
      <c r="F542" s="5">
        <f>IFERROR(3958.8*ACOS(MIN(1,MAX(-1,SIN(RADIANS('ZIP Coordinates'!$C$2))*SIN(RADIANS(INDEX('ZIP Coordinates'!$C:$C,MATCH($A542,'ZIP Coordinates'!$A:$A,0))))+COS(RADIANS('ZIP Coordinates'!$C$2))*COS(RADIANS(INDEX('ZIP Coordinates'!$C:$C,MATCH($A542,'ZIP Coordinates'!$A:$A,0))))*COS(RADIANS(INDEX('ZIP Coordinates'!$D:$D,MATCH($A542,'ZIP Coordinates'!$A:$A,0))-'ZIP Coordinates'!$D$2))))),"N/A")</f>
        <v>165.56237092425968</v>
      </c>
      <c r="G542" s="3" t="str">
        <f t="shared" si="16"/>
        <v>150-199 mi</v>
      </c>
      <c r="H542" s="27">
        <f>IF(RIGHT($B542,1)="P",1,IF(ISNUMBER(SEARCH("HALF GALLON",$C542)),Assumptions!$B$4,IF(ISNUMBER(SEARCH("GALLON",$C542)),Assumptions!$B$3,IF(ISNUMBER(SEARCH("QUART",$C542)),Assumptions!$B$5,IF(ISNUMBER(SEARCH("PINT",$C542)),Assumptions!$B$6,Assumptions!$B$7)))))</f>
        <v>4</v>
      </c>
      <c r="I542" s="27">
        <f t="shared" si="17"/>
        <v>12</v>
      </c>
    </row>
    <row r="543" spans="1:9" x14ac:dyDescent="0.2">
      <c r="A543" s="3" t="s">
        <v>32</v>
      </c>
      <c r="B543" s="3" t="s">
        <v>261</v>
      </c>
      <c r="C543" s="3" t="s">
        <v>260</v>
      </c>
      <c r="D543" s="3" t="s">
        <v>151</v>
      </c>
      <c r="E543" s="4">
        <v>22</v>
      </c>
      <c r="F543" s="5">
        <f>IFERROR(3958.8*ACOS(MIN(1,MAX(-1,SIN(RADIANS('ZIP Coordinates'!$C$2))*SIN(RADIANS(INDEX('ZIP Coordinates'!$C:$C,MATCH($A543,'ZIP Coordinates'!$A:$A,0))))+COS(RADIANS('ZIP Coordinates'!$C$2))*COS(RADIANS(INDEX('ZIP Coordinates'!$C:$C,MATCH($A543,'ZIP Coordinates'!$A:$A,0))))*COS(RADIANS(INDEX('ZIP Coordinates'!$D:$D,MATCH($A543,'ZIP Coordinates'!$A:$A,0))-'ZIP Coordinates'!$D$2))))),"N/A")</f>
        <v>165.56237092425968</v>
      </c>
      <c r="G543" s="3" t="str">
        <f t="shared" si="16"/>
        <v>150-199 mi</v>
      </c>
      <c r="H543" s="27">
        <f>IF(RIGHT($B543,1)="P",1,IF(ISNUMBER(SEARCH("HALF GALLON",$C543)),Assumptions!$B$4,IF(ISNUMBER(SEARCH("GALLON",$C543)),Assumptions!$B$3,IF(ISNUMBER(SEARCH("QUART",$C543)),Assumptions!$B$5,IF(ISNUMBER(SEARCH("PINT",$C543)),Assumptions!$B$6,Assumptions!$B$7)))))</f>
        <v>1</v>
      </c>
      <c r="I543" s="27">
        <f t="shared" si="17"/>
        <v>22</v>
      </c>
    </row>
    <row r="544" spans="1:9" x14ac:dyDescent="0.2">
      <c r="A544" s="3" t="s">
        <v>32</v>
      </c>
      <c r="B544" s="3" t="s">
        <v>271</v>
      </c>
      <c r="C544" s="3" t="s">
        <v>244</v>
      </c>
      <c r="D544" s="3" t="s">
        <v>151</v>
      </c>
      <c r="E544" s="4">
        <v>85</v>
      </c>
      <c r="F544" s="5">
        <f>IFERROR(3958.8*ACOS(MIN(1,MAX(-1,SIN(RADIANS('ZIP Coordinates'!$C$2))*SIN(RADIANS(INDEX('ZIP Coordinates'!$C:$C,MATCH($A544,'ZIP Coordinates'!$A:$A,0))))+COS(RADIANS('ZIP Coordinates'!$C$2))*COS(RADIANS(INDEX('ZIP Coordinates'!$C:$C,MATCH($A544,'ZIP Coordinates'!$A:$A,0))))*COS(RADIANS(INDEX('ZIP Coordinates'!$D:$D,MATCH($A544,'ZIP Coordinates'!$A:$A,0))-'ZIP Coordinates'!$D$2))))),"N/A")</f>
        <v>165.56237092425968</v>
      </c>
      <c r="G544" s="3" t="str">
        <f t="shared" si="16"/>
        <v>150-199 mi</v>
      </c>
      <c r="H544" s="27">
        <f>IF(RIGHT($B544,1)="P",1,IF(ISNUMBER(SEARCH("HALF GALLON",$C544)),Assumptions!$B$4,IF(ISNUMBER(SEARCH("GALLON",$C544)),Assumptions!$B$3,IF(ISNUMBER(SEARCH("QUART",$C544)),Assumptions!$B$5,IF(ISNUMBER(SEARCH("PINT",$C544)),Assumptions!$B$6,Assumptions!$B$7)))))</f>
        <v>9</v>
      </c>
      <c r="I544" s="27">
        <f t="shared" si="17"/>
        <v>765</v>
      </c>
    </row>
    <row r="545" spans="1:9" x14ac:dyDescent="0.2">
      <c r="A545" s="3" t="s">
        <v>32</v>
      </c>
      <c r="B545" s="3" t="s">
        <v>243</v>
      </c>
      <c r="C545" s="3" t="s">
        <v>244</v>
      </c>
      <c r="D545" s="3" t="s">
        <v>151</v>
      </c>
      <c r="E545" s="4">
        <v>-5</v>
      </c>
      <c r="F545" s="5">
        <f>IFERROR(3958.8*ACOS(MIN(1,MAX(-1,SIN(RADIANS('ZIP Coordinates'!$C$2))*SIN(RADIANS(INDEX('ZIP Coordinates'!$C:$C,MATCH($A545,'ZIP Coordinates'!$A:$A,0))))+COS(RADIANS('ZIP Coordinates'!$C$2))*COS(RADIANS(INDEX('ZIP Coordinates'!$C:$C,MATCH($A545,'ZIP Coordinates'!$A:$A,0))))*COS(RADIANS(INDEX('ZIP Coordinates'!$D:$D,MATCH($A545,'ZIP Coordinates'!$A:$A,0))-'ZIP Coordinates'!$D$2))))),"N/A")</f>
        <v>165.56237092425968</v>
      </c>
      <c r="G545" s="3" t="str">
        <f t="shared" si="16"/>
        <v>150-199 mi</v>
      </c>
      <c r="H545" s="27">
        <f>IF(RIGHT($B545,1)="P",1,IF(ISNUMBER(SEARCH("HALF GALLON",$C545)),Assumptions!$B$4,IF(ISNUMBER(SEARCH("GALLON",$C545)),Assumptions!$B$3,IF(ISNUMBER(SEARCH("QUART",$C545)),Assumptions!$B$5,IF(ISNUMBER(SEARCH("PINT",$C545)),Assumptions!$B$6,Assumptions!$B$7)))))</f>
        <v>1</v>
      </c>
      <c r="I545" s="27">
        <f t="shared" si="17"/>
        <v>-5</v>
      </c>
    </row>
    <row r="546" spans="1:9" x14ac:dyDescent="0.2">
      <c r="A546" s="3" t="s">
        <v>32</v>
      </c>
      <c r="B546" s="3" t="s">
        <v>276</v>
      </c>
      <c r="C546" s="3" t="s">
        <v>275</v>
      </c>
      <c r="D546" s="3" t="s">
        <v>214</v>
      </c>
      <c r="E546" s="4">
        <v>3</v>
      </c>
      <c r="F546" s="5">
        <f>IFERROR(3958.8*ACOS(MIN(1,MAX(-1,SIN(RADIANS('ZIP Coordinates'!$C$2))*SIN(RADIANS(INDEX('ZIP Coordinates'!$C:$C,MATCH($A546,'ZIP Coordinates'!$A:$A,0))))+COS(RADIANS('ZIP Coordinates'!$C$2))*COS(RADIANS(INDEX('ZIP Coordinates'!$C:$C,MATCH($A546,'ZIP Coordinates'!$A:$A,0))))*COS(RADIANS(INDEX('ZIP Coordinates'!$D:$D,MATCH($A546,'ZIP Coordinates'!$A:$A,0))-'ZIP Coordinates'!$D$2))))),"N/A")</f>
        <v>165.56237092425968</v>
      </c>
      <c r="G546" s="3" t="str">
        <f t="shared" si="16"/>
        <v>150-199 mi</v>
      </c>
      <c r="H546" s="27">
        <f>IF(RIGHT($B546,1)="P",1,IF(ISNUMBER(SEARCH("HALF GALLON",$C546)),Assumptions!$B$4,IF(ISNUMBER(SEARCH("GALLON",$C546)),Assumptions!$B$3,IF(ISNUMBER(SEARCH("QUART",$C546)),Assumptions!$B$5,IF(ISNUMBER(SEARCH("PINT",$C546)),Assumptions!$B$6,Assumptions!$B$7)))))</f>
        <v>1</v>
      </c>
      <c r="I546" s="27">
        <f t="shared" si="17"/>
        <v>3</v>
      </c>
    </row>
    <row r="547" spans="1:9" x14ac:dyDescent="0.2">
      <c r="A547" s="3" t="s">
        <v>33</v>
      </c>
      <c r="B547" s="3" t="s">
        <v>239</v>
      </c>
      <c r="C547" s="3" t="s">
        <v>240</v>
      </c>
      <c r="D547" s="3" t="s">
        <v>91</v>
      </c>
      <c r="E547" s="4">
        <v>52</v>
      </c>
      <c r="F547" s="5">
        <f>IFERROR(3958.8*ACOS(MIN(1,MAX(-1,SIN(RADIANS('ZIP Coordinates'!$C$2))*SIN(RADIANS(INDEX('ZIP Coordinates'!$C:$C,MATCH($A547,'ZIP Coordinates'!$A:$A,0))))+COS(RADIANS('ZIP Coordinates'!$C$2))*COS(RADIANS(INDEX('ZIP Coordinates'!$C:$C,MATCH($A547,'ZIP Coordinates'!$A:$A,0))))*COS(RADIANS(INDEX('ZIP Coordinates'!$D:$D,MATCH($A547,'ZIP Coordinates'!$A:$A,0))-'ZIP Coordinates'!$D$2))))),"N/A")</f>
        <v>164.84247716245491</v>
      </c>
      <c r="G547" s="3" t="str">
        <f t="shared" si="16"/>
        <v>150-199 mi</v>
      </c>
      <c r="H547" s="27">
        <f>IF(RIGHT($B547,1)="P",1,IF(ISNUMBER(SEARCH("HALF GALLON",$C547)),Assumptions!$B$4,IF(ISNUMBER(SEARCH("GALLON",$C547)),Assumptions!$B$3,IF(ISNUMBER(SEARCH("QUART",$C547)),Assumptions!$B$5,IF(ISNUMBER(SEARCH("PINT",$C547)),Assumptions!$B$6,Assumptions!$B$7)))))</f>
        <v>1</v>
      </c>
      <c r="I547" s="27">
        <f t="shared" si="17"/>
        <v>52</v>
      </c>
    </row>
    <row r="548" spans="1:9" x14ac:dyDescent="0.2">
      <c r="A548" s="3" t="s">
        <v>33</v>
      </c>
      <c r="B548" s="3" t="s">
        <v>261</v>
      </c>
      <c r="C548" s="3" t="s">
        <v>260</v>
      </c>
      <c r="D548" s="3" t="s">
        <v>91</v>
      </c>
      <c r="E548" s="4">
        <v>38</v>
      </c>
      <c r="F548" s="5">
        <f>IFERROR(3958.8*ACOS(MIN(1,MAX(-1,SIN(RADIANS('ZIP Coordinates'!$C$2))*SIN(RADIANS(INDEX('ZIP Coordinates'!$C:$C,MATCH($A548,'ZIP Coordinates'!$A:$A,0))))+COS(RADIANS('ZIP Coordinates'!$C$2))*COS(RADIANS(INDEX('ZIP Coordinates'!$C:$C,MATCH($A548,'ZIP Coordinates'!$A:$A,0))))*COS(RADIANS(INDEX('ZIP Coordinates'!$D:$D,MATCH($A548,'ZIP Coordinates'!$A:$A,0))-'ZIP Coordinates'!$D$2))))),"N/A")</f>
        <v>164.84247716245491</v>
      </c>
      <c r="G548" s="3" t="str">
        <f t="shared" si="16"/>
        <v>150-199 mi</v>
      </c>
      <c r="H548" s="27">
        <f>IF(RIGHT($B548,1)="P",1,IF(ISNUMBER(SEARCH("HALF GALLON",$C548)),Assumptions!$B$4,IF(ISNUMBER(SEARCH("GALLON",$C548)),Assumptions!$B$3,IF(ISNUMBER(SEARCH("QUART",$C548)),Assumptions!$B$5,IF(ISNUMBER(SEARCH("PINT",$C548)),Assumptions!$B$6,Assumptions!$B$7)))))</f>
        <v>1</v>
      </c>
      <c r="I548" s="27">
        <f t="shared" si="17"/>
        <v>38</v>
      </c>
    </row>
    <row r="549" spans="1:9" x14ac:dyDescent="0.2">
      <c r="A549" s="3" t="s">
        <v>33</v>
      </c>
      <c r="B549" s="3" t="s">
        <v>241</v>
      </c>
      <c r="C549" s="3" t="s">
        <v>242</v>
      </c>
      <c r="D549" s="3" t="s">
        <v>91</v>
      </c>
      <c r="E549" s="4">
        <v>20</v>
      </c>
      <c r="F549" s="5">
        <f>IFERROR(3958.8*ACOS(MIN(1,MAX(-1,SIN(RADIANS('ZIP Coordinates'!$C$2))*SIN(RADIANS(INDEX('ZIP Coordinates'!$C:$C,MATCH($A549,'ZIP Coordinates'!$A:$A,0))))+COS(RADIANS('ZIP Coordinates'!$C$2))*COS(RADIANS(INDEX('ZIP Coordinates'!$C:$C,MATCH($A549,'ZIP Coordinates'!$A:$A,0))))*COS(RADIANS(INDEX('ZIP Coordinates'!$D:$D,MATCH($A549,'ZIP Coordinates'!$A:$A,0))-'ZIP Coordinates'!$D$2))))),"N/A")</f>
        <v>164.84247716245491</v>
      </c>
      <c r="G549" s="3" t="str">
        <f t="shared" si="16"/>
        <v>150-199 mi</v>
      </c>
      <c r="H549" s="27">
        <f>IF(RIGHT($B549,1)="P",1,IF(ISNUMBER(SEARCH("HALF GALLON",$C549)),Assumptions!$B$4,IF(ISNUMBER(SEARCH("GALLON",$C549)),Assumptions!$B$3,IF(ISNUMBER(SEARCH("QUART",$C549)),Assumptions!$B$5,IF(ISNUMBER(SEARCH("PINT",$C549)),Assumptions!$B$6,Assumptions!$B$7)))))</f>
        <v>1</v>
      </c>
      <c r="I549" s="27">
        <f t="shared" si="17"/>
        <v>20</v>
      </c>
    </row>
    <row r="550" spans="1:9" x14ac:dyDescent="0.2">
      <c r="A550" s="3" t="s">
        <v>33</v>
      </c>
      <c r="B550" s="3" t="s">
        <v>243</v>
      </c>
      <c r="C550" s="3" t="s">
        <v>244</v>
      </c>
      <c r="D550" s="3" t="s">
        <v>91</v>
      </c>
      <c r="E550" s="4">
        <v>19</v>
      </c>
      <c r="F550" s="5">
        <f>IFERROR(3958.8*ACOS(MIN(1,MAX(-1,SIN(RADIANS('ZIP Coordinates'!$C$2))*SIN(RADIANS(INDEX('ZIP Coordinates'!$C:$C,MATCH($A550,'ZIP Coordinates'!$A:$A,0))))+COS(RADIANS('ZIP Coordinates'!$C$2))*COS(RADIANS(INDEX('ZIP Coordinates'!$C:$C,MATCH($A550,'ZIP Coordinates'!$A:$A,0))))*COS(RADIANS(INDEX('ZIP Coordinates'!$D:$D,MATCH($A550,'ZIP Coordinates'!$A:$A,0))-'ZIP Coordinates'!$D$2))))),"N/A")</f>
        <v>164.84247716245491</v>
      </c>
      <c r="G550" s="3" t="str">
        <f t="shared" si="16"/>
        <v>150-199 mi</v>
      </c>
      <c r="H550" s="27">
        <f>IF(RIGHT($B550,1)="P",1,IF(ISNUMBER(SEARCH("HALF GALLON",$C550)),Assumptions!$B$4,IF(ISNUMBER(SEARCH("GALLON",$C550)),Assumptions!$B$3,IF(ISNUMBER(SEARCH("QUART",$C550)),Assumptions!$B$5,IF(ISNUMBER(SEARCH("PINT",$C550)),Assumptions!$B$6,Assumptions!$B$7)))))</f>
        <v>1</v>
      </c>
      <c r="I550" s="27">
        <f t="shared" si="17"/>
        <v>19</v>
      </c>
    </row>
    <row r="551" spans="1:9" x14ac:dyDescent="0.2">
      <c r="A551" s="3" t="s">
        <v>33</v>
      </c>
      <c r="B551" s="3" t="s">
        <v>276</v>
      </c>
      <c r="C551" s="3" t="s">
        <v>275</v>
      </c>
      <c r="D551" s="3" t="s">
        <v>91</v>
      </c>
      <c r="E551" s="4">
        <v>65</v>
      </c>
      <c r="F551" s="5">
        <f>IFERROR(3958.8*ACOS(MIN(1,MAX(-1,SIN(RADIANS('ZIP Coordinates'!$C$2))*SIN(RADIANS(INDEX('ZIP Coordinates'!$C:$C,MATCH($A551,'ZIP Coordinates'!$A:$A,0))))+COS(RADIANS('ZIP Coordinates'!$C$2))*COS(RADIANS(INDEX('ZIP Coordinates'!$C:$C,MATCH($A551,'ZIP Coordinates'!$A:$A,0))))*COS(RADIANS(INDEX('ZIP Coordinates'!$D:$D,MATCH($A551,'ZIP Coordinates'!$A:$A,0))-'ZIP Coordinates'!$D$2))))),"N/A")</f>
        <v>164.84247716245491</v>
      </c>
      <c r="G551" s="3" t="str">
        <f t="shared" si="16"/>
        <v>150-199 mi</v>
      </c>
      <c r="H551" s="27">
        <f>IF(RIGHT($B551,1)="P",1,IF(ISNUMBER(SEARCH("HALF GALLON",$C551)),Assumptions!$B$4,IF(ISNUMBER(SEARCH("GALLON",$C551)),Assumptions!$B$3,IF(ISNUMBER(SEARCH("QUART",$C551)),Assumptions!$B$5,IF(ISNUMBER(SEARCH("PINT",$C551)),Assumptions!$B$6,Assumptions!$B$7)))))</f>
        <v>1</v>
      </c>
      <c r="I551" s="27">
        <f t="shared" si="17"/>
        <v>65</v>
      </c>
    </row>
    <row r="552" spans="1:9" x14ac:dyDescent="0.2">
      <c r="A552" s="3" t="s">
        <v>33</v>
      </c>
      <c r="B552" s="3" t="s">
        <v>277</v>
      </c>
      <c r="C552" s="3" t="s">
        <v>278</v>
      </c>
      <c r="D552" s="3" t="s">
        <v>91</v>
      </c>
      <c r="E552" s="4">
        <v>39</v>
      </c>
      <c r="F552" s="5">
        <f>IFERROR(3958.8*ACOS(MIN(1,MAX(-1,SIN(RADIANS('ZIP Coordinates'!$C$2))*SIN(RADIANS(INDEX('ZIP Coordinates'!$C:$C,MATCH($A552,'ZIP Coordinates'!$A:$A,0))))+COS(RADIANS('ZIP Coordinates'!$C$2))*COS(RADIANS(INDEX('ZIP Coordinates'!$C:$C,MATCH($A552,'ZIP Coordinates'!$A:$A,0))))*COS(RADIANS(INDEX('ZIP Coordinates'!$D:$D,MATCH($A552,'ZIP Coordinates'!$A:$A,0))-'ZIP Coordinates'!$D$2))))),"N/A")</f>
        <v>164.84247716245491</v>
      </c>
      <c r="G552" s="3" t="str">
        <f t="shared" si="16"/>
        <v>150-199 mi</v>
      </c>
      <c r="H552" s="27">
        <f>IF(RIGHT($B552,1)="P",1,IF(ISNUMBER(SEARCH("HALF GALLON",$C552)),Assumptions!$B$4,IF(ISNUMBER(SEARCH("GALLON",$C552)),Assumptions!$B$3,IF(ISNUMBER(SEARCH("QUART",$C552)),Assumptions!$B$5,IF(ISNUMBER(SEARCH("PINT",$C552)),Assumptions!$B$6,Assumptions!$B$7)))))</f>
        <v>1</v>
      </c>
      <c r="I552" s="27">
        <f t="shared" si="17"/>
        <v>39</v>
      </c>
    </row>
    <row r="553" spans="1:9" x14ac:dyDescent="0.2">
      <c r="A553" s="3" t="s">
        <v>33</v>
      </c>
      <c r="B553" s="3" t="s">
        <v>279</v>
      </c>
      <c r="C553" s="3" t="s">
        <v>280</v>
      </c>
      <c r="D553" s="3" t="s">
        <v>91</v>
      </c>
      <c r="E553" s="4">
        <v>37</v>
      </c>
      <c r="F553" s="5">
        <f>IFERROR(3958.8*ACOS(MIN(1,MAX(-1,SIN(RADIANS('ZIP Coordinates'!$C$2))*SIN(RADIANS(INDEX('ZIP Coordinates'!$C:$C,MATCH($A553,'ZIP Coordinates'!$A:$A,0))))+COS(RADIANS('ZIP Coordinates'!$C$2))*COS(RADIANS(INDEX('ZIP Coordinates'!$C:$C,MATCH($A553,'ZIP Coordinates'!$A:$A,0))))*COS(RADIANS(INDEX('ZIP Coordinates'!$D:$D,MATCH($A553,'ZIP Coordinates'!$A:$A,0))-'ZIP Coordinates'!$D$2))))),"N/A")</f>
        <v>164.84247716245491</v>
      </c>
      <c r="G553" s="3" t="str">
        <f t="shared" si="16"/>
        <v>150-199 mi</v>
      </c>
      <c r="H553" s="27">
        <f>IF(RIGHT($B553,1)="P",1,IF(ISNUMBER(SEARCH("HALF GALLON",$C553)),Assumptions!$B$4,IF(ISNUMBER(SEARCH("GALLON",$C553)),Assumptions!$B$3,IF(ISNUMBER(SEARCH("QUART",$C553)),Assumptions!$B$5,IF(ISNUMBER(SEARCH("PINT",$C553)),Assumptions!$B$6,Assumptions!$B$7)))))</f>
        <v>1</v>
      </c>
      <c r="I553" s="27">
        <f t="shared" si="17"/>
        <v>37</v>
      </c>
    </row>
    <row r="554" spans="1:9" x14ac:dyDescent="0.2">
      <c r="A554" s="3" t="s">
        <v>33</v>
      </c>
      <c r="B554" s="3" t="s">
        <v>247</v>
      </c>
      <c r="C554" s="3" t="s">
        <v>246</v>
      </c>
      <c r="D554" s="3" t="s">
        <v>91</v>
      </c>
      <c r="E554" s="4">
        <v>110</v>
      </c>
      <c r="F554" s="5">
        <f>IFERROR(3958.8*ACOS(MIN(1,MAX(-1,SIN(RADIANS('ZIP Coordinates'!$C$2))*SIN(RADIANS(INDEX('ZIP Coordinates'!$C:$C,MATCH($A554,'ZIP Coordinates'!$A:$A,0))))+COS(RADIANS('ZIP Coordinates'!$C$2))*COS(RADIANS(INDEX('ZIP Coordinates'!$C:$C,MATCH($A554,'ZIP Coordinates'!$A:$A,0))))*COS(RADIANS(INDEX('ZIP Coordinates'!$D:$D,MATCH($A554,'ZIP Coordinates'!$A:$A,0))-'ZIP Coordinates'!$D$2))))),"N/A")</f>
        <v>164.84247716245491</v>
      </c>
      <c r="G554" s="3" t="str">
        <f t="shared" si="16"/>
        <v>150-199 mi</v>
      </c>
      <c r="H554" s="27">
        <f>IF(RIGHT($B554,1)="P",1,IF(ISNUMBER(SEARCH("HALF GALLON",$C554)),Assumptions!$B$4,IF(ISNUMBER(SEARCH("GALLON",$C554)),Assumptions!$B$3,IF(ISNUMBER(SEARCH("QUART",$C554)),Assumptions!$B$5,IF(ISNUMBER(SEARCH("PINT",$C554)),Assumptions!$B$6,Assumptions!$B$7)))))</f>
        <v>1</v>
      </c>
      <c r="I554" s="27">
        <f t="shared" si="17"/>
        <v>110</v>
      </c>
    </row>
    <row r="555" spans="1:9" x14ac:dyDescent="0.2">
      <c r="A555" s="3" t="s">
        <v>33</v>
      </c>
      <c r="B555" s="3" t="s">
        <v>250</v>
      </c>
      <c r="C555" s="3" t="s">
        <v>249</v>
      </c>
      <c r="D555" s="3" t="s">
        <v>91</v>
      </c>
      <c r="E555" s="4">
        <v>63</v>
      </c>
      <c r="F555" s="5">
        <f>IFERROR(3958.8*ACOS(MIN(1,MAX(-1,SIN(RADIANS('ZIP Coordinates'!$C$2))*SIN(RADIANS(INDEX('ZIP Coordinates'!$C:$C,MATCH($A555,'ZIP Coordinates'!$A:$A,0))))+COS(RADIANS('ZIP Coordinates'!$C$2))*COS(RADIANS(INDEX('ZIP Coordinates'!$C:$C,MATCH($A555,'ZIP Coordinates'!$A:$A,0))))*COS(RADIANS(INDEX('ZIP Coordinates'!$D:$D,MATCH($A555,'ZIP Coordinates'!$A:$A,0))-'ZIP Coordinates'!$D$2))))),"N/A")</f>
        <v>164.84247716245491</v>
      </c>
      <c r="G555" s="3" t="str">
        <f t="shared" si="16"/>
        <v>150-199 mi</v>
      </c>
      <c r="H555" s="27">
        <f>IF(RIGHT($B555,1)="P",1,IF(ISNUMBER(SEARCH("HALF GALLON",$C555)),Assumptions!$B$4,IF(ISNUMBER(SEARCH("GALLON",$C555)),Assumptions!$B$3,IF(ISNUMBER(SEARCH("QUART",$C555)),Assumptions!$B$5,IF(ISNUMBER(SEARCH("PINT",$C555)),Assumptions!$B$6,Assumptions!$B$7)))))</f>
        <v>1</v>
      </c>
      <c r="I555" s="27">
        <f t="shared" si="17"/>
        <v>63</v>
      </c>
    </row>
    <row r="556" spans="1:9" x14ac:dyDescent="0.2">
      <c r="A556" s="3" t="s">
        <v>33</v>
      </c>
      <c r="B556" s="3" t="s">
        <v>251</v>
      </c>
      <c r="C556" s="3" t="s">
        <v>252</v>
      </c>
      <c r="D556" s="3" t="s">
        <v>91</v>
      </c>
      <c r="E556" s="4">
        <v>143</v>
      </c>
      <c r="F556" s="5">
        <f>IFERROR(3958.8*ACOS(MIN(1,MAX(-1,SIN(RADIANS('ZIP Coordinates'!$C$2))*SIN(RADIANS(INDEX('ZIP Coordinates'!$C:$C,MATCH($A556,'ZIP Coordinates'!$A:$A,0))))+COS(RADIANS('ZIP Coordinates'!$C$2))*COS(RADIANS(INDEX('ZIP Coordinates'!$C:$C,MATCH($A556,'ZIP Coordinates'!$A:$A,0))))*COS(RADIANS(INDEX('ZIP Coordinates'!$D:$D,MATCH($A556,'ZIP Coordinates'!$A:$A,0))-'ZIP Coordinates'!$D$2))))),"N/A")</f>
        <v>164.84247716245491</v>
      </c>
      <c r="G556" s="3" t="str">
        <f t="shared" si="16"/>
        <v>150-199 mi</v>
      </c>
      <c r="H556" s="27">
        <f>IF(RIGHT($B556,1)="P",1,IF(ISNUMBER(SEARCH("HALF GALLON",$C556)),Assumptions!$B$4,IF(ISNUMBER(SEARCH("GALLON",$C556)),Assumptions!$B$3,IF(ISNUMBER(SEARCH("QUART",$C556)),Assumptions!$B$5,IF(ISNUMBER(SEARCH("PINT",$C556)),Assumptions!$B$6,Assumptions!$B$7)))))</f>
        <v>1</v>
      </c>
      <c r="I556" s="27">
        <f t="shared" si="17"/>
        <v>143</v>
      </c>
    </row>
    <row r="557" spans="1:9" x14ac:dyDescent="0.2">
      <c r="A557" s="3" t="s">
        <v>33</v>
      </c>
      <c r="B557" s="3" t="s">
        <v>288</v>
      </c>
      <c r="C557" s="3" t="s">
        <v>287</v>
      </c>
      <c r="D557" s="3" t="s">
        <v>91</v>
      </c>
      <c r="E557" s="4">
        <v>341</v>
      </c>
      <c r="F557" s="5">
        <f>IFERROR(3958.8*ACOS(MIN(1,MAX(-1,SIN(RADIANS('ZIP Coordinates'!$C$2))*SIN(RADIANS(INDEX('ZIP Coordinates'!$C:$C,MATCH($A557,'ZIP Coordinates'!$A:$A,0))))+COS(RADIANS('ZIP Coordinates'!$C$2))*COS(RADIANS(INDEX('ZIP Coordinates'!$C:$C,MATCH($A557,'ZIP Coordinates'!$A:$A,0))))*COS(RADIANS(INDEX('ZIP Coordinates'!$D:$D,MATCH($A557,'ZIP Coordinates'!$A:$A,0))-'ZIP Coordinates'!$D$2))))),"N/A")</f>
        <v>164.84247716245491</v>
      </c>
      <c r="G557" s="3" t="str">
        <f t="shared" si="16"/>
        <v>150-199 mi</v>
      </c>
      <c r="H557" s="27">
        <f>IF(RIGHT($B557,1)="P",1,IF(ISNUMBER(SEARCH("HALF GALLON",$C557)),Assumptions!$B$4,IF(ISNUMBER(SEARCH("GALLON",$C557)),Assumptions!$B$3,IF(ISNUMBER(SEARCH("QUART",$C557)),Assumptions!$B$5,IF(ISNUMBER(SEARCH("PINT",$C557)),Assumptions!$B$6,Assumptions!$B$7)))))</f>
        <v>1</v>
      </c>
      <c r="I557" s="27">
        <f t="shared" si="17"/>
        <v>341</v>
      </c>
    </row>
    <row r="558" spans="1:9" x14ac:dyDescent="0.2">
      <c r="A558" s="3" t="s">
        <v>33</v>
      </c>
      <c r="B558" s="3" t="s">
        <v>255</v>
      </c>
      <c r="C558" s="3" t="s">
        <v>256</v>
      </c>
      <c r="D558" s="3" t="s">
        <v>91</v>
      </c>
      <c r="E558" s="4">
        <v>1</v>
      </c>
      <c r="F558" s="5">
        <f>IFERROR(3958.8*ACOS(MIN(1,MAX(-1,SIN(RADIANS('ZIP Coordinates'!$C$2))*SIN(RADIANS(INDEX('ZIP Coordinates'!$C:$C,MATCH($A558,'ZIP Coordinates'!$A:$A,0))))+COS(RADIANS('ZIP Coordinates'!$C$2))*COS(RADIANS(INDEX('ZIP Coordinates'!$C:$C,MATCH($A558,'ZIP Coordinates'!$A:$A,0))))*COS(RADIANS(INDEX('ZIP Coordinates'!$D:$D,MATCH($A558,'ZIP Coordinates'!$A:$A,0))-'ZIP Coordinates'!$D$2))))),"N/A")</f>
        <v>164.84247716245491</v>
      </c>
      <c r="G558" s="3" t="str">
        <f t="shared" si="16"/>
        <v>150-199 mi</v>
      </c>
      <c r="H558" s="27">
        <f>IF(RIGHT($B558,1)="P",1,IF(ISNUMBER(SEARCH("HALF GALLON",$C558)),Assumptions!$B$4,IF(ISNUMBER(SEARCH("GALLON",$C558)),Assumptions!$B$3,IF(ISNUMBER(SEARCH("QUART",$C558)),Assumptions!$B$5,IF(ISNUMBER(SEARCH("PINT",$C558)),Assumptions!$B$6,Assumptions!$B$7)))))</f>
        <v>20</v>
      </c>
      <c r="I558" s="27">
        <f t="shared" si="17"/>
        <v>20</v>
      </c>
    </row>
    <row r="559" spans="1:9" x14ac:dyDescent="0.2">
      <c r="A559" s="3" t="s">
        <v>33</v>
      </c>
      <c r="B559" s="3" t="s">
        <v>257</v>
      </c>
      <c r="C559" s="3" t="s">
        <v>256</v>
      </c>
      <c r="D559" s="3" t="s">
        <v>91</v>
      </c>
      <c r="E559" s="4">
        <v>605</v>
      </c>
      <c r="F559" s="5">
        <f>IFERROR(3958.8*ACOS(MIN(1,MAX(-1,SIN(RADIANS('ZIP Coordinates'!$C$2))*SIN(RADIANS(INDEX('ZIP Coordinates'!$C:$C,MATCH($A559,'ZIP Coordinates'!$A:$A,0))))+COS(RADIANS('ZIP Coordinates'!$C$2))*COS(RADIANS(INDEX('ZIP Coordinates'!$C:$C,MATCH($A559,'ZIP Coordinates'!$A:$A,0))))*COS(RADIANS(INDEX('ZIP Coordinates'!$D:$D,MATCH($A559,'ZIP Coordinates'!$A:$A,0))-'ZIP Coordinates'!$D$2))))),"N/A")</f>
        <v>164.84247716245491</v>
      </c>
      <c r="G559" s="3" t="str">
        <f t="shared" si="16"/>
        <v>150-199 mi</v>
      </c>
      <c r="H559" s="27">
        <f>IF(RIGHT($B559,1)="P",1,IF(ISNUMBER(SEARCH("HALF GALLON",$C559)),Assumptions!$B$4,IF(ISNUMBER(SEARCH("GALLON",$C559)),Assumptions!$B$3,IF(ISNUMBER(SEARCH("QUART",$C559)),Assumptions!$B$5,IF(ISNUMBER(SEARCH("PINT",$C559)),Assumptions!$B$6,Assumptions!$B$7)))))</f>
        <v>1</v>
      </c>
      <c r="I559" s="27">
        <f t="shared" si="17"/>
        <v>605</v>
      </c>
    </row>
    <row r="560" spans="1:9" x14ac:dyDescent="0.2">
      <c r="A560" s="3" t="s">
        <v>34</v>
      </c>
      <c r="B560" s="3" t="s">
        <v>259</v>
      </c>
      <c r="C560" s="3" t="s">
        <v>260</v>
      </c>
      <c r="D560" s="3" t="s">
        <v>144</v>
      </c>
      <c r="E560" s="4">
        <v>60</v>
      </c>
      <c r="F560" s="5">
        <f>IFERROR(3958.8*ACOS(MIN(1,MAX(-1,SIN(RADIANS('ZIP Coordinates'!$C$2))*SIN(RADIANS(INDEX('ZIP Coordinates'!$C:$C,MATCH($A560,'ZIP Coordinates'!$A:$A,0))))+COS(RADIANS('ZIP Coordinates'!$C$2))*COS(RADIANS(INDEX('ZIP Coordinates'!$C:$C,MATCH($A560,'ZIP Coordinates'!$A:$A,0))))*COS(RADIANS(INDEX('ZIP Coordinates'!$D:$D,MATCH($A560,'ZIP Coordinates'!$A:$A,0))-'ZIP Coordinates'!$D$2))))),"N/A")</f>
        <v>168.97312266710628</v>
      </c>
      <c r="G560" s="3" t="str">
        <f t="shared" si="16"/>
        <v>150-199 mi</v>
      </c>
      <c r="H560" s="27">
        <f>IF(RIGHT($B560,1)="P",1,IF(ISNUMBER(SEARCH("HALF GALLON",$C560)),Assumptions!$B$4,IF(ISNUMBER(SEARCH("GALLON",$C560)),Assumptions!$B$3,IF(ISNUMBER(SEARCH("QUART",$C560)),Assumptions!$B$5,IF(ISNUMBER(SEARCH("PINT",$C560)),Assumptions!$B$6,Assumptions!$B$7)))))</f>
        <v>4</v>
      </c>
      <c r="I560" s="27">
        <f t="shared" si="17"/>
        <v>240</v>
      </c>
    </row>
    <row r="561" spans="1:9" x14ac:dyDescent="0.2">
      <c r="A561" s="3" t="s">
        <v>34</v>
      </c>
      <c r="B561" s="3" t="s">
        <v>241</v>
      </c>
      <c r="C561" s="3" t="s">
        <v>242</v>
      </c>
      <c r="D561" s="3" t="s">
        <v>174</v>
      </c>
      <c r="E561" s="4">
        <v>35</v>
      </c>
      <c r="F561" s="5">
        <f>IFERROR(3958.8*ACOS(MIN(1,MAX(-1,SIN(RADIANS('ZIP Coordinates'!$C$2))*SIN(RADIANS(INDEX('ZIP Coordinates'!$C:$C,MATCH($A561,'ZIP Coordinates'!$A:$A,0))))+COS(RADIANS('ZIP Coordinates'!$C$2))*COS(RADIANS(INDEX('ZIP Coordinates'!$C:$C,MATCH($A561,'ZIP Coordinates'!$A:$A,0))))*COS(RADIANS(INDEX('ZIP Coordinates'!$D:$D,MATCH($A561,'ZIP Coordinates'!$A:$A,0))-'ZIP Coordinates'!$D$2))))),"N/A")</f>
        <v>168.97312266710628</v>
      </c>
      <c r="G561" s="3" t="str">
        <f t="shared" si="16"/>
        <v>150-199 mi</v>
      </c>
      <c r="H561" s="27">
        <f>IF(RIGHT($B561,1)="P",1,IF(ISNUMBER(SEARCH("HALF GALLON",$C561)),Assumptions!$B$4,IF(ISNUMBER(SEARCH("GALLON",$C561)),Assumptions!$B$3,IF(ISNUMBER(SEARCH("QUART",$C561)),Assumptions!$B$5,IF(ISNUMBER(SEARCH("PINT",$C561)),Assumptions!$B$6,Assumptions!$B$7)))))</f>
        <v>1</v>
      </c>
      <c r="I561" s="27">
        <f t="shared" si="17"/>
        <v>35</v>
      </c>
    </row>
    <row r="562" spans="1:9" x14ac:dyDescent="0.2">
      <c r="A562" s="3" t="s">
        <v>34</v>
      </c>
      <c r="B562" s="3" t="s">
        <v>243</v>
      </c>
      <c r="C562" s="3" t="s">
        <v>244</v>
      </c>
      <c r="D562" s="3" t="s">
        <v>174</v>
      </c>
      <c r="E562" s="4">
        <v>6</v>
      </c>
      <c r="F562" s="5">
        <f>IFERROR(3958.8*ACOS(MIN(1,MAX(-1,SIN(RADIANS('ZIP Coordinates'!$C$2))*SIN(RADIANS(INDEX('ZIP Coordinates'!$C:$C,MATCH($A562,'ZIP Coordinates'!$A:$A,0))))+COS(RADIANS('ZIP Coordinates'!$C$2))*COS(RADIANS(INDEX('ZIP Coordinates'!$C:$C,MATCH($A562,'ZIP Coordinates'!$A:$A,0))))*COS(RADIANS(INDEX('ZIP Coordinates'!$D:$D,MATCH($A562,'ZIP Coordinates'!$A:$A,0))-'ZIP Coordinates'!$D$2))))),"N/A")</f>
        <v>168.97312266710628</v>
      </c>
      <c r="G562" s="3" t="str">
        <f t="shared" si="16"/>
        <v>150-199 mi</v>
      </c>
      <c r="H562" s="27">
        <f>IF(RIGHT($B562,1)="P",1,IF(ISNUMBER(SEARCH("HALF GALLON",$C562)),Assumptions!$B$4,IF(ISNUMBER(SEARCH("GALLON",$C562)),Assumptions!$B$3,IF(ISNUMBER(SEARCH("QUART",$C562)),Assumptions!$B$5,IF(ISNUMBER(SEARCH("PINT",$C562)),Assumptions!$B$6,Assumptions!$B$7)))))</f>
        <v>1</v>
      </c>
      <c r="I562" s="27">
        <f t="shared" si="17"/>
        <v>6</v>
      </c>
    </row>
    <row r="563" spans="1:9" x14ac:dyDescent="0.2">
      <c r="A563" s="3" t="s">
        <v>34</v>
      </c>
      <c r="B563" s="3" t="s">
        <v>276</v>
      </c>
      <c r="C563" s="3" t="s">
        <v>275</v>
      </c>
      <c r="D563" s="3" t="s">
        <v>144</v>
      </c>
      <c r="E563" s="4">
        <v>64</v>
      </c>
      <c r="F563" s="5">
        <f>IFERROR(3958.8*ACOS(MIN(1,MAX(-1,SIN(RADIANS('ZIP Coordinates'!$C$2))*SIN(RADIANS(INDEX('ZIP Coordinates'!$C:$C,MATCH($A563,'ZIP Coordinates'!$A:$A,0))))+COS(RADIANS('ZIP Coordinates'!$C$2))*COS(RADIANS(INDEX('ZIP Coordinates'!$C:$C,MATCH($A563,'ZIP Coordinates'!$A:$A,0))))*COS(RADIANS(INDEX('ZIP Coordinates'!$D:$D,MATCH($A563,'ZIP Coordinates'!$A:$A,0))-'ZIP Coordinates'!$D$2))))),"N/A")</f>
        <v>168.97312266710628</v>
      </c>
      <c r="G563" s="3" t="str">
        <f t="shared" si="16"/>
        <v>150-199 mi</v>
      </c>
      <c r="H563" s="27">
        <f>IF(RIGHT($B563,1)="P",1,IF(ISNUMBER(SEARCH("HALF GALLON",$C563)),Assumptions!$B$4,IF(ISNUMBER(SEARCH("GALLON",$C563)),Assumptions!$B$3,IF(ISNUMBER(SEARCH("QUART",$C563)),Assumptions!$B$5,IF(ISNUMBER(SEARCH("PINT",$C563)),Assumptions!$B$6,Assumptions!$B$7)))))</f>
        <v>1</v>
      </c>
      <c r="I563" s="27">
        <f t="shared" si="17"/>
        <v>64</v>
      </c>
    </row>
    <row r="564" spans="1:9" x14ac:dyDescent="0.2">
      <c r="A564" s="3" t="s">
        <v>35</v>
      </c>
      <c r="B564" s="3" t="s">
        <v>258</v>
      </c>
      <c r="C564" s="3" t="s">
        <v>240</v>
      </c>
      <c r="D564" s="3" t="s">
        <v>100</v>
      </c>
      <c r="E564" s="4">
        <v>12</v>
      </c>
      <c r="F564" s="5">
        <f>IFERROR(3958.8*ACOS(MIN(1,MAX(-1,SIN(RADIANS('ZIP Coordinates'!$C$2))*SIN(RADIANS(INDEX('ZIP Coordinates'!$C:$C,MATCH($A564,'ZIP Coordinates'!$A:$A,0))))+COS(RADIANS('ZIP Coordinates'!$C$2))*COS(RADIANS(INDEX('ZIP Coordinates'!$C:$C,MATCH($A564,'ZIP Coordinates'!$A:$A,0))))*COS(RADIANS(INDEX('ZIP Coordinates'!$D:$D,MATCH($A564,'ZIP Coordinates'!$A:$A,0))-'ZIP Coordinates'!$D$2))))),"N/A")</f>
        <v>144.62058702086327</v>
      </c>
      <c r="G564" s="3" t="str">
        <f t="shared" si="16"/>
        <v>100-149 mi</v>
      </c>
      <c r="H564" s="27">
        <f>IF(RIGHT($B564,1)="P",1,IF(ISNUMBER(SEARCH("HALF GALLON",$C564)),Assumptions!$B$4,IF(ISNUMBER(SEARCH("GALLON",$C564)),Assumptions!$B$3,IF(ISNUMBER(SEARCH("QUART",$C564)),Assumptions!$B$5,IF(ISNUMBER(SEARCH("PINT",$C564)),Assumptions!$B$6,Assumptions!$B$7)))))</f>
        <v>4</v>
      </c>
      <c r="I564" s="27">
        <f t="shared" si="17"/>
        <v>48</v>
      </c>
    </row>
    <row r="565" spans="1:9" x14ac:dyDescent="0.2">
      <c r="A565" s="3" t="s">
        <v>35</v>
      </c>
      <c r="B565" s="3" t="s">
        <v>239</v>
      </c>
      <c r="C565" s="3" t="s">
        <v>240</v>
      </c>
      <c r="D565" s="3" t="s">
        <v>100</v>
      </c>
      <c r="E565" s="4">
        <v>4</v>
      </c>
      <c r="F565" s="5">
        <f>IFERROR(3958.8*ACOS(MIN(1,MAX(-1,SIN(RADIANS('ZIP Coordinates'!$C$2))*SIN(RADIANS(INDEX('ZIP Coordinates'!$C:$C,MATCH($A565,'ZIP Coordinates'!$A:$A,0))))+COS(RADIANS('ZIP Coordinates'!$C$2))*COS(RADIANS(INDEX('ZIP Coordinates'!$C:$C,MATCH($A565,'ZIP Coordinates'!$A:$A,0))))*COS(RADIANS(INDEX('ZIP Coordinates'!$D:$D,MATCH($A565,'ZIP Coordinates'!$A:$A,0))-'ZIP Coordinates'!$D$2))))),"N/A")</f>
        <v>144.62058702086327</v>
      </c>
      <c r="G565" s="3" t="str">
        <f t="shared" si="16"/>
        <v>100-149 mi</v>
      </c>
      <c r="H565" s="27">
        <f>IF(RIGHT($B565,1)="P",1,IF(ISNUMBER(SEARCH("HALF GALLON",$C565)),Assumptions!$B$4,IF(ISNUMBER(SEARCH("GALLON",$C565)),Assumptions!$B$3,IF(ISNUMBER(SEARCH("QUART",$C565)),Assumptions!$B$5,IF(ISNUMBER(SEARCH("PINT",$C565)),Assumptions!$B$6,Assumptions!$B$7)))))</f>
        <v>1</v>
      </c>
      <c r="I565" s="27">
        <f t="shared" si="17"/>
        <v>4</v>
      </c>
    </row>
    <row r="566" spans="1:9" x14ac:dyDescent="0.2">
      <c r="A566" s="3" t="s">
        <v>35</v>
      </c>
      <c r="B566" s="3" t="s">
        <v>259</v>
      </c>
      <c r="C566" s="3" t="s">
        <v>260</v>
      </c>
      <c r="D566" s="3" t="s">
        <v>100</v>
      </c>
      <c r="E566" s="4">
        <v>12</v>
      </c>
      <c r="F566" s="5">
        <f>IFERROR(3958.8*ACOS(MIN(1,MAX(-1,SIN(RADIANS('ZIP Coordinates'!$C$2))*SIN(RADIANS(INDEX('ZIP Coordinates'!$C:$C,MATCH($A566,'ZIP Coordinates'!$A:$A,0))))+COS(RADIANS('ZIP Coordinates'!$C$2))*COS(RADIANS(INDEX('ZIP Coordinates'!$C:$C,MATCH($A566,'ZIP Coordinates'!$A:$A,0))))*COS(RADIANS(INDEX('ZIP Coordinates'!$D:$D,MATCH($A566,'ZIP Coordinates'!$A:$A,0))-'ZIP Coordinates'!$D$2))))),"N/A")</f>
        <v>144.62058702086327</v>
      </c>
      <c r="G566" s="3" t="str">
        <f t="shared" si="16"/>
        <v>100-149 mi</v>
      </c>
      <c r="H566" s="27">
        <f>IF(RIGHT($B566,1)="P",1,IF(ISNUMBER(SEARCH("HALF GALLON",$C566)),Assumptions!$B$4,IF(ISNUMBER(SEARCH("GALLON",$C566)),Assumptions!$B$3,IF(ISNUMBER(SEARCH("QUART",$C566)),Assumptions!$B$5,IF(ISNUMBER(SEARCH("PINT",$C566)),Assumptions!$B$6,Assumptions!$B$7)))))</f>
        <v>4</v>
      </c>
      <c r="I566" s="27">
        <f t="shared" si="17"/>
        <v>48</v>
      </c>
    </row>
    <row r="567" spans="1:9" x14ac:dyDescent="0.2">
      <c r="A567" s="3" t="s">
        <v>35</v>
      </c>
      <c r="B567" s="3" t="s">
        <v>241</v>
      </c>
      <c r="C567" s="3" t="s">
        <v>242</v>
      </c>
      <c r="D567" s="3" t="s">
        <v>100</v>
      </c>
      <c r="E567" s="4">
        <v>70</v>
      </c>
      <c r="F567" s="5">
        <f>IFERROR(3958.8*ACOS(MIN(1,MAX(-1,SIN(RADIANS('ZIP Coordinates'!$C$2))*SIN(RADIANS(INDEX('ZIP Coordinates'!$C:$C,MATCH($A567,'ZIP Coordinates'!$A:$A,0))))+COS(RADIANS('ZIP Coordinates'!$C$2))*COS(RADIANS(INDEX('ZIP Coordinates'!$C:$C,MATCH($A567,'ZIP Coordinates'!$A:$A,0))))*COS(RADIANS(INDEX('ZIP Coordinates'!$D:$D,MATCH($A567,'ZIP Coordinates'!$A:$A,0))-'ZIP Coordinates'!$D$2))))),"N/A")</f>
        <v>144.62058702086327</v>
      </c>
      <c r="G567" s="3" t="str">
        <f t="shared" si="16"/>
        <v>100-149 mi</v>
      </c>
      <c r="H567" s="27">
        <f>IF(RIGHT($B567,1)="P",1,IF(ISNUMBER(SEARCH("HALF GALLON",$C567)),Assumptions!$B$4,IF(ISNUMBER(SEARCH("GALLON",$C567)),Assumptions!$B$3,IF(ISNUMBER(SEARCH("QUART",$C567)),Assumptions!$B$5,IF(ISNUMBER(SEARCH("PINT",$C567)),Assumptions!$B$6,Assumptions!$B$7)))))</f>
        <v>1</v>
      </c>
      <c r="I567" s="27">
        <f t="shared" si="17"/>
        <v>70</v>
      </c>
    </row>
    <row r="568" spans="1:9" x14ac:dyDescent="0.2">
      <c r="A568" s="3" t="s">
        <v>35</v>
      </c>
      <c r="B568" s="3" t="s">
        <v>243</v>
      </c>
      <c r="C568" s="3" t="s">
        <v>244</v>
      </c>
      <c r="D568" s="3" t="s">
        <v>100</v>
      </c>
      <c r="E568" s="4">
        <v>79</v>
      </c>
      <c r="F568" s="5">
        <f>IFERROR(3958.8*ACOS(MIN(1,MAX(-1,SIN(RADIANS('ZIP Coordinates'!$C$2))*SIN(RADIANS(INDEX('ZIP Coordinates'!$C:$C,MATCH($A568,'ZIP Coordinates'!$A:$A,0))))+COS(RADIANS('ZIP Coordinates'!$C$2))*COS(RADIANS(INDEX('ZIP Coordinates'!$C:$C,MATCH($A568,'ZIP Coordinates'!$A:$A,0))))*COS(RADIANS(INDEX('ZIP Coordinates'!$D:$D,MATCH($A568,'ZIP Coordinates'!$A:$A,0))-'ZIP Coordinates'!$D$2))))),"N/A")</f>
        <v>144.62058702086327</v>
      </c>
      <c r="G568" s="3" t="str">
        <f t="shared" si="16"/>
        <v>100-149 mi</v>
      </c>
      <c r="H568" s="27">
        <f>IF(RIGHT($B568,1)="P",1,IF(ISNUMBER(SEARCH("HALF GALLON",$C568)),Assumptions!$B$4,IF(ISNUMBER(SEARCH("GALLON",$C568)),Assumptions!$B$3,IF(ISNUMBER(SEARCH("QUART",$C568)),Assumptions!$B$5,IF(ISNUMBER(SEARCH("PINT",$C568)),Assumptions!$B$6,Assumptions!$B$7)))))</f>
        <v>1</v>
      </c>
      <c r="I568" s="27">
        <f t="shared" si="17"/>
        <v>79</v>
      </c>
    </row>
    <row r="569" spans="1:9" x14ac:dyDescent="0.2">
      <c r="A569" s="3" t="s">
        <v>35</v>
      </c>
      <c r="B569" s="3" t="s">
        <v>274</v>
      </c>
      <c r="C569" s="3" t="s">
        <v>275</v>
      </c>
      <c r="D569" s="3" t="s">
        <v>100</v>
      </c>
      <c r="E569" s="4">
        <v>3</v>
      </c>
      <c r="F569" s="5">
        <f>IFERROR(3958.8*ACOS(MIN(1,MAX(-1,SIN(RADIANS('ZIP Coordinates'!$C$2))*SIN(RADIANS(INDEX('ZIP Coordinates'!$C:$C,MATCH($A569,'ZIP Coordinates'!$A:$A,0))))+COS(RADIANS('ZIP Coordinates'!$C$2))*COS(RADIANS(INDEX('ZIP Coordinates'!$C:$C,MATCH($A569,'ZIP Coordinates'!$A:$A,0))))*COS(RADIANS(INDEX('ZIP Coordinates'!$D:$D,MATCH($A569,'ZIP Coordinates'!$A:$A,0))-'ZIP Coordinates'!$D$2))))),"N/A")</f>
        <v>144.62058702086327</v>
      </c>
      <c r="G569" s="3" t="str">
        <f t="shared" si="16"/>
        <v>100-149 mi</v>
      </c>
      <c r="H569" s="27">
        <f>IF(RIGHT($B569,1)="P",1,IF(ISNUMBER(SEARCH("HALF GALLON",$C569)),Assumptions!$B$4,IF(ISNUMBER(SEARCH("GALLON",$C569)),Assumptions!$B$3,IF(ISNUMBER(SEARCH("QUART",$C569)),Assumptions!$B$5,IF(ISNUMBER(SEARCH("PINT",$C569)),Assumptions!$B$6,Assumptions!$B$7)))))</f>
        <v>9</v>
      </c>
      <c r="I569" s="27">
        <f t="shared" si="17"/>
        <v>27</v>
      </c>
    </row>
    <row r="570" spans="1:9" x14ac:dyDescent="0.2">
      <c r="A570" s="3" t="s">
        <v>35</v>
      </c>
      <c r="B570" s="3" t="s">
        <v>276</v>
      </c>
      <c r="C570" s="3" t="s">
        <v>275</v>
      </c>
      <c r="D570" s="3" t="s">
        <v>100</v>
      </c>
      <c r="E570" s="4">
        <v>65</v>
      </c>
      <c r="F570" s="5">
        <f>IFERROR(3958.8*ACOS(MIN(1,MAX(-1,SIN(RADIANS('ZIP Coordinates'!$C$2))*SIN(RADIANS(INDEX('ZIP Coordinates'!$C:$C,MATCH($A570,'ZIP Coordinates'!$A:$A,0))))+COS(RADIANS('ZIP Coordinates'!$C$2))*COS(RADIANS(INDEX('ZIP Coordinates'!$C:$C,MATCH($A570,'ZIP Coordinates'!$A:$A,0))))*COS(RADIANS(INDEX('ZIP Coordinates'!$D:$D,MATCH($A570,'ZIP Coordinates'!$A:$A,0))-'ZIP Coordinates'!$D$2))))),"N/A")</f>
        <v>144.62058702086327</v>
      </c>
      <c r="G570" s="3" t="str">
        <f t="shared" si="16"/>
        <v>100-149 mi</v>
      </c>
      <c r="H570" s="27">
        <f>IF(RIGHT($B570,1)="P",1,IF(ISNUMBER(SEARCH("HALF GALLON",$C570)),Assumptions!$B$4,IF(ISNUMBER(SEARCH("GALLON",$C570)),Assumptions!$B$3,IF(ISNUMBER(SEARCH("QUART",$C570)),Assumptions!$B$5,IF(ISNUMBER(SEARCH("PINT",$C570)),Assumptions!$B$6,Assumptions!$B$7)))))</f>
        <v>1</v>
      </c>
      <c r="I570" s="27">
        <f t="shared" si="17"/>
        <v>65</v>
      </c>
    </row>
    <row r="571" spans="1:9" x14ac:dyDescent="0.2">
      <c r="A571" s="3" t="s">
        <v>35</v>
      </c>
      <c r="B571" s="3" t="s">
        <v>247</v>
      </c>
      <c r="C571" s="3" t="s">
        <v>246</v>
      </c>
      <c r="D571" s="3" t="s">
        <v>100</v>
      </c>
      <c r="E571" s="4">
        <v>130</v>
      </c>
      <c r="F571" s="5">
        <f>IFERROR(3958.8*ACOS(MIN(1,MAX(-1,SIN(RADIANS('ZIP Coordinates'!$C$2))*SIN(RADIANS(INDEX('ZIP Coordinates'!$C:$C,MATCH($A571,'ZIP Coordinates'!$A:$A,0))))+COS(RADIANS('ZIP Coordinates'!$C$2))*COS(RADIANS(INDEX('ZIP Coordinates'!$C:$C,MATCH($A571,'ZIP Coordinates'!$A:$A,0))))*COS(RADIANS(INDEX('ZIP Coordinates'!$D:$D,MATCH($A571,'ZIP Coordinates'!$A:$A,0))-'ZIP Coordinates'!$D$2))))),"N/A")</f>
        <v>144.62058702086327</v>
      </c>
      <c r="G571" s="3" t="str">
        <f t="shared" si="16"/>
        <v>100-149 mi</v>
      </c>
      <c r="H571" s="27">
        <f>IF(RIGHT($B571,1)="P",1,IF(ISNUMBER(SEARCH("HALF GALLON",$C571)),Assumptions!$B$4,IF(ISNUMBER(SEARCH("GALLON",$C571)),Assumptions!$B$3,IF(ISNUMBER(SEARCH("QUART",$C571)),Assumptions!$B$5,IF(ISNUMBER(SEARCH("PINT",$C571)),Assumptions!$B$6,Assumptions!$B$7)))))</f>
        <v>1</v>
      </c>
      <c r="I571" s="27">
        <f t="shared" si="17"/>
        <v>130</v>
      </c>
    </row>
    <row r="572" spans="1:9" x14ac:dyDescent="0.2">
      <c r="A572" s="3" t="s">
        <v>35</v>
      </c>
      <c r="B572" s="3" t="s">
        <v>250</v>
      </c>
      <c r="C572" s="3" t="s">
        <v>249</v>
      </c>
      <c r="D572" s="3" t="s">
        <v>100</v>
      </c>
      <c r="E572" s="4">
        <v>127</v>
      </c>
      <c r="F572" s="5">
        <f>IFERROR(3958.8*ACOS(MIN(1,MAX(-1,SIN(RADIANS('ZIP Coordinates'!$C$2))*SIN(RADIANS(INDEX('ZIP Coordinates'!$C:$C,MATCH($A572,'ZIP Coordinates'!$A:$A,0))))+COS(RADIANS('ZIP Coordinates'!$C$2))*COS(RADIANS(INDEX('ZIP Coordinates'!$C:$C,MATCH($A572,'ZIP Coordinates'!$A:$A,0))))*COS(RADIANS(INDEX('ZIP Coordinates'!$D:$D,MATCH($A572,'ZIP Coordinates'!$A:$A,0))-'ZIP Coordinates'!$D$2))))),"N/A")</f>
        <v>144.62058702086327</v>
      </c>
      <c r="G572" s="3" t="str">
        <f t="shared" si="16"/>
        <v>100-149 mi</v>
      </c>
      <c r="H572" s="27">
        <f>IF(RIGHT($B572,1)="P",1,IF(ISNUMBER(SEARCH("HALF GALLON",$C572)),Assumptions!$B$4,IF(ISNUMBER(SEARCH("GALLON",$C572)),Assumptions!$B$3,IF(ISNUMBER(SEARCH("QUART",$C572)),Assumptions!$B$5,IF(ISNUMBER(SEARCH("PINT",$C572)),Assumptions!$B$6,Assumptions!$B$7)))))</f>
        <v>1</v>
      </c>
      <c r="I572" s="27">
        <f t="shared" si="17"/>
        <v>127</v>
      </c>
    </row>
    <row r="573" spans="1:9" x14ac:dyDescent="0.2">
      <c r="A573" s="3" t="s">
        <v>35</v>
      </c>
      <c r="B573" s="3" t="s">
        <v>251</v>
      </c>
      <c r="C573" s="3" t="s">
        <v>252</v>
      </c>
      <c r="D573" s="3" t="s">
        <v>100</v>
      </c>
      <c r="E573" s="4">
        <v>133</v>
      </c>
      <c r="F573" s="5">
        <f>IFERROR(3958.8*ACOS(MIN(1,MAX(-1,SIN(RADIANS('ZIP Coordinates'!$C$2))*SIN(RADIANS(INDEX('ZIP Coordinates'!$C:$C,MATCH($A573,'ZIP Coordinates'!$A:$A,0))))+COS(RADIANS('ZIP Coordinates'!$C$2))*COS(RADIANS(INDEX('ZIP Coordinates'!$C:$C,MATCH($A573,'ZIP Coordinates'!$A:$A,0))))*COS(RADIANS(INDEX('ZIP Coordinates'!$D:$D,MATCH($A573,'ZIP Coordinates'!$A:$A,0))-'ZIP Coordinates'!$D$2))))),"N/A")</f>
        <v>144.62058702086327</v>
      </c>
      <c r="G573" s="3" t="str">
        <f t="shared" si="16"/>
        <v>100-149 mi</v>
      </c>
      <c r="H573" s="27">
        <f>IF(RIGHT($B573,1)="P",1,IF(ISNUMBER(SEARCH("HALF GALLON",$C573)),Assumptions!$B$4,IF(ISNUMBER(SEARCH("GALLON",$C573)),Assumptions!$B$3,IF(ISNUMBER(SEARCH("QUART",$C573)),Assumptions!$B$5,IF(ISNUMBER(SEARCH("PINT",$C573)),Assumptions!$B$6,Assumptions!$B$7)))))</f>
        <v>1</v>
      </c>
      <c r="I573" s="27">
        <f t="shared" si="17"/>
        <v>133</v>
      </c>
    </row>
    <row r="574" spans="1:9" x14ac:dyDescent="0.2">
      <c r="A574" s="3" t="s">
        <v>35</v>
      </c>
      <c r="B574" s="3" t="s">
        <v>286</v>
      </c>
      <c r="C574" s="3" t="s">
        <v>287</v>
      </c>
      <c r="D574" s="3" t="s">
        <v>100</v>
      </c>
      <c r="E574" s="4">
        <v>100</v>
      </c>
      <c r="F574" s="5">
        <f>IFERROR(3958.8*ACOS(MIN(1,MAX(-1,SIN(RADIANS('ZIP Coordinates'!$C$2))*SIN(RADIANS(INDEX('ZIP Coordinates'!$C:$C,MATCH($A574,'ZIP Coordinates'!$A:$A,0))))+COS(RADIANS('ZIP Coordinates'!$C$2))*COS(RADIANS(INDEX('ZIP Coordinates'!$C:$C,MATCH($A574,'ZIP Coordinates'!$A:$A,0))))*COS(RADIANS(INDEX('ZIP Coordinates'!$D:$D,MATCH($A574,'ZIP Coordinates'!$A:$A,0))-'ZIP Coordinates'!$D$2))))),"N/A")</f>
        <v>144.62058702086327</v>
      </c>
      <c r="G574" s="3" t="str">
        <f t="shared" si="16"/>
        <v>100-149 mi</v>
      </c>
      <c r="H574" s="27">
        <f>IF(RIGHT($B574,1)="P",1,IF(ISNUMBER(SEARCH("HALF GALLON",$C574)),Assumptions!$B$4,IF(ISNUMBER(SEARCH("GALLON",$C574)),Assumptions!$B$3,IF(ISNUMBER(SEARCH("QUART",$C574)),Assumptions!$B$5,IF(ISNUMBER(SEARCH("PINT",$C574)),Assumptions!$B$6,Assumptions!$B$7)))))</f>
        <v>9</v>
      </c>
      <c r="I574" s="27">
        <f t="shared" si="17"/>
        <v>900</v>
      </c>
    </row>
    <row r="575" spans="1:9" x14ac:dyDescent="0.2">
      <c r="A575" s="3" t="s">
        <v>35</v>
      </c>
      <c r="B575" s="3" t="s">
        <v>255</v>
      </c>
      <c r="C575" s="3" t="s">
        <v>256</v>
      </c>
      <c r="D575" s="3" t="s">
        <v>100</v>
      </c>
      <c r="E575" s="4">
        <v>63</v>
      </c>
      <c r="F575" s="5">
        <f>IFERROR(3958.8*ACOS(MIN(1,MAX(-1,SIN(RADIANS('ZIP Coordinates'!$C$2))*SIN(RADIANS(INDEX('ZIP Coordinates'!$C:$C,MATCH($A575,'ZIP Coordinates'!$A:$A,0))))+COS(RADIANS('ZIP Coordinates'!$C$2))*COS(RADIANS(INDEX('ZIP Coordinates'!$C:$C,MATCH($A575,'ZIP Coordinates'!$A:$A,0))))*COS(RADIANS(INDEX('ZIP Coordinates'!$D:$D,MATCH($A575,'ZIP Coordinates'!$A:$A,0))-'ZIP Coordinates'!$D$2))))),"N/A")</f>
        <v>144.62058702086327</v>
      </c>
      <c r="G575" s="3" t="str">
        <f t="shared" si="16"/>
        <v>100-149 mi</v>
      </c>
      <c r="H575" s="27">
        <f>IF(RIGHT($B575,1)="P",1,IF(ISNUMBER(SEARCH("HALF GALLON",$C575)),Assumptions!$B$4,IF(ISNUMBER(SEARCH("GALLON",$C575)),Assumptions!$B$3,IF(ISNUMBER(SEARCH("QUART",$C575)),Assumptions!$B$5,IF(ISNUMBER(SEARCH("PINT",$C575)),Assumptions!$B$6,Assumptions!$B$7)))))</f>
        <v>20</v>
      </c>
      <c r="I575" s="27">
        <f t="shared" si="17"/>
        <v>1260</v>
      </c>
    </row>
    <row r="576" spans="1:9" x14ac:dyDescent="0.2">
      <c r="A576" s="3" t="s">
        <v>36</v>
      </c>
      <c r="B576" s="3" t="s">
        <v>258</v>
      </c>
      <c r="C576" s="3" t="s">
        <v>240</v>
      </c>
      <c r="D576" s="3" t="s">
        <v>217</v>
      </c>
      <c r="E576" s="4">
        <v>2</v>
      </c>
      <c r="F576" s="5">
        <f>IFERROR(3958.8*ACOS(MIN(1,MAX(-1,SIN(RADIANS('ZIP Coordinates'!$C$2))*SIN(RADIANS(INDEX('ZIP Coordinates'!$C:$C,MATCH($A576,'ZIP Coordinates'!$A:$A,0))))+COS(RADIANS('ZIP Coordinates'!$C$2))*COS(RADIANS(INDEX('ZIP Coordinates'!$C:$C,MATCH($A576,'ZIP Coordinates'!$A:$A,0))))*COS(RADIANS(INDEX('ZIP Coordinates'!$D:$D,MATCH($A576,'ZIP Coordinates'!$A:$A,0))-'ZIP Coordinates'!$D$2))))),"N/A")</f>
        <v>177.14727978591571</v>
      </c>
      <c r="G576" s="3" t="str">
        <f t="shared" si="16"/>
        <v>150-199 mi</v>
      </c>
      <c r="H576" s="27">
        <f>IF(RIGHT($B576,1)="P",1,IF(ISNUMBER(SEARCH("HALF GALLON",$C576)),Assumptions!$B$4,IF(ISNUMBER(SEARCH("GALLON",$C576)),Assumptions!$B$3,IF(ISNUMBER(SEARCH("QUART",$C576)),Assumptions!$B$5,IF(ISNUMBER(SEARCH("PINT",$C576)),Assumptions!$B$6,Assumptions!$B$7)))))</f>
        <v>4</v>
      </c>
      <c r="I576" s="27">
        <f t="shared" si="17"/>
        <v>8</v>
      </c>
    </row>
    <row r="577" spans="1:9" x14ac:dyDescent="0.2">
      <c r="A577" s="3" t="s">
        <v>37</v>
      </c>
      <c r="B577" s="3" t="s">
        <v>247</v>
      </c>
      <c r="C577" s="3" t="s">
        <v>246</v>
      </c>
      <c r="D577" s="3" t="s">
        <v>122</v>
      </c>
      <c r="E577" s="4">
        <v>108</v>
      </c>
      <c r="F577" s="5">
        <f>IFERROR(3958.8*ACOS(MIN(1,MAX(-1,SIN(RADIANS('ZIP Coordinates'!$C$2))*SIN(RADIANS(INDEX('ZIP Coordinates'!$C:$C,MATCH($A577,'ZIP Coordinates'!$A:$A,0))))+COS(RADIANS('ZIP Coordinates'!$C$2))*COS(RADIANS(INDEX('ZIP Coordinates'!$C:$C,MATCH($A577,'ZIP Coordinates'!$A:$A,0))))*COS(RADIANS(INDEX('ZIP Coordinates'!$D:$D,MATCH($A577,'ZIP Coordinates'!$A:$A,0))-'ZIP Coordinates'!$D$2))))),"N/A")</f>
        <v>178.20658975537148</v>
      </c>
      <c r="G577" s="3" t="str">
        <f t="shared" si="16"/>
        <v>150-199 mi</v>
      </c>
      <c r="H577" s="27">
        <f>IF(RIGHT($B577,1)="P",1,IF(ISNUMBER(SEARCH("HALF GALLON",$C577)),Assumptions!$B$4,IF(ISNUMBER(SEARCH("GALLON",$C577)),Assumptions!$B$3,IF(ISNUMBER(SEARCH("QUART",$C577)),Assumptions!$B$5,IF(ISNUMBER(SEARCH("PINT",$C577)),Assumptions!$B$6,Assumptions!$B$7)))))</f>
        <v>1</v>
      </c>
      <c r="I577" s="27">
        <f t="shared" si="17"/>
        <v>108</v>
      </c>
    </row>
    <row r="578" spans="1:9" x14ac:dyDescent="0.2">
      <c r="A578" s="3" t="s">
        <v>37</v>
      </c>
      <c r="B578" s="3" t="s">
        <v>250</v>
      </c>
      <c r="C578" s="3" t="s">
        <v>249</v>
      </c>
      <c r="D578" s="3" t="s">
        <v>122</v>
      </c>
      <c r="E578" s="4">
        <v>112</v>
      </c>
      <c r="F578" s="5">
        <f>IFERROR(3958.8*ACOS(MIN(1,MAX(-1,SIN(RADIANS('ZIP Coordinates'!$C$2))*SIN(RADIANS(INDEX('ZIP Coordinates'!$C:$C,MATCH($A578,'ZIP Coordinates'!$A:$A,0))))+COS(RADIANS('ZIP Coordinates'!$C$2))*COS(RADIANS(INDEX('ZIP Coordinates'!$C:$C,MATCH($A578,'ZIP Coordinates'!$A:$A,0))))*COS(RADIANS(INDEX('ZIP Coordinates'!$D:$D,MATCH($A578,'ZIP Coordinates'!$A:$A,0))-'ZIP Coordinates'!$D$2))))),"N/A")</f>
        <v>178.20658975537148</v>
      </c>
      <c r="G578" s="3" t="str">
        <f t="shared" ref="G578:G641" si="18">IF($F578="N/A","Unknown",IF($F578&lt;50,"0-49 mi",IF($F578&lt;100,"50-99 mi",IF($F578&lt;150,"100-149 mi",IF($F578&lt;200,"150-199 mi","200+ mi")))))</f>
        <v>150-199 mi</v>
      </c>
      <c r="H578" s="27">
        <f>IF(RIGHT($B578,1)="P",1,IF(ISNUMBER(SEARCH("HALF GALLON",$C578)),Assumptions!$B$4,IF(ISNUMBER(SEARCH("GALLON",$C578)),Assumptions!$B$3,IF(ISNUMBER(SEARCH("QUART",$C578)),Assumptions!$B$5,IF(ISNUMBER(SEARCH("PINT",$C578)),Assumptions!$B$6,Assumptions!$B$7)))))</f>
        <v>1</v>
      </c>
      <c r="I578" s="27">
        <f t="shared" si="17"/>
        <v>112</v>
      </c>
    </row>
    <row r="579" spans="1:9" x14ac:dyDescent="0.2">
      <c r="A579" s="3" t="s">
        <v>37</v>
      </c>
      <c r="B579" s="3" t="s">
        <v>251</v>
      </c>
      <c r="C579" s="3" t="s">
        <v>252</v>
      </c>
      <c r="D579" s="3" t="s">
        <v>122</v>
      </c>
      <c r="E579" s="4">
        <v>106</v>
      </c>
      <c r="F579" s="5">
        <f>IFERROR(3958.8*ACOS(MIN(1,MAX(-1,SIN(RADIANS('ZIP Coordinates'!$C$2))*SIN(RADIANS(INDEX('ZIP Coordinates'!$C:$C,MATCH($A579,'ZIP Coordinates'!$A:$A,0))))+COS(RADIANS('ZIP Coordinates'!$C$2))*COS(RADIANS(INDEX('ZIP Coordinates'!$C:$C,MATCH($A579,'ZIP Coordinates'!$A:$A,0))))*COS(RADIANS(INDEX('ZIP Coordinates'!$D:$D,MATCH($A579,'ZIP Coordinates'!$A:$A,0))-'ZIP Coordinates'!$D$2))))),"N/A")</f>
        <v>178.20658975537148</v>
      </c>
      <c r="G579" s="3" t="str">
        <f t="shared" si="18"/>
        <v>150-199 mi</v>
      </c>
      <c r="H579" s="27">
        <f>IF(RIGHT($B579,1)="P",1,IF(ISNUMBER(SEARCH("HALF GALLON",$C579)),Assumptions!$B$4,IF(ISNUMBER(SEARCH("GALLON",$C579)),Assumptions!$B$3,IF(ISNUMBER(SEARCH("QUART",$C579)),Assumptions!$B$5,IF(ISNUMBER(SEARCH("PINT",$C579)),Assumptions!$B$6,Assumptions!$B$7)))))</f>
        <v>1</v>
      </c>
      <c r="I579" s="27">
        <f t="shared" ref="I579:I642" si="19">$E579*$H579</f>
        <v>106</v>
      </c>
    </row>
    <row r="580" spans="1:9" x14ac:dyDescent="0.2">
      <c r="A580" s="3" t="s">
        <v>37</v>
      </c>
      <c r="B580" s="3" t="s">
        <v>255</v>
      </c>
      <c r="C580" s="3" t="s">
        <v>256</v>
      </c>
      <c r="D580" s="3" t="s">
        <v>122</v>
      </c>
      <c r="E580" s="4">
        <v>28</v>
      </c>
      <c r="F580" s="5">
        <f>IFERROR(3958.8*ACOS(MIN(1,MAX(-1,SIN(RADIANS('ZIP Coordinates'!$C$2))*SIN(RADIANS(INDEX('ZIP Coordinates'!$C:$C,MATCH($A580,'ZIP Coordinates'!$A:$A,0))))+COS(RADIANS('ZIP Coordinates'!$C$2))*COS(RADIANS(INDEX('ZIP Coordinates'!$C:$C,MATCH($A580,'ZIP Coordinates'!$A:$A,0))))*COS(RADIANS(INDEX('ZIP Coordinates'!$D:$D,MATCH($A580,'ZIP Coordinates'!$A:$A,0))-'ZIP Coordinates'!$D$2))))),"N/A")</f>
        <v>178.20658975537148</v>
      </c>
      <c r="G580" s="3" t="str">
        <f t="shared" si="18"/>
        <v>150-199 mi</v>
      </c>
      <c r="H580" s="27">
        <f>IF(RIGHT($B580,1)="P",1,IF(ISNUMBER(SEARCH("HALF GALLON",$C580)),Assumptions!$B$4,IF(ISNUMBER(SEARCH("GALLON",$C580)),Assumptions!$B$3,IF(ISNUMBER(SEARCH("QUART",$C580)),Assumptions!$B$5,IF(ISNUMBER(SEARCH("PINT",$C580)),Assumptions!$B$6,Assumptions!$B$7)))))</f>
        <v>20</v>
      </c>
      <c r="I580" s="27">
        <f t="shared" si="19"/>
        <v>560</v>
      </c>
    </row>
    <row r="581" spans="1:9" x14ac:dyDescent="0.2">
      <c r="A581" s="3" t="s">
        <v>38</v>
      </c>
      <c r="B581" s="3" t="s">
        <v>239</v>
      </c>
      <c r="C581" s="3" t="s">
        <v>240</v>
      </c>
      <c r="D581" s="3" t="s">
        <v>114</v>
      </c>
      <c r="E581" s="4">
        <v>10</v>
      </c>
      <c r="F581" s="5">
        <f>IFERROR(3958.8*ACOS(MIN(1,MAX(-1,SIN(RADIANS('ZIP Coordinates'!$C$2))*SIN(RADIANS(INDEX('ZIP Coordinates'!$C:$C,MATCH($A581,'ZIP Coordinates'!$A:$A,0))))+COS(RADIANS('ZIP Coordinates'!$C$2))*COS(RADIANS(INDEX('ZIP Coordinates'!$C:$C,MATCH($A581,'ZIP Coordinates'!$A:$A,0))))*COS(RADIANS(INDEX('ZIP Coordinates'!$D:$D,MATCH($A581,'ZIP Coordinates'!$A:$A,0))-'ZIP Coordinates'!$D$2))))),"N/A")</f>
        <v>133.78845252056198</v>
      </c>
      <c r="G581" s="3" t="str">
        <f t="shared" si="18"/>
        <v>100-149 mi</v>
      </c>
      <c r="H581" s="27">
        <f>IF(RIGHT($B581,1)="P",1,IF(ISNUMBER(SEARCH("HALF GALLON",$C581)),Assumptions!$B$4,IF(ISNUMBER(SEARCH("GALLON",$C581)),Assumptions!$B$3,IF(ISNUMBER(SEARCH("QUART",$C581)),Assumptions!$B$5,IF(ISNUMBER(SEARCH("PINT",$C581)),Assumptions!$B$6,Assumptions!$B$7)))))</f>
        <v>1</v>
      </c>
      <c r="I581" s="27">
        <f t="shared" si="19"/>
        <v>10</v>
      </c>
    </row>
    <row r="582" spans="1:9" x14ac:dyDescent="0.2">
      <c r="A582" s="3" t="s">
        <v>38</v>
      </c>
      <c r="B582" s="3" t="s">
        <v>261</v>
      </c>
      <c r="C582" s="3" t="s">
        <v>260</v>
      </c>
      <c r="D582" s="3" t="s">
        <v>114</v>
      </c>
      <c r="E582" s="4">
        <v>10</v>
      </c>
      <c r="F582" s="5">
        <f>IFERROR(3958.8*ACOS(MIN(1,MAX(-1,SIN(RADIANS('ZIP Coordinates'!$C$2))*SIN(RADIANS(INDEX('ZIP Coordinates'!$C:$C,MATCH($A582,'ZIP Coordinates'!$A:$A,0))))+COS(RADIANS('ZIP Coordinates'!$C$2))*COS(RADIANS(INDEX('ZIP Coordinates'!$C:$C,MATCH($A582,'ZIP Coordinates'!$A:$A,0))))*COS(RADIANS(INDEX('ZIP Coordinates'!$D:$D,MATCH($A582,'ZIP Coordinates'!$A:$A,0))-'ZIP Coordinates'!$D$2))))),"N/A")</f>
        <v>133.78845252056198</v>
      </c>
      <c r="G582" s="3" t="str">
        <f t="shared" si="18"/>
        <v>100-149 mi</v>
      </c>
      <c r="H582" s="27">
        <f>IF(RIGHT($B582,1)="P",1,IF(ISNUMBER(SEARCH("HALF GALLON",$C582)),Assumptions!$B$4,IF(ISNUMBER(SEARCH("GALLON",$C582)),Assumptions!$B$3,IF(ISNUMBER(SEARCH("QUART",$C582)),Assumptions!$B$5,IF(ISNUMBER(SEARCH("PINT",$C582)),Assumptions!$B$6,Assumptions!$B$7)))))</f>
        <v>1</v>
      </c>
      <c r="I582" s="27">
        <f t="shared" si="19"/>
        <v>10</v>
      </c>
    </row>
    <row r="583" spans="1:9" x14ac:dyDescent="0.2">
      <c r="A583" s="3" t="s">
        <v>38</v>
      </c>
      <c r="B583" s="3" t="s">
        <v>241</v>
      </c>
      <c r="C583" s="3" t="s">
        <v>242</v>
      </c>
      <c r="D583" s="3" t="s">
        <v>114</v>
      </c>
      <c r="E583" s="4">
        <v>29</v>
      </c>
      <c r="F583" s="5">
        <f>IFERROR(3958.8*ACOS(MIN(1,MAX(-1,SIN(RADIANS('ZIP Coordinates'!$C$2))*SIN(RADIANS(INDEX('ZIP Coordinates'!$C:$C,MATCH($A583,'ZIP Coordinates'!$A:$A,0))))+COS(RADIANS('ZIP Coordinates'!$C$2))*COS(RADIANS(INDEX('ZIP Coordinates'!$C:$C,MATCH($A583,'ZIP Coordinates'!$A:$A,0))))*COS(RADIANS(INDEX('ZIP Coordinates'!$D:$D,MATCH($A583,'ZIP Coordinates'!$A:$A,0))-'ZIP Coordinates'!$D$2))))),"N/A")</f>
        <v>133.78845252056198</v>
      </c>
      <c r="G583" s="3" t="str">
        <f t="shared" si="18"/>
        <v>100-149 mi</v>
      </c>
      <c r="H583" s="27">
        <f>IF(RIGHT($B583,1)="P",1,IF(ISNUMBER(SEARCH("HALF GALLON",$C583)),Assumptions!$B$4,IF(ISNUMBER(SEARCH("GALLON",$C583)),Assumptions!$B$3,IF(ISNUMBER(SEARCH("QUART",$C583)),Assumptions!$B$5,IF(ISNUMBER(SEARCH("PINT",$C583)),Assumptions!$B$6,Assumptions!$B$7)))))</f>
        <v>1</v>
      </c>
      <c r="I583" s="27">
        <f t="shared" si="19"/>
        <v>29</v>
      </c>
    </row>
    <row r="584" spans="1:9" x14ac:dyDescent="0.2">
      <c r="A584" s="3" t="s">
        <v>38</v>
      </c>
      <c r="B584" s="3" t="s">
        <v>243</v>
      </c>
      <c r="C584" s="3" t="s">
        <v>244</v>
      </c>
      <c r="D584" s="3" t="s">
        <v>114</v>
      </c>
      <c r="E584" s="4">
        <v>29</v>
      </c>
      <c r="F584" s="5">
        <f>IFERROR(3958.8*ACOS(MIN(1,MAX(-1,SIN(RADIANS('ZIP Coordinates'!$C$2))*SIN(RADIANS(INDEX('ZIP Coordinates'!$C:$C,MATCH($A584,'ZIP Coordinates'!$A:$A,0))))+COS(RADIANS('ZIP Coordinates'!$C$2))*COS(RADIANS(INDEX('ZIP Coordinates'!$C:$C,MATCH($A584,'ZIP Coordinates'!$A:$A,0))))*COS(RADIANS(INDEX('ZIP Coordinates'!$D:$D,MATCH($A584,'ZIP Coordinates'!$A:$A,0))-'ZIP Coordinates'!$D$2))))),"N/A")</f>
        <v>133.78845252056198</v>
      </c>
      <c r="G584" s="3" t="str">
        <f t="shared" si="18"/>
        <v>100-149 mi</v>
      </c>
      <c r="H584" s="27">
        <f>IF(RIGHT($B584,1)="P",1,IF(ISNUMBER(SEARCH("HALF GALLON",$C584)),Assumptions!$B$4,IF(ISNUMBER(SEARCH("GALLON",$C584)),Assumptions!$B$3,IF(ISNUMBER(SEARCH("QUART",$C584)),Assumptions!$B$5,IF(ISNUMBER(SEARCH("PINT",$C584)),Assumptions!$B$6,Assumptions!$B$7)))))</f>
        <v>1</v>
      </c>
      <c r="I584" s="27">
        <f t="shared" si="19"/>
        <v>29</v>
      </c>
    </row>
    <row r="585" spans="1:9" x14ac:dyDescent="0.2">
      <c r="A585" s="3" t="s">
        <v>38</v>
      </c>
      <c r="B585" s="3" t="s">
        <v>276</v>
      </c>
      <c r="C585" s="3" t="s">
        <v>275</v>
      </c>
      <c r="D585" s="3" t="s">
        <v>114</v>
      </c>
      <c r="E585" s="4">
        <v>25</v>
      </c>
      <c r="F585" s="5">
        <f>IFERROR(3958.8*ACOS(MIN(1,MAX(-1,SIN(RADIANS('ZIP Coordinates'!$C$2))*SIN(RADIANS(INDEX('ZIP Coordinates'!$C:$C,MATCH($A585,'ZIP Coordinates'!$A:$A,0))))+COS(RADIANS('ZIP Coordinates'!$C$2))*COS(RADIANS(INDEX('ZIP Coordinates'!$C:$C,MATCH($A585,'ZIP Coordinates'!$A:$A,0))))*COS(RADIANS(INDEX('ZIP Coordinates'!$D:$D,MATCH($A585,'ZIP Coordinates'!$A:$A,0))-'ZIP Coordinates'!$D$2))))),"N/A")</f>
        <v>133.78845252056198</v>
      </c>
      <c r="G585" s="3" t="str">
        <f t="shared" si="18"/>
        <v>100-149 mi</v>
      </c>
      <c r="H585" s="27">
        <f>IF(RIGHT($B585,1)="P",1,IF(ISNUMBER(SEARCH("HALF GALLON",$C585)),Assumptions!$B$4,IF(ISNUMBER(SEARCH("GALLON",$C585)),Assumptions!$B$3,IF(ISNUMBER(SEARCH("QUART",$C585)),Assumptions!$B$5,IF(ISNUMBER(SEARCH("PINT",$C585)),Assumptions!$B$6,Assumptions!$B$7)))))</f>
        <v>1</v>
      </c>
      <c r="I585" s="27">
        <f t="shared" si="19"/>
        <v>25</v>
      </c>
    </row>
    <row r="586" spans="1:9" x14ac:dyDescent="0.2">
      <c r="A586" s="3" t="s">
        <v>38</v>
      </c>
      <c r="B586" s="3" t="s">
        <v>247</v>
      </c>
      <c r="C586" s="3" t="s">
        <v>246</v>
      </c>
      <c r="D586" s="3" t="s">
        <v>114</v>
      </c>
      <c r="E586" s="4">
        <v>20</v>
      </c>
      <c r="F586" s="5">
        <f>IFERROR(3958.8*ACOS(MIN(1,MAX(-1,SIN(RADIANS('ZIP Coordinates'!$C$2))*SIN(RADIANS(INDEX('ZIP Coordinates'!$C:$C,MATCH($A586,'ZIP Coordinates'!$A:$A,0))))+COS(RADIANS('ZIP Coordinates'!$C$2))*COS(RADIANS(INDEX('ZIP Coordinates'!$C:$C,MATCH($A586,'ZIP Coordinates'!$A:$A,0))))*COS(RADIANS(INDEX('ZIP Coordinates'!$D:$D,MATCH($A586,'ZIP Coordinates'!$A:$A,0))-'ZIP Coordinates'!$D$2))))),"N/A")</f>
        <v>133.78845252056198</v>
      </c>
      <c r="G586" s="3" t="str">
        <f t="shared" si="18"/>
        <v>100-149 mi</v>
      </c>
      <c r="H586" s="27">
        <f>IF(RIGHT($B586,1)="P",1,IF(ISNUMBER(SEARCH("HALF GALLON",$C586)),Assumptions!$B$4,IF(ISNUMBER(SEARCH("GALLON",$C586)),Assumptions!$B$3,IF(ISNUMBER(SEARCH("QUART",$C586)),Assumptions!$B$5,IF(ISNUMBER(SEARCH("PINT",$C586)),Assumptions!$B$6,Assumptions!$B$7)))))</f>
        <v>1</v>
      </c>
      <c r="I586" s="27">
        <f t="shared" si="19"/>
        <v>20</v>
      </c>
    </row>
    <row r="587" spans="1:9" x14ac:dyDescent="0.2">
      <c r="A587" s="3" t="s">
        <v>38</v>
      </c>
      <c r="B587" s="3" t="s">
        <v>251</v>
      </c>
      <c r="C587" s="3" t="s">
        <v>252</v>
      </c>
      <c r="D587" s="3" t="s">
        <v>114</v>
      </c>
      <c r="E587" s="4">
        <v>20</v>
      </c>
      <c r="F587" s="5">
        <f>IFERROR(3958.8*ACOS(MIN(1,MAX(-1,SIN(RADIANS('ZIP Coordinates'!$C$2))*SIN(RADIANS(INDEX('ZIP Coordinates'!$C:$C,MATCH($A587,'ZIP Coordinates'!$A:$A,0))))+COS(RADIANS('ZIP Coordinates'!$C$2))*COS(RADIANS(INDEX('ZIP Coordinates'!$C:$C,MATCH($A587,'ZIP Coordinates'!$A:$A,0))))*COS(RADIANS(INDEX('ZIP Coordinates'!$D:$D,MATCH($A587,'ZIP Coordinates'!$A:$A,0))-'ZIP Coordinates'!$D$2))))),"N/A")</f>
        <v>133.78845252056198</v>
      </c>
      <c r="G587" s="3" t="str">
        <f t="shared" si="18"/>
        <v>100-149 mi</v>
      </c>
      <c r="H587" s="27">
        <f>IF(RIGHT($B587,1)="P",1,IF(ISNUMBER(SEARCH("HALF GALLON",$C587)),Assumptions!$B$4,IF(ISNUMBER(SEARCH("GALLON",$C587)),Assumptions!$B$3,IF(ISNUMBER(SEARCH("QUART",$C587)),Assumptions!$B$5,IF(ISNUMBER(SEARCH("PINT",$C587)),Assumptions!$B$6,Assumptions!$B$7)))))</f>
        <v>1</v>
      </c>
      <c r="I587" s="27">
        <f t="shared" si="19"/>
        <v>20</v>
      </c>
    </row>
    <row r="588" spans="1:9" x14ac:dyDescent="0.2">
      <c r="A588" s="3" t="s">
        <v>38</v>
      </c>
      <c r="B588" s="3" t="s">
        <v>282</v>
      </c>
      <c r="C588" s="3" t="s">
        <v>283</v>
      </c>
      <c r="D588" s="3" t="s">
        <v>114</v>
      </c>
      <c r="E588" s="4">
        <v>8</v>
      </c>
      <c r="F588" s="5">
        <f>IFERROR(3958.8*ACOS(MIN(1,MAX(-1,SIN(RADIANS('ZIP Coordinates'!$C$2))*SIN(RADIANS(INDEX('ZIP Coordinates'!$C:$C,MATCH($A588,'ZIP Coordinates'!$A:$A,0))))+COS(RADIANS('ZIP Coordinates'!$C$2))*COS(RADIANS(INDEX('ZIP Coordinates'!$C:$C,MATCH($A588,'ZIP Coordinates'!$A:$A,0))))*COS(RADIANS(INDEX('ZIP Coordinates'!$D:$D,MATCH($A588,'ZIP Coordinates'!$A:$A,0))-'ZIP Coordinates'!$D$2))))),"N/A")</f>
        <v>133.78845252056198</v>
      </c>
      <c r="G588" s="3" t="str">
        <f t="shared" si="18"/>
        <v>100-149 mi</v>
      </c>
      <c r="H588" s="27">
        <f>IF(RIGHT($B588,1)="P",1,IF(ISNUMBER(SEARCH("HALF GALLON",$C588)),Assumptions!$B$4,IF(ISNUMBER(SEARCH("GALLON",$C588)),Assumptions!$B$3,IF(ISNUMBER(SEARCH("QUART",$C588)),Assumptions!$B$5,IF(ISNUMBER(SEARCH("PINT",$C588)),Assumptions!$B$6,Assumptions!$B$7)))))</f>
        <v>1</v>
      </c>
      <c r="I588" s="27">
        <f t="shared" si="19"/>
        <v>8</v>
      </c>
    </row>
    <row r="589" spans="1:9" x14ac:dyDescent="0.2">
      <c r="A589" s="3" t="s">
        <v>38</v>
      </c>
      <c r="B589" s="3" t="s">
        <v>284</v>
      </c>
      <c r="C589" s="3" t="s">
        <v>285</v>
      </c>
      <c r="D589" s="3" t="s">
        <v>114</v>
      </c>
      <c r="E589" s="4">
        <v>7</v>
      </c>
      <c r="F589" s="5">
        <f>IFERROR(3958.8*ACOS(MIN(1,MAX(-1,SIN(RADIANS('ZIP Coordinates'!$C$2))*SIN(RADIANS(INDEX('ZIP Coordinates'!$C:$C,MATCH($A589,'ZIP Coordinates'!$A:$A,0))))+COS(RADIANS('ZIP Coordinates'!$C$2))*COS(RADIANS(INDEX('ZIP Coordinates'!$C:$C,MATCH($A589,'ZIP Coordinates'!$A:$A,0))))*COS(RADIANS(INDEX('ZIP Coordinates'!$D:$D,MATCH($A589,'ZIP Coordinates'!$A:$A,0))-'ZIP Coordinates'!$D$2))))),"N/A")</f>
        <v>133.78845252056198</v>
      </c>
      <c r="G589" s="3" t="str">
        <f t="shared" si="18"/>
        <v>100-149 mi</v>
      </c>
      <c r="H589" s="27">
        <f>IF(RIGHT($B589,1)="P",1,IF(ISNUMBER(SEARCH("HALF GALLON",$C589)),Assumptions!$B$4,IF(ISNUMBER(SEARCH("GALLON",$C589)),Assumptions!$B$3,IF(ISNUMBER(SEARCH("QUART",$C589)),Assumptions!$B$5,IF(ISNUMBER(SEARCH("PINT",$C589)),Assumptions!$B$6,Assumptions!$B$7)))))</f>
        <v>1</v>
      </c>
      <c r="I589" s="27">
        <f t="shared" si="19"/>
        <v>7</v>
      </c>
    </row>
    <row r="590" spans="1:9" x14ac:dyDescent="0.2">
      <c r="A590" s="3" t="s">
        <v>38</v>
      </c>
      <c r="B590" s="3" t="s">
        <v>257</v>
      </c>
      <c r="C590" s="3" t="s">
        <v>256</v>
      </c>
      <c r="D590" s="3" t="s">
        <v>114</v>
      </c>
      <c r="E590" s="4">
        <v>290</v>
      </c>
      <c r="F590" s="5">
        <f>IFERROR(3958.8*ACOS(MIN(1,MAX(-1,SIN(RADIANS('ZIP Coordinates'!$C$2))*SIN(RADIANS(INDEX('ZIP Coordinates'!$C:$C,MATCH($A590,'ZIP Coordinates'!$A:$A,0))))+COS(RADIANS('ZIP Coordinates'!$C$2))*COS(RADIANS(INDEX('ZIP Coordinates'!$C:$C,MATCH($A590,'ZIP Coordinates'!$A:$A,0))))*COS(RADIANS(INDEX('ZIP Coordinates'!$D:$D,MATCH($A590,'ZIP Coordinates'!$A:$A,0))-'ZIP Coordinates'!$D$2))))),"N/A")</f>
        <v>133.78845252056198</v>
      </c>
      <c r="G590" s="3" t="str">
        <f t="shared" si="18"/>
        <v>100-149 mi</v>
      </c>
      <c r="H590" s="27">
        <f>IF(RIGHT($B590,1)="P",1,IF(ISNUMBER(SEARCH("HALF GALLON",$C590)),Assumptions!$B$4,IF(ISNUMBER(SEARCH("GALLON",$C590)),Assumptions!$B$3,IF(ISNUMBER(SEARCH("QUART",$C590)),Assumptions!$B$5,IF(ISNUMBER(SEARCH("PINT",$C590)),Assumptions!$B$6,Assumptions!$B$7)))))</f>
        <v>1</v>
      </c>
      <c r="I590" s="27">
        <f t="shared" si="19"/>
        <v>290</v>
      </c>
    </row>
    <row r="591" spans="1:9" x14ac:dyDescent="0.2">
      <c r="A591" s="3" t="s">
        <v>39</v>
      </c>
      <c r="B591" s="3" t="s">
        <v>270</v>
      </c>
      <c r="C591" s="3" t="s">
        <v>242</v>
      </c>
      <c r="D591" s="3" t="s">
        <v>202</v>
      </c>
      <c r="E591" s="4">
        <v>9</v>
      </c>
      <c r="F591" s="5">
        <f>IFERROR(3958.8*ACOS(MIN(1,MAX(-1,SIN(RADIANS('ZIP Coordinates'!$C$2))*SIN(RADIANS(INDEX('ZIP Coordinates'!$C:$C,MATCH($A591,'ZIP Coordinates'!$A:$A,0))))+COS(RADIANS('ZIP Coordinates'!$C$2))*COS(RADIANS(INDEX('ZIP Coordinates'!$C:$C,MATCH($A591,'ZIP Coordinates'!$A:$A,0))))*COS(RADIANS(INDEX('ZIP Coordinates'!$D:$D,MATCH($A591,'ZIP Coordinates'!$A:$A,0))-'ZIP Coordinates'!$D$2))))),"N/A")</f>
        <v>170.94938011735448</v>
      </c>
      <c r="G591" s="3" t="str">
        <f t="shared" si="18"/>
        <v>150-199 mi</v>
      </c>
      <c r="H591" s="27">
        <f>IF(RIGHT($B591,1)="P",1,IF(ISNUMBER(SEARCH("HALF GALLON",$C591)),Assumptions!$B$4,IF(ISNUMBER(SEARCH("GALLON",$C591)),Assumptions!$B$3,IF(ISNUMBER(SEARCH("QUART",$C591)),Assumptions!$B$5,IF(ISNUMBER(SEARCH("PINT",$C591)),Assumptions!$B$6,Assumptions!$B$7)))))</f>
        <v>9</v>
      </c>
      <c r="I591" s="27">
        <f t="shared" si="19"/>
        <v>81</v>
      </c>
    </row>
    <row r="592" spans="1:9" x14ac:dyDescent="0.2">
      <c r="A592" s="3" t="s">
        <v>40</v>
      </c>
      <c r="B592" s="3" t="s">
        <v>258</v>
      </c>
      <c r="C592" s="3" t="s">
        <v>240</v>
      </c>
      <c r="D592" s="3" t="s">
        <v>139</v>
      </c>
      <c r="E592" s="4">
        <v>63</v>
      </c>
      <c r="F592" s="5">
        <f>IFERROR(3958.8*ACOS(MIN(1,MAX(-1,SIN(RADIANS('ZIP Coordinates'!$C$2))*SIN(RADIANS(INDEX('ZIP Coordinates'!$C:$C,MATCH($A592,'ZIP Coordinates'!$A:$A,0))))+COS(RADIANS('ZIP Coordinates'!$C$2))*COS(RADIANS(INDEX('ZIP Coordinates'!$C:$C,MATCH($A592,'ZIP Coordinates'!$A:$A,0))))*COS(RADIANS(INDEX('ZIP Coordinates'!$D:$D,MATCH($A592,'ZIP Coordinates'!$A:$A,0))-'ZIP Coordinates'!$D$2))))),"N/A")</f>
        <v>184.75352368035988</v>
      </c>
      <c r="G592" s="3" t="str">
        <f t="shared" si="18"/>
        <v>150-199 mi</v>
      </c>
      <c r="H592" s="27">
        <f>IF(RIGHT($B592,1)="P",1,IF(ISNUMBER(SEARCH("HALF GALLON",$C592)),Assumptions!$B$4,IF(ISNUMBER(SEARCH("GALLON",$C592)),Assumptions!$B$3,IF(ISNUMBER(SEARCH("QUART",$C592)),Assumptions!$B$5,IF(ISNUMBER(SEARCH("PINT",$C592)),Assumptions!$B$6,Assumptions!$B$7)))))</f>
        <v>4</v>
      </c>
      <c r="I592" s="27">
        <f t="shared" si="19"/>
        <v>252</v>
      </c>
    </row>
    <row r="593" spans="1:9" x14ac:dyDescent="0.2">
      <c r="A593" s="3" t="s">
        <v>40</v>
      </c>
      <c r="B593" s="3" t="s">
        <v>259</v>
      </c>
      <c r="C593" s="3" t="s">
        <v>260</v>
      </c>
      <c r="D593" s="3" t="s">
        <v>186</v>
      </c>
      <c r="E593" s="4">
        <v>20</v>
      </c>
      <c r="F593" s="5">
        <f>IFERROR(3958.8*ACOS(MIN(1,MAX(-1,SIN(RADIANS('ZIP Coordinates'!$C$2))*SIN(RADIANS(INDEX('ZIP Coordinates'!$C:$C,MATCH($A593,'ZIP Coordinates'!$A:$A,0))))+COS(RADIANS('ZIP Coordinates'!$C$2))*COS(RADIANS(INDEX('ZIP Coordinates'!$C:$C,MATCH($A593,'ZIP Coordinates'!$A:$A,0))))*COS(RADIANS(INDEX('ZIP Coordinates'!$D:$D,MATCH($A593,'ZIP Coordinates'!$A:$A,0))-'ZIP Coordinates'!$D$2))))),"N/A")</f>
        <v>184.75352368035988</v>
      </c>
      <c r="G593" s="3" t="str">
        <f t="shared" si="18"/>
        <v>150-199 mi</v>
      </c>
      <c r="H593" s="27">
        <f>IF(RIGHT($B593,1)="P",1,IF(ISNUMBER(SEARCH("HALF GALLON",$C593)),Assumptions!$B$4,IF(ISNUMBER(SEARCH("GALLON",$C593)),Assumptions!$B$3,IF(ISNUMBER(SEARCH("QUART",$C593)),Assumptions!$B$5,IF(ISNUMBER(SEARCH("PINT",$C593)),Assumptions!$B$6,Assumptions!$B$7)))))</f>
        <v>4</v>
      </c>
      <c r="I593" s="27">
        <f t="shared" si="19"/>
        <v>80</v>
      </c>
    </row>
    <row r="594" spans="1:9" x14ac:dyDescent="0.2">
      <c r="A594" s="3" t="s">
        <v>40</v>
      </c>
      <c r="B594" s="3" t="s">
        <v>297</v>
      </c>
      <c r="C594" s="3" t="s">
        <v>254</v>
      </c>
      <c r="D594" s="3" t="s">
        <v>139</v>
      </c>
      <c r="E594" s="4">
        <v>89</v>
      </c>
      <c r="F594" s="5">
        <f>IFERROR(3958.8*ACOS(MIN(1,MAX(-1,SIN(RADIANS('ZIP Coordinates'!$C$2))*SIN(RADIANS(INDEX('ZIP Coordinates'!$C:$C,MATCH($A594,'ZIP Coordinates'!$A:$A,0))))+COS(RADIANS('ZIP Coordinates'!$C$2))*COS(RADIANS(INDEX('ZIP Coordinates'!$C:$C,MATCH($A594,'ZIP Coordinates'!$A:$A,0))))*COS(RADIANS(INDEX('ZIP Coordinates'!$D:$D,MATCH($A594,'ZIP Coordinates'!$A:$A,0))-'ZIP Coordinates'!$D$2))))),"N/A")</f>
        <v>184.75352368035988</v>
      </c>
      <c r="G594" s="3" t="str">
        <f t="shared" si="18"/>
        <v>150-199 mi</v>
      </c>
      <c r="H594" s="27">
        <f>IF(RIGHT($B594,1)="P",1,IF(ISNUMBER(SEARCH("HALF GALLON",$C594)),Assumptions!$B$4,IF(ISNUMBER(SEARCH("GALLON",$C594)),Assumptions!$B$3,IF(ISNUMBER(SEARCH("QUART",$C594)),Assumptions!$B$5,IF(ISNUMBER(SEARCH("PINT",$C594)),Assumptions!$B$6,Assumptions!$B$7)))))</f>
        <v>9</v>
      </c>
      <c r="I594" s="27">
        <f t="shared" si="19"/>
        <v>801</v>
      </c>
    </row>
    <row r="595" spans="1:9" x14ac:dyDescent="0.2">
      <c r="A595" s="3" t="s">
        <v>41</v>
      </c>
      <c r="B595" s="3" t="s">
        <v>247</v>
      </c>
      <c r="C595" s="3" t="s">
        <v>246</v>
      </c>
      <c r="D595" s="3" t="s">
        <v>155</v>
      </c>
      <c r="E595" s="4">
        <v>25</v>
      </c>
      <c r="F595" s="5">
        <f>IFERROR(3958.8*ACOS(MIN(1,MAX(-1,SIN(RADIANS('ZIP Coordinates'!$C$2))*SIN(RADIANS(INDEX('ZIP Coordinates'!$C:$C,MATCH($A595,'ZIP Coordinates'!$A:$A,0))))+COS(RADIANS('ZIP Coordinates'!$C$2))*COS(RADIANS(INDEX('ZIP Coordinates'!$C:$C,MATCH($A595,'ZIP Coordinates'!$A:$A,0))))*COS(RADIANS(INDEX('ZIP Coordinates'!$D:$D,MATCH($A595,'ZIP Coordinates'!$A:$A,0))-'ZIP Coordinates'!$D$2))))),"N/A")</f>
        <v>140.01135394009708</v>
      </c>
      <c r="G595" s="3" t="str">
        <f t="shared" si="18"/>
        <v>100-149 mi</v>
      </c>
      <c r="H595" s="27">
        <f>IF(RIGHT($B595,1)="P",1,IF(ISNUMBER(SEARCH("HALF GALLON",$C595)),Assumptions!$B$4,IF(ISNUMBER(SEARCH("GALLON",$C595)),Assumptions!$B$3,IF(ISNUMBER(SEARCH("QUART",$C595)),Assumptions!$B$5,IF(ISNUMBER(SEARCH("PINT",$C595)),Assumptions!$B$6,Assumptions!$B$7)))))</f>
        <v>1</v>
      </c>
      <c r="I595" s="27">
        <f t="shared" si="19"/>
        <v>25</v>
      </c>
    </row>
    <row r="596" spans="1:9" x14ac:dyDescent="0.2">
      <c r="A596" s="3" t="s">
        <v>41</v>
      </c>
      <c r="B596" s="3" t="s">
        <v>251</v>
      </c>
      <c r="C596" s="3" t="s">
        <v>252</v>
      </c>
      <c r="D596" s="3" t="s">
        <v>155</v>
      </c>
      <c r="E596" s="4">
        <v>8</v>
      </c>
      <c r="F596" s="5">
        <f>IFERROR(3958.8*ACOS(MIN(1,MAX(-1,SIN(RADIANS('ZIP Coordinates'!$C$2))*SIN(RADIANS(INDEX('ZIP Coordinates'!$C:$C,MATCH($A596,'ZIP Coordinates'!$A:$A,0))))+COS(RADIANS('ZIP Coordinates'!$C$2))*COS(RADIANS(INDEX('ZIP Coordinates'!$C:$C,MATCH($A596,'ZIP Coordinates'!$A:$A,0))))*COS(RADIANS(INDEX('ZIP Coordinates'!$D:$D,MATCH($A596,'ZIP Coordinates'!$A:$A,0))-'ZIP Coordinates'!$D$2))))),"N/A")</f>
        <v>140.01135394009708</v>
      </c>
      <c r="G596" s="3" t="str">
        <f t="shared" si="18"/>
        <v>100-149 mi</v>
      </c>
      <c r="H596" s="27">
        <f>IF(RIGHT($B596,1)="P",1,IF(ISNUMBER(SEARCH("HALF GALLON",$C596)),Assumptions!$B$4,IF(ISNUMBER(SEARCH("GALLON",$C596)),Assumptions!$B$3,IF(ISNUMBER(SEARCH("QUART",$C596)),Assumptions!$B$5,IF(ISNUMBER(SEARCH("PINT",$C596)),Assumptions!$B$6,Assumptions!$B$7)))))</f>
        <v>1</v>
      </c>
      <c r="I596" s="27">
        <f t="shared" si="19"/>
        <v>8</v>
      </c>
    </row>
    <row r="597" spans="1:9" x14ac:dyDescent="0.2">
      <c r="A597" s="3" t="s">
        <v>41</v>
      </c>
      <c r="B597" s="3" t="s">
        <v>257</v>
      </c>
      <c r="C597" s="3" t="s">
        <v>256</v>
      </c>
      <c r="D597" s="3" t="s">
        <v>155</v>
      </c>
      <c r="E597" s="4">
        <v>60</v>
      </c>
      <c r="F597" s="5">
        <f>IFERROR(3958.8*ACOS(MIN(1,MAX(-1,SIN(RADIANS('ZIP Coordinates'!$C$2))*SIN(RADIANS(INDEX('ZIP Coordinates'!$C:$C,MATCH($A597,'ZIP Coordinates'!$A:$A,0))))+COS(RADIANS('ZIP Coordinates'!$C$2))*COS(RADIANS(INDEX('ZIP Coordinates'!$C:$C,MATCH($A597,'ZIP Coordinates'!$A:$A,0))))*COS(RADIANS(INDEX('ZIP Coordinates'!$D:$D,MATCH($A597,'ZIP Coordinates'!$A:$A,0))-'ZIP Coordinates'!$D$2))))),"N/A")</f>
        <v>140.01135394009708</v>
      </c>
      <c r="G597" s="3" t="str">
        <f t="shared" si="18"/>
        <v>100-149 mi</v>
      </c>
      <c r="H597" s="27">
        <f>IF(RIGHT($B597,1)="P",1,IF(ISNUMBER(SEARCH("HALF GALLON",$C597)),Assumptions!$B$4,IF(ISNUMBER(SEARCH("GALLON",$C597)),Assumptions!$B$3,IF(ISNUMBER(SEARCH("QUART",$C597)),Assumptions!$B$5,IF(ISNUMBER(SEARCH("PINT",$C597)),Assumptions!$B$6,Assumptions!$B$7)))))</f>
        <v>1</v>
      </c>
      <c r="I597" s="27">
        <f t="shared" si="19"/>
        <v>60</v>
      </c>
    </row>
    <row r="598" spans="1:9" x14ac:dyDescent="0.2">
      <c r="A598" s="3" t="s">
        <v>42</v>
      </c>
      <c r="B598" s="3" t="s">
        <v>239</v>
      </c>
      <c r="C598" s="3" t="s">
        <v>240</v>
      </c>
      <c r="D598" s="3" t="s">
        <v>125</v>
      </c>
      <c r="E598" s="4">
        <v>18</v>
      </c>
      <c r="F598" s="5">
        <f>IFERROR(3958.8*ACOS(MIN(1,MAX(-1,SIN(RADIANS('ZIP Coordinates'!$C$2))*SIN(RADIANS(INDEX('ZIP Coordinates'!$C:$C,MATCH($A598,'ZIP Coordinates'!$A:$A,0))))+COS(RADIANS('ZIP Coordinates'!$C$2))*COS(RADIANS(INDEX('ZIP Coordinates'!$C:$C,MATCH($A598,'ZIP Coordinates'!$A:$A,0))))*COS(RADIANS(INDEX('ZIP Coordinates'!$D:$D,MATCH($A598,'ZIP Coordinates'!$A:$A,0))-'ZIP Coordinates'!$D$2))))),"N/A")</f>
        <v>175.57136889679089</v>
      </c>
      <c r="G598" s="3" t="str">
        <f t="shared" si="18"/>
        <v>150-199 mi</v>
      </c>
      <c r="H598" s="27">
        <f>IF(RIGHT($B598,1)="P",1,IF(ISNUMBER(SEARCH("HALF GALLON",$C598)),Assumptions!$B$4,IF(ISNUMBER(SEARCH("GALLON",$C598)),Assumptions!$B$3,IF(ISNUMBER(SEARCH("QUART",$C598)),Assumptions!$B$5,IF(ISNUMBER(SEARCH("PINT",$C598)),Assumptions!$B$6,Assumptions!$B$7)))))</f>
        <v>1</v>
      </c>
      <c r="I598" s="27">
        <f t="shared" si="19"/>
        <v>18</v>
      </c>
    </row>
    <row r="599" spans="1:9" x14ac:dyDescent="0.2">
      <c r="A599" s="3" t="s">
        <v>42</v>
      </c>
      <c r="B599" s="3" t="s">
        <v>261</v>
      </c>
      <c r="C599" s="3" t="s">
        <v>260</v>
      </c>
      <c r="D599" s="3" t="s">
        <v>125</v>
      </c>
      <c r="E599" s="4">
        <v>19</v>
      </c>
      <c r="F599" s="5">
        <f>IFERROR(3958.8*ACOS(MIN(1,MAX(-1,SIN(RADIANS('ZIP Coordinates'!$C$2))*SIN(RADIANS(INDEX('ZIP Coordinates'!$C:$C,MATCH($A599,'ZIP Coordinates'!$A:$A,0))))+COS(RADIANS('ZIP Coordinates'!$C$2))*COS(RADIANS(INDEX('ZIP Coordinates'!$C:$C,MATCH($A599,'ZIP Coordinates'!$A:$A,0))))*COS(RADIANS(INDEX('ZIP Coordinates'!$D:$D,MATCH($A599,'ZIP Coordinates'!$A:$A,0))-'ZIP Coordinates'!$D$2))))),"N/A")</f>
        <v>175.57136889679089</v>
      </c>
      <c r="G599" s="3" t="str">
        <f t="shared" si="18"/>
        <v>150-199 mi</v>
      </c>
      <c r="H599" s="27">
        <f>IF(RIGHT($B599,1)="P",1,IF(ISNUMBER(SEARCH("HALF GALLON",$C599)),Assumptions!$B$4,IF(ISNUMBER(SEARCH("GALLON",$C599)),Assumptions!$B$3,IF(ISNUMBER(SEARCH("QUART",$C599)),Assumptions!$B$5,IF(ISNUMBER(SEARCH("PINT",$C599)),Assumptions!$B$6,Assumptions!$B$7)))))</f>
        <v>1</v>
      </c>
      <c r="I599" s="27">
        <f t="shared" si="19"/>
        <v>19</v>
      </c>
    </row>
    <row r="600" spans="1:9" x14ac:dyDescent="0.2">
      <c r="A600" s="3" t="s">
        <v>42</v>
      </c>
      <c r="B600" s="3" t="s">
        <v>241</v>
      </c>
      <c r="C600" s="3" t="s">
        <v>242</v>
      </c>
      <c r="D600" s="3" t="s">
        <v>125</v>
      </c>
      <c r="E600" s="4">
        <v>67</v>
      </c>
      <c r="F600" s="5">
        <f>IFERROR(3958.8*ACOS(MIN(1,MAX(-1,SIN(RADIANS('ZIP Coordinates'!$C$2))*SIN(RADIANS(INDEX('ZIP Coordinates'!$C:$C,MATCH($A600,'ZIP Coordinates'!$A:$A,0))))+COS(RADIANS('ZIP Coordinates'!$C$2))*COS(RADIANS(INDEX('ZIP Coordinates'!$C:$C,MATCH($A600,'ZIP Coordinates'!$A:$A,0))))*COS(RADIANS(INDEX('ZIP Coordinates'!$D:$D,MATCH($A600,'ZIP Coordinates'!$A:$A,0))-'ZIP Coordinates'!$D$2))))),"N/A")</f>
        <v>175.57136889679089</v>
      </c>
      <c r="G600" s="3" t="str">
        <f t="shared" si="18"/>
        <v>150-199 mi</v>
      </c>
      <c r="H600" s="27">
        <f>IF(RIGHT($B600,1)="P",1,IF(ISNUMBER(SEARCH("HALF GALLON",$C600)),Assumptions!$B$4,IF(ISNUMBER(SEARCH("GALLON",$C600)),Assumptions!$B$3,IF(ISNUMBER(SEARCH("QUART",$C600)),Assumptions!$B$5,IF(ISNUMBER(SEARCH("PINT",$C600)),Assumptions!$B$6,Assumptions!$B$7)))))</f>
        <v>1</v>
      </c>
      <c r="I600" s="27">
        <f t="shared" si="19"/>
        <v>67</v>
      </c>
    </row>
    <row r="601" spans="1:9" x14ac:dyDescent="0.2">
      <c r="A601" s="3" t="s">
        <v>42</v>
      </c>
      <c r="B601" s="3" t="s">
        <v>243</v>
      </c>
      <c r="C601" s="3" t="s">
        <v>244</v>
      </c>
      <c r="D601" s="3" t="s">
        <v>125</v>
      </c>
      <c r="E601" s="4">
        <v>30</v>
      </c>
      <c r="F601" s="5">
        <f>IFERROR(3958.8*ACOS(MIN(1,MAX(-1,SIN(RADIANS('ZIP Coordinates'!$C$2))*SIN(RADIANS(INDEX('ZIP Coordinates'!$C:$C,MATCH($A601,'ZIP Coordinates'!$A:$A,0))))+COS(RADIANS('ZIP Coordinates'!$C$2))*COS(RADIANS(INDEX('ZIP Coordinates'!$C:$C,MATCH($A601,'ZIP Coordinates'!$A:$A,0))))*COS(RADIANS(INDEX('ZIP Coordinates'!$D:$D,MATCH($A601,'ZIP Coordinates'!$A:$A,0))-'ZIP Coordinates'!$D$2))))),"N/A")</f>
        <v>175.57136889679089</v>
      </c>
      <c r="G601" s="3" t="str">
        <f t="shared" si="18"/>
        <v>150-199 mi</v>
      </c>
      <c r="H601" s="27">
        <f>IF(RIGHT($B601,1)="P",1,IF(ISNUMBER(SEARCH("HALF GALLON",$C601)),Assumptions!$B$4,IF(ISNUMBER(SEARCH("GALLON",$C601)),Assumptions!$B$3,IF(ISNUMBER(SEARCH("QUART",$C601)),Assumptions!$B$5,IF(ISNUMBER(SEARCH("PINT",$C601)),Assumptions!$B$6,Assumptions!$B$7)))))</f>
        <v>1</v>
      </c>
      <c r="I601" s="27">
        <f t="shared" si="19"/>
        <v>30</v>
      </c>
    </row>
    <row r="602" spans="1:9" x14ac:dyDescent="0.2">
      <c r="A602" s="3" t="s">
        <v>42</v>
      </c>
      <c r="B602" s="3" t="s">
        <v>247</v>
      </c>
      <c r="C602" s="3" t="s">
        <v>246</v>
      </c>
      <c r="D602" s="3" t="s">
        <v>125</v>
      </c>
      <c r="E602" s="4">
        <v>36</v>
      </c>
      <c r="F602" s="5">
        <f>IFERROR(3958.8*ACOS(MIN(1,MAX(-1,SIN(RADIANS('ZIP Coordinates'!$C$2))*SIN(RADIANS(INDEX('ZIP Coordinates'!$C:$C,MATCH($A602,'ZIP Coordinates'!$A:$A,0))))+COS(RADIANS('ZIP Coordinates'!$C$2))*COS(RADIANS(INDEX('ZIP Coordinates'!$C:$C,MATCH($A602,'ZIP Coordinates'!$A:$A,0))))*COS(RADIANS(INDEX('ZIP Coordinates'!$D:$D,MATCH($A602,'ZIP Coordinates'!$A:$A,0))-'ZIP Coordinates'!$D$2))))),"N/A")</f>
        <v>175.57136889679089</v>
      </c>
      <c r="G602" s="3" t="str">
        <f t="shared" si="18"/>
        <v>150-199 mi</v>
      </c>
      <c r="H602" s="27">
        <f>IF(RIGHT($B602,1)="P",1,IF(ISNUMBER(SEARCH("HALF GALLON",$C602)),Assumptions!$B$4,IF(ISNUMBER(SEARCH("GALLON",$C602)),Assumptions!$B$3,IF(ISNUMBER(SEARCH("QUART",$C602)),Assumptions!$B$5,IF(ISNUMBER(SEARCH("PINT",$C602)),Assumptions!$B$6,Assumptions!$B$7)))))</f>
        <v>1</v>
      </c>
      <c r="I602" s="27">
        <f t="shared" si="19"/>
        <v>36</v>
      </c>
    </row>
    <row r="603" spans="1:9" x14ac:dyDescent="0.2">
      <c r="A603" s="3" t="s">
        <v>42</v>
      </c>
      <c r="B603" s="3" t="s">
        <v>250</v>
      </c>
      <c r="C603" s="3" t="s">
        <v>249</v>
      </c>
      <c r="D603" s="3" t="s">
        <v>125</v>
      </c>
      <c r="E603" s="4">
        <v>32</v>
      </c>
      <c r="F603" s="5">
        <f>IFERROR(3958.8*ACOS(MIN(1,MAX(-1,SIN(RADIANS('ZIP Coordinates'!$C$2))*SIN(RADIANS(INDEX('ZIP Coordinates'!$C:$C,MATCH($A603,'ZIP Coordinates'!$A:$A,0))))+COS(RADIANS('ZIP Coordinates'!$C$2))*COS(RADIANS(INDEX('ZIP Coordinates'!$C:$C,MATCH($A603,'ZIP Coordinates'!$A:$A,0))))*COS(RADIANS(INDEX('ZIP Coordinates'!$D:$D,MATCH($A603,'ZIP Coordinates'!$A:$A,0))-'ZIP Coordinates'!$D$2))))),"N/A")</f>
        <v>175.57136889679089</v>
      </c>
      <c r="G603" s="3" t="str">
        <f t="shared" si="18"/>
        <v>150-199 mi</v>
      </c>
      <c r="H603" s="27">
        <f>IF(RIGHT($B603,1)="P",1,IF(ISNUMBER(SEARCH("HALF GALLON",$C603)),Assumptions!$B$4,IF(ISNUMBER(SEARCH("GALLON",$C603)),Assumptions!$B$3,IF(ISNUMBER(SEARCH("QUART",$C603)),Assumptions!$B$5,IF(ISNUMBER(SEARCH("PINT",$C603)),Assumptions!$B$6,Assumptions!$B$7)))))</f>
        <v>1</v>
      </c>
      <c r="I603" s="27">
        <f t="shared" si="19"/>
        <v>32</v>
      </c>
    </row>
    <row r="604" spans="1:9" x14ac:dyDescent="0.2">
      <c r="A604" s="3" t="s">
        <v>42</v>
      </c>
      <c r="B604" s="3" t="s">
        <v>251</v>
      </c>
      <c r="C604" s="3" t="s">
        <v>252</v>
      </c>
      <c r="D604" s="3" t="s">
        <v>125</v>
      </c>
      <c r="E604" s="4">
        <v>34</v>
      </c>
      <c r="F604" s="5">
        <f>IFERROR(3958.8*ACOS(MIN(1,MAX(-1,SIN(RADIANS('ZIP Coordinates'!$C$2))*SIN(RADIANS(INDEX('ZIP Coordinates'!$C:$C,MATCH($A604,'ZIP Coordinates'!$A:$A,0))))+COS(RADIANS('ZIP Coordinates'!$C$2))*COS(RADIANS(INDEX('ZIP Coordinates'!$C:$C,MATCH($A604,'ZIP Coordinates'!$A:$A,0))))*COS(RADIANS(INDEX('ZIP Coordinates'!$D:$D,MATCH($A604,'ZIP Coordinates'!$A:$A,0))-'ZIP Coordinates'!$D$2))))),"N/A")</f>
        <v>175.57136889679089</v>
      </c>
      <c r="G604" s="3" t="str">
        <f t="shared" si="18"/>
        <v>150-199 mi</v>
      </c>
      <c r="H604" s="27">
        <f>IF(RIGHT($B604,1)="P",1,IF(ISNUMBER(SEARCH("HALF GALLON",$C604)),Assumptions!$B$4,IF(ISNUMBER(SEARCH("GALLON",$C604)),Assumptions!$B$3,IF(ISNUMBER(SEARCH("QUART",$C604)),Assumptions!$B$5,IF(ISNUMBER(SEARCH("PINT",$C604)),Assumptions!$B$6,Assumptions!$B$7)))))</f>
        <v>1</v>
      </c>
      <c r="I604" s="27">
        <f t="shared" si="19"/>
        <v>34</v>
      </c>
    </row>
    <row r="605" spans="1:9" x14ac:dyDescent="0.2">
      <c r="A605" s="3" t="s">
        <v>42</v>
      </c>
      <c r="B605" s="3" t="s">
        <v>257</v>
      </c>
      <c r="C605" s="3" t="s">
        <v>256</v>
      </c>
      <c r="D605" s="3" t="s">
        <v>125</v>
      </c>
      <c r="E605" s="4">
        <v>50</v>
      </c>
      <c r="F605" s="5">
        <f>IFERROR(3958.8*ACOS(MIN(1,MAX(-1,SIN(RADIANS('ZIP Coordinates'!$C$2))*SIN(RADIANS(INDEX('ZIP Coordinates'!$C:$C,MATCH($A605,'ZIP Coordinates'!$A:$A,0))))+COS(RADIANS('ZIP Coordinates'!$C$2))*COS(RADIANS(INDEX('ZIP Coordinates'!$C:$C,MATCH($A605,'ZIP Coordinates'!$A:$A,0))))*COS(RADIANS(INDEX('ZIP Coordinates'!$D:$D,MATCH($A605,'ZIP Coordinates'!$A:$A,0))-'ZIP Coordinates'!$D$2))))),"N/A")</f>
        <v>175.57136889679089</v>
      </c>
      <c r="G605" s="3" t="str">
        <f t="shared" si="18"/>
        <v>150-199 mi</v>
      </c>
      <c r="H605" s="27">
        <f>IF(RIGHT($B605,1)="P",1,IF(ISNUMBER(SEARCH("HALF GALLON",$C605)),Assumptions!$B$4,IF(ISNUMBER(SEARCH("GALLON",$C605)),Assumptions!$B$3,IF(ISNUMBER(SEARCH("QUART",$C605)),Assumptions!$B$5,IF(ISNUMBER(SEARCH("PINT",$C605)),Assumptions!$B$6,Assumptions!$B$7)))))</f>
        <v>1</v>
      </c>
      <c r="I605" s="27">
        <f t="shared" si="19"/>
        <v>50</v>
      </c>
    </row>
    <row r="606" spans="1:9" x14ac:dyDescent="0.2">
      <c r="A606" s="3" t="s">
        <v>43</v>
      </c>
      <c r="B606" s="3" t="s">
        <v>259</v>
      </c>
      <c r="C606" s="3" t="s">
        <v>260</v>
      </c>
      <c r="D606" s="3" t="s">
        <v>194</v>
      </c>
      <c r="E606" s="4">
        <v>13</v>
      </c>
      <c r="F606" s="5">
        <f>IFERROR(3958.8*ACOS(MIN(1,MAX(-1,SIN(RADIANS('ZIP Coordinates'!$C$2))*SIN(RADIANS(INDEX('ZIP Coordinates'!$C:$C,MATCH($A606,'ZIP Coordinates'!$A:$A,0))))+COS(RADIANS('ZIP Coordinates'!$C$2))*COS(RADIANS(INDEX('ZIP Coordinates'!$C:$C,MATCH($A606,'ZIP Coordinates'!$A:$A,0))))*COS(RADIANS(INDEX('ZIP Coordinates'!$D:$D,MATCH($A606,'ZIP Coordinates'!$A:$A,0))-'ZIP Coordinates'!$D$2))))),"N/A")</f>
        <v>147.69997820459258</v>
      </c>
      <c r="G606" s="3" t="str">
        <f t="shared" si="18"/>
        <v>100-149 mi</v>
      </c>
      <c r="H606" s="27">
        <f>IF(RIGHT($B606,1)="P",1,IF(ISNUMBER(SEARCH("HALF GALLON",$C606)),Assumptions!$B$4,IF(ISNUMBER(SEARCH("GALLON",$C606)),Assumptions!$B$3,IF(ISNUMBER(SEARCH("QUART",$C606)),Assumptions!$B$5,IF(ISNUMBER(SEARCH("PINT",$C606)),Assumptions!$B$6,Assumptions!$B$7)))))</f>
        <v>4</v>
      </c>
      <c r="I606" s="27">
        <f t="shared" si="19"/>
        <v>52</v>
      </c>
    </row>
    <row r="607" spans="1:9" x14ac:dyDescent="0.2">
      <c r="A607" s="3" t="s">
        <v>43</v>
      </c>
      <c r="B607" s="3" t="s">
        <v>261</v>
      </c>
      <c r="C607" s="3" t="s">
        <v>260</v>
      </c>
      <c r="D607" s="3" t="s">
        <v>164</v>
      </c>
      <c r="E607" s="4">
        <v>21</v>
      </c>
      <c r="F607" s="5">
        <f>IFERROR(3958.8*ACOS(MIN(1,MAX(-1,SIN(RADIANS('ZIP Coordinates'!$C$2))*SIN(RADIANS(INDEX('ZIP Coordinates'!$C:$C,MATCH($A607,'ZIP Coordinates'!$A:$A,0))))+COS(RADIANS('ZIP Coordinates'!$C$2))*COS(RADIANS(INDEX('ZIP Coordinates'!$C:$C,MATCH($A607,'ZIP Coordinates'!$A:$A,0))))*COS(RADIANS(INDEX('ZIP Coordinates'!$D:$D,MATCH($A607,'ZIP Coordinates'!$A:$A,0))-'ZIP Coordinates'!$D$2))))),"N/A")</f>
        <v>147.69997820459258</v>
      </c>
      <c r="G607" s="3" t="str">
        <f t="shared" si="18"/>
        <v>100-149 mi</v>
      </c>
      <c r="H607" s="27">
        <f>IF(RIGHT($B607,1)="P",1,IF(ISNUMBER(SEARCH("HALF GALLON",$C607)),Assumptions!$B$4,IF(ISNUMBER(SEARCH("GALLON",$C607)),Assumptions!$B$3,IF(ISNUMBER(SEARCH("QUART",$C607)),Assumptions!$B$5,IF(ISNUMBER(SEARCH("PINT",$C607)),Assumptions!$B$6,Assumptions!$B$7)))))</f>
        <v>1</v>
      </c>
      <c r="I607" s="27">
        <f t="shared" si="19"/>
        <v>21</v>
      </c>
    </row>
    <row r="608" spans="1:9" x14ac:dyDescent="0.2">
      <c r="A608" s="3" t="s">
        <v>43</v>
      </c>
      <c r="B608" s="3" t="s">
        <v>243</v>
      </c>
      <c r="C608" s="3" t="s">
        <v>244</v>
      </c>
      <c r="D608" s="3" t="s">
        <v>164</v>
      </c>
      <c r="E608" s="4">
        <v>40</v>
      </c>
      <c r="F608" s="5">
        <f>IFERROR(3958.8*ACOS(MIN(1,MAX(-1,SIN(RADIANS('ZIP Coordinates'!$C$2))*SIN(RADIANS(INDEX('ZIP Coordinates'!$C:$C,MATCH($A608,'ZIP Coordinates'!$A:$A,0))))+COS(RADIANS('ZIP Coordinates'!$C$2))*COS(RADIANS(INDEX('ZIP Coordinates'!$C:$C,MATCH($A608,'ZIP Coordinates'!$A:$A,0))))*COS(RADIANS(INDEX('ZIP Coordinates'!$D:$D,MATCH($A608,'ZIP Coordinates'!$A:$A,0))-'ZIP Coordinates'!$D$2))))),"N/A")</f>
        <v>147.69997820459258</v>
      </c>
      <c r="G608" s="3" t="str">
        <f t="shared" si="18"/>
        <v>100-149 mi</v>
      </c>
      <c r="H608" s="27">
        <f>IF(RIGHT($B608,1)="P",1,IF(ISNUMBER(SEARCH("HALF GALLON",$C608)),Assumptions!$B$4,IF(ISNUMBER(SEARCH("GALLON",$C608)),Assumptions!$B$3,IF(ISNUMBER(SEARCH("QUART",$C608)),Assumptions!$B$5,IF(ISNUMBER(SEARCH("PINT",$C608)),Assumptions!$B$6,Assumptions!$B$7)))))</f>
        <v>1</v>
      </c>
      <c r="I608" s="27">
        <f t="shared" si="19"/>
        <v>40</v>
      </c>
    </row>
    <row r="609" spans="1:9" x14ac:dyDescent="0.2">
      <c r="A609" s="3" t="s">
        <v>44</v>
      </c>
      <c r="B609" s="3" t="s">
        <v>270</v>
      </c>
      <c r="C609" s="3" t="s">
        <v>242</v>
      </c>
      <c r="D609" s="3" t="s">
        <v>170</v>
      </c>
      <c r="E609" s="4">
        <v>22</v>
      </c>
      <c r="F609" s="5">
        <f>IFERROR(3958.8*ACOS(MIN(1,MAX(-1,SIN(RADIANS('ZIP Coordinates'!$C$2))*SIN(RADIANS(INDEX('ZIP Coordinates'!$C:$C,MATCH($A609,'ZIP Coordinates'!$A:$A,0))))+COS(RADIANS('ZIP Coordinates'!$C$2))*COS(RADIANS(INDEX('ZIP Coordinates'!$C:$C,MATCH($A609,'ZIP Coordinates'!$A:$A,0))))*COS(RADIANS(INDEX('ZIP Coordinates'!$D:$D,MATCH($A609,'ZIP Coordinates'!$A:$A,0))-'ZIP Coordinates'!$D$2))))),"N/A")</f>
        <v>182.14260247917136</v>
      </c>
      <c r="G609" s="3" t="str">
        <f t="shared" si="18"/>
        <v>150-199 mi</v>
      </c>
      <c r="H609" s="27">
        <f>IF(RIGHT($B609,1)="P",1,IF(ISNUMBER(SEARCH("HALF GALLON",$C609)),Assumptions!$B$4,IF(ISNUMBER(SEARCH("GALLON",$C609)),Assumptions!$B$3,IF(ISNUMBER(SEARCH("QUART",$C609)),Assumptions!$B$5,IF(ISNUMBER(SEARCH("PINT",$C609)),Assumptions!$B$6,Assumptions!$B$7)))))</f>
        <v>9</v>
      </c>
      <c r="I609" s="27">
        <f t="shared" si="19"/>
        <v>198</v>
      </c>
    </row>
    <row r="610" spans="1:9" x14ac:dyDescent="0.2">
      <c r="A610" s="3" t="s">
        <v>44</v>
      </c>
      <c r="B610" s="3" t="s">
        <v>276</v>
      </c>
      <c r="C610" s="3" t="s">
        <v>275</v>
      </c>
      <c r="D610" s="3" t="s">
        <v>170</v>
      </c>
      <c r="E610" s="4">
        <v>28</v>
      </c>
      <c r="F610" s="5">
        <f>IFERROR(3958.8*ACOS(MIN(1,MAX(-1,SIN(RADIANS('ZIP Coordinates'!$C$2))*SIN(RADIANS(INDEX('ZIP Coordinates'!$C:$C,MATCH($A610,'ZIP Coordinates'!$A:$A,0))))+COS(RADIANS('ZIP Coordinates'!$C$2))*COS(RADIANS(INDEX('ZIP Coordinates'!$C:$C,MATCH($A610,'ZIP Coordinates'!$A:$A,0))))*COS(RADIANS(INDEX('ZIP Coordinates'!$D:$D,MATCH($A610,'ZIP Coordinates'!$A:$A,0))-'ZIP Coordinates'!$D$2))))),"N/A")</f>
        <v>182.14260247917136</v>
      </c>
      <c r="G610" s="3" t="str">
        <f t="shared" si="18"/>
        <v>150-199 mi</v>
      </c>
      <c r="H610" s="27">
        <f>IF(RIGHT($B610,1)="P",1,IF(ISNUMBER(SEARCH("HALF GALLON",$C610)),Assumptions!$B$4,IF(ISNUMBER(SEARCH("GALLON",$C610)),Assumptions!$B$3,IF(ISNUMBER(SEARCH("QUART",$C610)),Assumptions!$B$5,IF(ISNUMBER(SEARCH("PINT",$C610)),Assumptions!$B$6,Assumptions!$B$7)))))</f>
        <v>1</v>
      </c>
      <c r="I610" s="27">
        <f t="shared" si="19"/>
        <v>28</v>
      </c>
    </row>
    <row r="611" spans="1:9" x14ac:dyDescent="0.2">
      <c r="A611" s="3" t="s">
        <v>45</v>
      </c>
      <c r="B611" s="3" t="s">
        <v>239</v>
      </c>
      <c r="C611" s="3" t="s">
        <v>240</v>
      </c>
      <c r="D611" s="3" t="s">
        <v>92</v>
      </c>
      <c r="E611" s="4">
        <v>463</v>
      </c>
      <c r="F611" s="5">
        <f>IFERROR(3958.8*ACOS(MIN(1,MAX(-1,SIN(RADIANS('ZIP Coordinates'!$C$2))*SIN(RADIANS(INDEX('ZIP Coordinates'!$C:$C,MATCH($A611,'ZIP Coordinates'!$A:$A,0))))+COS(RADIANS('ZIP Coordinates'!$C$2))*COS(RADIANS(INDEX('ZIP Coordinates'!$C:$C,MATCH($A611,'ZIP Coordinates'!$A:$A,0))))*COS(RADIANS(INDEX('ZIP Coordinates'!$D:$D,MATCH($A611,'ZIP Coordinates'!$A:$A,0))-'ZIP Coordinates'!$D$2))))),"N/A")</f>
        <v>183.03432908103485</v>
      </c>
      <c r="G611" s="3" t="str">
        <f t="shared" si="18"/>
        <v>150-199 mi</v>
      </c>
      <c r="H611" s="27">
        <f>IF(RIGHT($B611,1)="P",1,IF(ISNUMBER(SEARCH("HALF GALLON",$C611)),Assumptions!$B$4,IF(ISNUMBER(SEARCH("GALLON",$C611)),Assumptions!$B$3,IF(ISNUMBER(SEARCH("QUART",$C611)),Assumptions!$B$5,IF(ISNUMBER(SEARCH("PINT",$C611)),Assumptions!$B$6,Assumptions!$B$7)))))</f>
        <v>1</v>
      </c>
      <c r="I611" s="27">
        <f t="shared" si="19"/>
        <v>463</v>
      </c>
    </row>
    <row r="612" spans="1:9" x14ac:dyDescent="0.2">
      <c r="A612" s="3" t="s">
        <v>45</v>
      </c>
      <c r="B612" s="3" t="s">
        <v>261</v>
      </c>
      <c r="C612" s="3" t="s">
        <v>260</v>
      </c>
      <c r="D612" s="3" t="s">
        <v>92</v>
      </c>
      <c r="E612" s="4">
        <v>278</v>
      </c>
      <c r="F612" s="5">
        <f>IFERROR(3958.8*ACOS(MIN(1,MAX(-1,SIN(RADIANS('ZIP Coordinates'!$C$2))*SIN(RADIANS(INDEX('ZIP Coordinates'!$C:$C,MATCH($A612,'ZIP Coordinates'!$A:$A,0))))+COS(RADIANS('ZIP Coordinates'!$C$2))*COS(RADIANS(INDEX('ZIP Coordinates'!$C:$C,MATCH($A612,'ZIP Coordinates'!$A:$A,0))))*COS(RADIANS(INDEX('ZIP Coordinates'!$D:$D,MATCH($A612,'ZIP Coordinates'!$A:$A,0))-'ZIP Coordinates'!$D$2))))),"N/A")</f>
        <v>183.03432908103485</v>
      </c>
      <c r="G612" s="3" t="str">
        <f t="shared" si="18"/>
        <v>150-199 mi</v>
      </c>
      <c r="H612" s="27">
        <f>IF(RIGHT($B612,1)="P",1,IF(ISNUMBER(SEARCH("HALF GALLON",$C612)),Assumptions!$B$4,IF(ISNUMBER(SEARCH("GALLON",$C612)),Assumptions!$B$3,IF(ISNUMBER(SEARCH("QUART",$C612)),Assumptions!$B$5,IF(ISNUMBER(SEARCH("PINT",$C612)),Assumptions!$B$6,Assumptions!$B$7)))))</f>
        <v>1</v>
      </c>
      <c r="I612" s="27">
        <f t="shared" si="19"/>
        <v>278</v>
      </c>
    </row>
    <row r="613" spans="1:9" x14ac:dyDescent="0.2">
      <c r="A613" s="3" t="s">
        <v>45</v>
      </c>
      <c r="B613" s="3" t="s">
        <v>241</v>
      </c>
      <c r="C613" s="3" t="s">
        <v>242</v>
      </c>
      <c r="D613" s="3" t="s">
        <v>92</v>
      </c>
      <c r="E613" s="4">
        <v>377</v>
      </c>
      <c r="F613" s="5">
        <f>IFERROR(3958.8*ACOS(MIN(1,MAX(-1,SIN(RADIANS('ZIP Coordinates'!$C$2))*SIN(RADIANS(INDEX('ZIP Coordinates'!$C:$C,MATCH($A613,'ZIP Coordinates'!$A:$A,0))))+COS(RADIANS('ZIP Coordinates'!$C$2))*COS(RADIANS(INDEX('ZIP Coordinates'!$C:$C,MATCH($A613,'ZIP Coordinates'!$A:$A,0))))*COS(RADIANS(INDEX('ZIP Coordinates'!$D:$D,MATCH($A613,'ZIP Coordinates'!$A:$A,0))-'ZIP Coordinates'!$D$2))))),"N/A")</f>
        <v>183.03432908103485</v>
      </c>
      <c r="G613" s="3" t="str">
        <f t="shared" si="18"/>
        <v>150-199 mi</v>
      </c>
      <c r="H613" s="27">
        <f>IF(RIGHT($B613,1)="P",1,IF(ISNUMBER(SEARCH("HALF GALLON",$C613)),Assumptions!$B$4,IF(ISNUMBER(SEARCH("GALLON",$C613)),Assumptions!$B$3,IF(ISNUMBER(SEARCH("QUART",$C613)),Assumptions!$B$5,IF(ISNUMBER(SEARCH("PINT",$C613)),Assumptions!$B$6,Assumptions!$B$7)))))</f>
        <v>1</v>
      </c>
      <c r="I613" s="27">
        <f t="shared" si="19"/>
        <v>377</v>
      </c>
    </row>
    <row r="614" spans="1:9" x14ac:dyDescent="0.2">
      <c r="A614" s="3" t="s">
        <v>45</v>
      </c>
      <c r="B614" s="3" t="s">
        <v>243</v>
      </c>
      <c r="C614" s="3" t="s">
        <v>244</v>
      </c>
      <c r="D614" s="3" t="s">
        <v>92</v>
      </c>
      <c r="E614" s="4">
        <v>252</v>
      </c>
      <c r="F614" s="5">
        <f>IFERROR(3958.8*ACOS(MIN(1,MAX(-1,SIN(RADIANS('ZIP Coordinates'!$C$2))*SIN(RADIANS(INDEX('ZIP Coordinates'!$C:$C,MATCH($A614,'ZIP Coordinates'!$A:$A,0))))+COS(RADIANS('ZIP Coordinates'!$C$2))*COS(RADIANS(INDEX('ZIP Coordinates'!$C:$C,MATCH($A614,'ZIP Coordinates'!$A:$A,0))))*COS(RADIANS(INDEX('ZIP Coordinates'!$D:$D,MATCH($A614,'ZIP Coordinates'!$A:$A,0))-'ZIP Coordinates'!$D$2))))),"N/A")</f>
        <v>183.03432908103485</v>
      </c>
      <c r="G614" s="3" t="str">
        <f t="shared" si="18"/>
        <v>150-199 mi</v>
      </c>
      <c r="H614" s="27">
        <f>IF(RIGHT($B614,1)="P",1,IF(ISNUMBER(SEARCH("HALF GALLON",$C614)),Assumptions!$B$4,IF(ISNUMBER(SEARCH("GALLON",$C614)),Assumptions!$B$3,IF(ISNUMBER(SEARCH("QUART",$C614)),Assumptions!$B$5,IF(ISNUMBER(SEARCH("PINT",$C614)),Assumptions!$B$6,Assumptions!$B$7)))))</f>
        <v>1</v>
      </c>
      <c r="I614" s="27">
        <f t="shared" si="19"/>
        <v>252</v>
      </c>
    </row>
    <row r="615" spans="1:9" x14ac:dyDescent="0.2">
      <c r="A615" s="3" t="s">
        <v>46</v>
      </c>
      <c r="B615" s="3" t="s">
        <v>258</v>
      </c>
      <c r="C615" s="3" t="s">
        <v>240</v>
      </c>
      <c r="D615" s="3" t="s">
        <v>166</v>
      </c>
      <c r="E615" s="4">
        <v>17</v>
      </c>
      <c r="F615" s="5">
        <f>IFERROR(3958.8*ACOS(MIN(1,MAX(-1,SIN(RADIANS('ZIP Coordinates'!$C$2))*SIN(RADIANS(INDEX('ZIP Coordinates'!$C:$C,MATCH($A615,'ZIP Coordinates'!$A:$A,0))))+COS(RADIANS('ZIP Coordinates'!$C$2))*COS(RADIANS(INDEX('ZIP Coordinates'!$C:$C,MATCH($A615,'ZIP Coordinates'!$A:$A,0))))*COS(RADIANS(INDEX('ZIP Coordinates'!$D:$D,MATCH($A615,'ZIP Coordinates'!$A:$A,0))-'ZIP Coordinates'!$D$2))))),"N/A")</f>
        <v>181.78593363749806</v>
      </c>
      <c r="G615" s="3" t="str">
        <f t="shared" si="18"/>
        <v>150-199 mi</v>
      </c>
      <c r="H615" s="27">
        <f>IF(RIGHT($B615,1)="P",1,IF(ISNUMBER(SEARCH("HALF GALLON",$C615)),Assumptions!$B$4,IF(ISNUMBER(SEARCH("GALLON",$C615)),Assumptions!$B$3,IF(ISNUMBER(SEARCH("QUART",$C615)),Assumptions!$B$5,IF(ISNUMBER(SEARCH("PINT",$C615)),Assumptions!$B$6,Assumptions!$B$7)))))</f>
        <v>4</v>
      </c>
      <c r="I615" s="27">
        <f t="shared" si="19"/>
        <v>68</v>
      </c>
    </row>
    <row r="616" spans="1:9" x14ac:dyDescent="0.2">
      <c r="A616" s="3" t="s">
        <v>46</v>
      </c>
      <c r="B616" s="3" t="s">
        <v>276</v>
      </c>
      <c r="C616" s="3" t="s">
        <v>275</v>
      </c>
      <c r="D616" s="3" t="s">
        <v>166</v>
      </c>
      <c r="E616" s="4">
        <v>42</v>
      </c>
      <c r="F616" s="5">
        <f>IFERROR(3958.8*ACOS(MIN(1,MAX(-1,SIN(RADIANS('ZIP Coordinates'!$C$2))*SIN(RADIANS(INDEX('ZIP Coordinates'!$C:$C,MATCH($A616,'ZIP Coordinates'!$A:$A,0))))+COS(RADIANS('ZIP Coordinates'!$C$2))*COS(RADIANS(INDEX('ZIP Coordinates'!$C:$C,MATCH($A616,'ZIP Coordinates'!$A:$A,0))))*COS(RADIANS(INDEX('ZIP Coordinates'!$D:$D,MATCH($A616,'ZIP Coordinates'!$A:$A,0))-'ZIP Coordinates'!$D$2))))),"N/A")</f>
        <v>181.78593363749806</v>
      </c>
      <c r="G616" s="3" t="str">
        <f t="shared" si="18"/>
        <v>150-199 mi</v>
      </c>
      <c r="H616" s="27">
        <f>IF(RIGHT($B616,1)="P",1,IF(ISNUMBER(SEARCH("HALF GALLON",$C616)),Assumptions!$B$4,IF(ISNUMBER(SEARCH("GALLON",$C616)),Assumptions!$B$3,IF(ISNUMBER(SEARCH("QUART",$C616)),Assumptions!$B$5,IF(ISNUMBER(SEARCH("PINT",$C616)),Assumptions!$B$6,Assumptions!$B$7)))))</f>
        <v>1</v>
      </c>
      <c r="I616" s="27">
        <f t="shared" si="19"/>
        <v>42</v>
      </c>
    </row>
    <row r="617" spans="1:9" x14ac:dyDescent="0.2">
      <c r="A617" s="3" t="s">
        <v>46</v>
      </c>
      <c r="B617" s="3" t="s">
        <v>248</v>
      </c>
      <c r="C617" s="3" t="s">
        <v>249</v>
      </c>
      <c r="D617" s="3" t="s">
        <v>132</v>
      </c>
      <c r="E617" s="4">
        <v>12</v>
      </c>
      <c r="F617" s="5">
        <f>IFERROR(3958.8*ACOS(MIN(1,MAX(-1,SIN(RADIANS('ZIP Coordinates'!$C$2))*SIN(RADIANS(INDEX('ZIP Coordinates'!$C:$C,MATCH($A617,'ZIP Coordinates'!$A:$A,0))))+COS(RADIANS('ZIP Coordinates'!$C$2))*COS(RADIANS(INDEX('ZIP Coordinates'!$C:$C,MATCH($A617,'ZIP Coordinates'!$A:$A,0))))*COS(RADIANS(INDEX('ZIP Coordinates'!$D:$D,MATCH($A617,'ZIP Coordinates'!$A:$A,0))-'ZIP Coordinates'!$D$2))))),"N/A")</f>
        <v>181.78593363749806</v>
      </c>
      <c r="G617" s="3" t="str">
        <f t="shared" si="18"/>
        <v>150-199 mi</v>
      </c>
      <c r="H617" s="27">
        <f>IF(RIGHT($B617,1)="P",1,IF(ISNUMBER(SEARCH("HALF GALLON",$C617)),Assumptions!$B$4,IF(ISNUMBER(SEARCH("GALLON",$C617)),Assumptions!$B$3,IF(ISNUMBER(SEARCH("QUART",$C617)),Assumptions!$B$5,IF(ISNUMBER(SEARCH("PINT",$C617)),Assumptions!$B$6,Assumptions!$B$7)))))</f>
        <v>20</v>
      </c>
      <c r="I617" s="27">
        <f t="shared" si="19"/>
        <v>240</v>
      </c>
    </row>
    <row r="618" spans="1:9" x14ac:dyDescent="0.2">
      <c r="A618" s="3" t="s">
        <v>46</v>
      </c>
      <c r="B618" s="3" t="s">
        <v>250</v>
      </c>
      <c r="C618" s="3" t="s">
        <v>249</v>
      </c>
      <c r="D618" s="3" t="s">
        <v>132</v>
      </c>
      <c r="E618" s="4">
        <v>30</v>
      </c>
      <c r="F618" s="5">
        <f>IFERROR(3958.8*ACOS(MIN(1,MAX(-1,SIN(RADIANS('ZIP Coordinates'!$C$2))*SIN(RADIANS(INDEX('ZIP Coordinates'!$C:$C,MATCH($A618,'ZIP Coordinates'!$A:$A,0))))+COS(RADIANS('ZIP Coordinates'!$C$2))*COS(RADIANS(INDEX('ZIP Coordinates'!$C:$C,MATCH($A618,'ZIP Coordinates'!$A:$A,0))))*COS(RADIANS(INDEX('ZIP Coordinates'!$D:$D,MATCH($A618,'ZIP Coordinates'!$A:$A,0))-'ZIP Coordinates'!$D$2))))),"N/A")</f>
        <v>181.78593363749806</v>
      </c>
      <c r="G618" s="3" t="str">
        <f t="shared" si="18"/>
        <v>150-199 mi</v>
      </c>
      <c r="H618" s="27">
        <f>IF(RIGHT($B618,1)="P",1,IF(ISNUMBER(SEARCH("HALF GALLON",$C618)),Assumptions!$B$4,IF(ISNUMBER(SEARCH("GALLON",$C618)),Assumptions!$B$3,IF(ISNUMBER(SEARCH("QUART",$C618)),Assumptions!$B$5,IF(ISNUMBER(SEARCH("PINT",$C618)),Assumptions!$B$6,Assumptions!$B$7)))))</f>
        <v>1</v>
      </c>
      <c r="I618" s="27">
        <f t="shared" si="19"/>
        <v>30</v>
      </c>
    </row>
    <row r="619" spans="1:9" x14ac:dyDescent="0.2">
      <c r="A619" s="3" t="s">
        <v>46</v>
      </c>
      <c r="B619" s="3" t="s">
        <v>281</v>
      </c>
      <c r="C619" s="3" t="s">
        <v>252</v>
      </c>
      <c r="D619" s="3" t="s">
        <v>132</v>
      </c>
      <c r="E619" s="4">
        <v>3</v>
      </c>
      <c r="F619" s="5">
        <f>IFERROR(3958.8*ACOS(MIN(1,MAX(-1,SIN(RADIANS('ZIP Coordinates'!$C$2))*SIN(RADIANS(INDEX('ZIP Coordinates'!$C:$C,MATCH($A619,'ZIP Coordinates'!$A:$A,0))))+COS(RADIANS('ZIP Coordinates'!$C$2))*COS(RADIANS(INDEX('ZIP Coordinates'!$C:$C,MATCH($A619,'ZIP Coordinates'!$A:$A,0))))*COS(RADIANS(INDEX('ZIP Coordinates'!$D:$D,MATCH($A619,'ZIP Coordinates'!$A:$A,0))-'ZIP Coordinates'!$D$2))))),"N/A")</f>
        <v>181.78593363749806</v>
      </c>
      <c r="G619" s="3" t="str">
        <f t="shared" si="18"/>
        <v>150-199 mi</v>
      </c>
      <c r="H619" s="27">
        <f>IF(RIGHT($B619,1)="P",1,IF(ISNUMBER(SEARCH("HALF GALLON",$C619)),Assumptions!$B$4,IF(ISNUMBER(SEARCH("GALLON",$C619)),Assumptions!$B$3,IF(ISNUMBER(SEARCH("QUART",$C619)),Assumptions!$B$5,IF(ISNUMBER(SEARCH("PINT",$C619)),Assumptions!$B$6,Assumptions!$B$7)))))</f>
        <v>20</v>
      </c>
      <c r="I619" s="27">
        <f t="shared" si="19"/>
        <v>60</v>
      </c>
    </row>
    <row r="620" spans="1:9" x14ac:dyDescent="0.2">
      <c r="A620" s="3" t="s">
        <v>46</v>
      </c>
      <c r="B620" s="3" t="s">
        <v>251</v>
      </c>
      <c r="C620" s="3" t="s">
        <v>252</v>
      </c>
      <c r="D620" s="3" t="s">
        <v>132</v>
      </c>
      <c r="E620" s="4">
        <v>80</v>
      </c>
      <c r="F620" s="5">
        <f>IFERROR(3958.8*ACOS(MIN(1,MAX(-1,SIN(RADIANS('ZIP Coordinates'!$C$2))*SIN(RADIANS(INDEX('ZIP Coordinates'!$C:$C,MATCH($A620,'ZIP Coordinates'!$A:$A,0))))+COS(RADIANS('ZIP Coordinates'!$C$2))*COS(RADIANS(INDEX('ZIP Coordinates'!$C:$C,MATCH($A620,'ZIP Coordinates'!$A:$A,0))))*COS(RADIANS(INDEX('ZIP Coordinates'!$D:$D,MATCH($A620,'ZIP Coordinates'!$A:$A,0))-'ZIP Coordinates'!$D$2))))),"N/A")</f>
        <v>181.78593363749806</v>
      </c>
      <c r="G620" s="3" t="str">
        <f t="shared" si="18"/>
        <v>150-199 mi</v>
      </c>
      <c r="H620" s="27">
        <f>IF(RIGHT($B620,1)="P",1,IF(ISNUMBER(SEARCH("HALF GALLON",$C620)),Assumptions!$B$4,IF(ISNUMBER(SEARCH("GALLON",$C620)),Assumptions!$B$3,IF(ISNUMBER(SEARCH("QUART",$C620)),Assumptions!$B$5,IF(ISNUMBER(SEARCH("PINT",$C620)),Assumptions!$B$6,Assumptions!$B$7)))))</f>
        <v>1</v>
      </c>
      <c r="I620" s="27">
        <f t="shared" si="19"/>
        <v>80</v>
      </c>
    </row>
    <row r="621" spans="1:9" x14ac:dyDescent="0.2">
      <c r="A621" s="3" t="s">
        <v>46</v>
      </c>
      <c r="B621" s="3" t="s">
        <v>255</v>
      </c>
      <c r="C621" s="3" t="s">
        <v>256</v>
      </c>
      <c r="D621" s="3" t="s">
        <v>132</v>
      </c>
      <c r="E621" s="4">
        <v>15</v>
      </c>
      <c r="F621" s="5">
        <f>IFERROR(3958.8*ACOS(MIN(1,MAX(-1,SIN(RADIANS('ZIP Coordinates'!$C$2))*SIN(RADIANS(INDEX('ZIP Coordinates'!$C:$C,MATCH($A621,'ZIP Coordinates'!$A:$A,0))))+COS(RADIANS('ZIP Coordinates'!$C$2))*COS(RADIANS(INDEX('ZIP Coordinates'!$C:$C,MATCH($A621,'ZIP Coordinates'!$A:$A,0))))*COS(RADIANS(INDEX('ZIP Coordinates'!$D:$D,MATCH($A621,'ZIP Coordinates'!$A:$A,0))-'ZIP Coordinates'!$D$2))))),"N/A")</f>
        <v>181.78593363749806</v>
      </c>
      <c r="G621" s="3" t="str">
        <f t="shared" si="18"/>
        <v>150-199 mi</v>
      </c>
      <c r="H621" s="27">
        <f>IF(RIGHT($B621,1)="P",1,IF(ISNUMBER(SEARCH("HALF GALLON",$C621)),Assumptions!$B$4,IF(ISNUMBER(SEARCH("GALLON",$C621)),Assumptions!$B$3,IF(ISNUMBER(SEARCH("QUART",$C621)),Assumptions!$B$5,IF(ISNUMBER(SEARCH("PINT",$C621)),Assumptions!$B$6,Assumptions!$B$7)))))</f>
        <v>20</v>
      </c>
      <c r="I621" s="27">
        <f t="shared" si="19"/>
        <v>300</v>
      </c>
    </row>
    <row r="622" spans="1:9" x14ac:dyDescent="0.2">
      <c r="A622" s="3" t="s">
        <v>46</v>
      </c>
      <c r="B622" s="3" t="s">
        <v>257</v>
      </c>
      <c r="C622" s="3" t="s">
        <v>256</v>
      </c>
      <c r="D622" s="3" t="s">
        <v>132</v>
      </c>
      <c r="E622" s="4">
        <v>25</v>
      </c>
      <c r="F622" s="5">
        <f>IFERROR(3958.8*ACOS(MIN(1,MAX(-1,SIN(RADIANS('ZIP Coordinates'!$C$2))*SIN(RADIANS(INDEX('ZIP Coordinates'!$C:$C,MATCH($A622,'ZIP Coordinates'!$A:$A,0))))+COS(RADIANS('ZIP Coordinates'!$C$2))*COS(RADIANS(INDEX('ZIP Coordinates'!$C:$C,MATCH($A622,'ZIP Coordinates'!$A:$A,0))))*COS(RADIANS(INDEX('ZIP Coordinates'!$D:$D,MATCH($A622,'ZIP Coordinates'!$A:$A,0))-'ZIP Coordinates'!$D$2))))),"N/A")</f>
        <v>181.78593363749806</v>
      </c>
      <c r="G622" s="3" t="str">
        <f t="shared" si="18"/>
        <v>150-199 mi</v>
      </c>
      <c r="H622" s="27">
        <f>IF(RIGHT($B622,1)="P",1,IF(ISNUMBER(SEARCH("HALF GALLON",$C622)),Assumptions!$B$4,IF(ISNUMBER(SEARCH("GALLON",$C622)),Assumptions!$B$3,IF(ISNUMBER(SEARCH("QUART",$C622)),Assumptions!$B$5,IF(ISNUMBER(SEARCH("PINT",$C622)),Assumptions!$B$6,Assumptions!$B$7)))))</f>
        <v>1</v>
      </c>
      <c r="I622" s="27">
        <f t="shared" si="19"/>
        <v>25</v>
      </c>
    </row>
    <row r="623" spans="1:9" x14ac:dyDescent="0.2">
      <c r="A623" s="3" t="s">
        <v>47</v>
      </c>
      <c r="B623" s="3" t="s">
        <v>239</v>
      </c>
      <c r="C623" s="3" t="s">
        <v>240</v>
      </c>
      <c r="D623" s="3" t="s">
        <v>204</v>
      </c>
      <c r="E623" s="4">
        <v>7</v>
      </c>
      <c r="F623" s="5">
        <f>IFERROR(3958.8*ACOS(MIN(1,MAX(-1,SIN(RADIANS('ZIP Coordinates'!$C$2))*SIN(RADIANS(INDEX('ZIP Coordinates'!$C:$C,MATCH($A623,'ZIP Coordinates'!$A:$A,0))))+COS(RADIANS('ZIP Coordinates'!$C$2))*COS(RADIANS(INDEX('ZIP Coordinates'!$C:$C,MATCH($A623,'ZIP Coordinates'!$A:$A,0))))*COS(RADIANS(INDEX('ZIP Coordinates'!$D:$D,MATCH($A623,'ZIP Coordinates'!$A:$A,0))-'ZIP Coordinates'!$D$2))))),"N/A")</f>
        <v>180.99820964938351</v>
      </c>
      <c r="G623" s="3" t="str">
        <f t="shared" si="18"/>
        <v>150-199 mi</v>
      </c>
      <c r="H623" s="27">
        <f>IF(RIGHT($B623,1)="P",1,IF(ISNUMBER(SEARCH("HALF GALLON",$C623)),Assumptions!$B$4,IF(ISNUMBER(SEARCH("GALLON",$C623)),Assumptions!$B$3,IF(ISNUMBER(SEARCH("QUART",$C623)),Assumptions!$B$5,IF(ISNUMBER(SEARCH("PINT",$C623)),Assumptions!$B$6,Assumptions!$B$7)))))</f>
        <v>1</v>
      </c>
      <c r="I623" s="27">
        <f t="shared" si="19"/>
        <v>7</v>
      </c>
    </row>
    <row r="624" spans="1:9" x14ac:dyDescent="0.2">
      <c r="A624" s="3" t="s">
        <v>48</v>
      </c>
      <c r="B624" s="3" t="s">
        <v>271</v>
      </c>
      <c r="C624" s="3" t="s">
        <v>244</v>
      </c>
      <c r="D624" s="3" t="s">
        <v>158</v>
      </c>
      <c r="E624" s="4">
        <v>10</v>
      </c>
      <c r="F624" s="5">
        <f>IFERROR(3958.8*ACOS(MIN(1,MAX(-1,SIN(RADIANS('ZIP Coordinates'!$C$2))*SIN(RADIANS(INDEX('ZIP Coordinates'!$C:$C,MATCH($A624,'ZIP Coordinates'!$A:$A,0))))+COS(RADIANS('ZIP Coordinates'!$C$2))*COS(RADIANS(INDEX('ZIP Coordinates'!$C:$C,MATCH($A624,'ZIP Coordinates'!$A:$A,0))))*COS(RADIANS(INDEX('ZIP Coordinates'!$D:$D,MATCH($A624,'ZIP Coordinates'!$A:$A,0))-'ZIP Coordinates'!$D$2))))),"N/A")</f>
        <v>180.49502404811059</v>
      </c>
      <c r="G624" s="3" t="str">
        <f t="shared" si="18"/>
        <v>150-199 mi</v>
      </c>
      <c r="H624" s="27">
        <f>IF(RIGHT($B624,1)="P",1,IF(ISNUMBER(SEARCH("HALF GALLON",$C624)),Assumptions!$B$4,IF(ISNUMBER(SEARCH("GALLON",$C624)),Assumptions!$B$3,IF(ISNUMBER(SEARCH("QUART",$C624)),Assumptions!$B$5,IF(ISNUMBER(SEARCH("PINT",$C624)),Assumptions!$B$6,Assumptions!$B$7)))))</f>
        <v>9</v>
      </c>
      <c r="I624" s="27">
        <f t="shared" si="19"/>
        <v>90</v>
      </c>
    </row>
    <row r="625" spans="1:9" x14ac:dyDescent="0.2">
      <c r="A625" s="3" t="s">
        <v>48</v>
      </c>
      <c r="B625" s="3" t="s">
        <v>243</v>
      </c>
      <c r="C625" s="3" t="s">
        <v>244</v>
      </c>
      <c r="D625" s="3" t="s">
        <v>158</v>
      </c>
      <c r="E625" s="4">
        <v>24</v>
      </c>
      <c r="F625" s="5">
        <f>IFERROR(3958.8*ACOS(MIN(1,MAX(-1,SIN(RADIANS('ZIP Coordinates'!$C$2))*SIN(RADIANS(INDEX('ZIP Coordinates'!$C:$C,MATCH($A625,'ZIP Coordinates'!$A:$A,0))))+COS(RADIANS('ZIP Coordinates'!$C$2))*COS(RADIANS(INDEX('ZIP Coordinates'!$C:$C,MATCH($A625,'ZIP Coordinates'!$A:$A,0))))*COS(RADIANS(INDEX('ZIP Coordinates'!$D:$D,MATCH($A625,'ZIP Coordinates'!$A:$A,0))-'ZIP Coordinates'!$D$2))))),"N/A")</f>
        <v>180.49502404811059</v>
      </c>
      <c r="G625" s="3" t="str">
        <f t="shared" si="18"/>
        <v>150-199 mi</v>
      </c>
      <c r="H625" s="27">
        <f>IF(RIGHT($B625,1)="P",1,IF(ISNUMBER(SEARCH("HALF GALLON",$C625)),Assumptions!$B$4,IF(ISNUMBER(SEARCH("GALLON",$C625)),Assumptions!$B$3,IF(ISNUMBER(SEARCH("QUART",$C625)),Assumptions!$B$5,IF(ISNUMBER(SEARCH("PINT",$C625)),Assumptions!$B$6,Assumptions!$B$7)))))</f>
        <v>1</v>
      </c>
      <c r="I625" s="27">
        <f t="shared" si="19"/>
        <v>24</v>
      </c>
    </row>
    <row r="626" spans="1:9" x14ac:dyDescent="0.2">
      <c r="A626" s="3" t="s">
        <v>48</v>
      </c>
      <c r="B626" s="3" t="s">
        <v>276</v>
      </c>
      <c r="C626" s="3" t="s">
        <v>275</v>
      </c>
      <c r="D626" s="3" t="s">
        <v>158</v>
      </c>
      <c r="E626" s="4">
        <v>57</v>
      </c>
      <c r="F626" s="5">
        <f>IFERROR(3958.8*ACOS(MIN(1,MAX(-1,SIN(RADIANS('ZIP Coordinates'!$C$2))*SIN(RADIANS(INDEX('ZIP Coordinates'!$C:$C,MATCH($A626,'ZIP Coordinates'!$A:$A,0))))+COS(RADIANS('ZIP Coordinates'!$C$2))*COS(RADIANS(INDEX('ZIP Coordinates'!$C:$C,MATCH($A626,'ZIP Coordinates'!$A:$A,0))))*COS(RADIANS(INDEX('ZIP Coordinates'!$D:$D,MATCH($A626,'ZIP Coordinates'!$A:$A,0))-'ZIP Coordinates'!$D$2))))),"N/A")</f>
        <v>180.49502404811059</v>
      </c>
      <c r="G626" s="3" t="str">
        <f t="shared" si="18"/>
        <v>150-199 mi</v>
      </c>
      <c r="H626" s="27">
        <f>IF(RIGHT($B626,1)="P",1,IF(ISNUMBER(SEARCH("HALF GALLON",$C626)),Assumptions!$B$4,IF(ISNUMBER(SEARCH("GALLON",$C626)),Assumptions!$B$3,IF(ISNUMBER(SEARCH("QUART",$C626)),Assumptions!$B$5,IF(ISNUMBER(SEARCH("PINT",$C626)),Assumptions!$B$6,Assumptions!$B$7)))))</f>
        <v>1</v>
      </c>
      <c r="I626" s="27">
        <f t="shared" si="19"/>
        <v>57</v>
      </c>
    </row>
    <row r="627" spans="1:9" x14ac:dyDescent="0.2">
      <c r="A627" s="3" t="s">
        <v>49</v>
      </c>
      <c r="B627" s="3" t="s">
        <v>271</v>
      </c>
      <c r="C627" s="3" t="s">
        <v>244</v>
      </c>
      <c r="D627" s="3" t="s">
        <v>169</v>
      </c>
      <c r="E627" s="4">
        <v>18</v>
      </c>
      <c r="F627" s="5">
        <f>IFERROR(3958.8*ACOS(MIN(1,MAX(-1,SIN(RADIANS('ZIP Coordinates'!$C$2))*SIN(RADIANS(INDEX('ZIP Coordinates'!$C:$C,MATCH($A627,'ZIP Coordinates'!$A:$A,0))))+COS(RADIANS('ZIP Coordinates'!$C$2))*COS(RADIANS(INDEX('ZIP Coordinates'!$C:$C,MATCH($A627,'ZIP Coordinates'!$A:$A,0))))*COS(RADIANS(INDEX('ZIP Coordinates'!$D:$D,MATCH($A627,'ZIP Coordinates'!$A:$A,0))-'ZIP Coordinates'!$D$2))))),"N/A")</f>
        <v>184.6196203096971</v>
      </c>
      <c r="G627" s="3" t="str">
        <f t="shared" si="18"/>
        <v>150-199 mi</v>
      </c>
      <c r="H627" s="27">
        <f>IF(RIGHT($B627,1)="P",1,IF(ISNUMBER(SEARCH("HALF GALLON",$C627)),Assumptions!$B$4,IF(ISNUMBER(SEARCH("GALLON",$C627)),Assumptions!$B$3,IF(ISNUMBER(SEARCH("QUART",$C627)),Assumptions!$B$5,IF(ISNUMBER(SEARCH("PINT",$C627)),Assumptions!$B$6,Assumptions!$B$7)))))</f>
        <v>9</v>
      </c>
      <c r="I627" s="27">
        <f t="shared" si="19"/>
        <v>162</v>
      </c>
    </row>
    <row r="628" spans="1:9" x14ac:dyDescent="0.2">
      <c r="A628" s="3" t="s">
        <v>49</v>
      </c>
      <c r="B628" s="3" t="s">
        <v>276</v>
      </c>
      <c r="C628" s="3" t="s">
        <v>275</v>
      </c>
      <c r="D628" s="3" t="s">
        <v>169</v>
      </c>
      <c r="E628" s="4">
        <v>33</v>
      </c>
      <c r="F628" s="5">
        <f>IFERROR(3958.8*ACOS(MIN(1,MAX(-1,SIN(RADIANS('ZIP Coordinates'!$C$2))*SIN(RADIANS(INDEX('ZIP Coordinates'!$C:$C,MATCH($A628,'ZIP Coordinates'!$A:$A,0))))+COS(RADIANS('ZIP Coordinates'!$C$2))*COS(RADIANS(INDEX('ZIP Coordinates'!$C:$C,MATCH($A628,'ZIP Coordinates'!$A:$A,0))))*COS(RADIANS(INDEX('ZIP Coordinates'!$D:$D,MATCH($A628,'ZIP Coordinates'!$A:$A,0))-'ZIP Coordinates'!$D$2))))),"N/A")</f>
        <v>184.6196203096971</v>
      </c>
      <c r="G628" s="3" t="str">
        <f t="shared" si="18"/>
        <v>150-199 mi</v>
      </c>
      <c r="H628" s="27">
        <f>IF(RIGHT($B628,1)="P",1,IF(ISNUMBER(SEARCH("HALF GALLON",$C628)),Assumptions!$B$4,IF(ISNUMBER(SEARCH("GALLON",$C628)),Assumptions!$B$3,IF(ISNUMBER(SEARCH("QUART",$C628)),Assumptions!$B$5,IF(ISNUMBER(SEARCH("PINT",$C628)),Assumptions!$B$6,Assumptions!$B$7)))))</f>
        <v>1</v>
      </c>
      <c r="I628" s="27">
        <f t="shared" si="19"/>
        <v>33</v>
      </c>
    </row>
    <row r="629" spans="1:9" x14ac:dyDescent="0.2">
      <c r="A629" s="3" t="s">
        <v>50</v>
      </c>
      <c r="B629" s="3" t="s">
        <v>258</v>
      </c>
      <c r="C629" s="3" t="s">
        <v>240</v>
      </c>
      <c r="D629" s="3" t="s">
        <v>179</v>
      </c>
      <c r="E629" s="4">
        <v>32</v>
      </c>
      <c r="F629" s="5">
        <f>IFERROR(3958.8*ACOS(MIN(1,MAX(-1,SIN(RADIANS('ZIP Coordinates'!$C$2))*SIN(RADIANS(INDEX('ZIP Coordinates'!$C:$C,MATCH($A629,'ZIP Coordinates'!$A:$A,0))))+COS(RADIANS('ZIP Coordinates'!$C$2))*COS(RADIANS(INDEX('ZIP Coordinates'!$C:$C,MATCH($A629,'ZIP Coordinates'!$A:$A,0))))*COS(RADIANS(INDEX('ZIP Coordinates'!$D:$D,MATCH($A629,'ZIP Coordinates'!$A:$A,0))-'ZIP Coordinates'!$D$2))))),"N/A")</f>
        <v>177.75290744808345</v>
      </c>
      <c r="G629" s="3" t="str">
        <f t="shared" si="18"/>
        <v>150-199 mi</v>
      </c>
      <c r="H629" s="27">
        <f>IF(RIGHT($B629,1)="P",1,IF(ISNUMBER(SEARCH("HALF GALLON",$C629)),Assumptions!$B$4,IF(ISNUMBER(SEARCH("GALLON",$C629)),Assumptions!$B$3,IF(ISNUMBER(SEARCH("QUART",$C629)),Assumptions!$B$5,IF(ISNUMBER(SEARCH("PINT",$C629)),Assumptions!$B$6,Assumptions!$B$7)))))</f>
        <v>4</v>
      </c>
      <c r="I629" s="27">
        <f t="shared" si="19"/>
        <v>128</v>
      </c>
    </row>
    <row r="630" spans="1:9" x14ac:dyDescent="0.2">
      <c r="A630" s="3" t="s">
        <v>50</v>
      </c>
      <c r="B630" s="3" t="s">
        <v>248</v>
      </c>
      <c r="C630" s="3" t="s">
        <v>249</v>
      </c>
      <c r="D630" s="3" t="s">
        <v>167</v>
      </c>
      <c r="E630" s="4">
        <v>24</v>
      </c>
      <c r="F630" s="5">
        <f>IFERROR(3958.8*ACOS(MIN(1,MAX(-1,SIN(RADIANS('ZIP Coordinates'!$C$2))*SIN(RADIANS(INDEX('ZIP Coordinates'!$C:$C,MATCH($A630,'ZIP Coordinates'!$A:$A,0))))+COS(RADIANS('ZIP Coordinates'!$C$2))*COS(RADIANS(INDEX('ZIP Coordinates'!$C:$C,MATCH($A630,'ZIP Coordinates'!$A:$A,0))))*COS(RADIANS(INDEX('ZIP Coordinates'!$D:$D,MATCH($A630,'ZIP Coordinates'!$A:$A,0))-'ZIP Coordinates'!$D$2))))),"N/A")</f>
        <v>177.75290744808345</v>
      </c>
      <c r="G630" s="3" t="str">
        <f t="shared" si="18"/>
        <v>150-199 mi</v>
      </c>
      <c r="H630" s="27">
        <f>IF(RIGHT($B630,1)="P",1,IF(ISNUMBER(SEARCH("HALF GALLON",$C630)),Assumptions!$B$4,IF(ISNUMBER(SEARCH("GALLON",$C630)),Assumptions!$B$3,IF(ISNUMBER(SEARCH("QUART",$C630)),Assumptions!$B$5,IF(ISNUMBER(SEARCH("PINT",$C630)),Assumptions!$B$6,Assumptions!$B$7)))))</f>
        <v>20</v>
      </c>
      <c r="I630" s="27">
        <f t="shared" si="19"/>
        <v>480</v>
      </c>
    </row>
    <row r="631" spans="1:9" x14ac:dyDescent="0.2">
      <c r="A631" s="3" t="s">
        <v>50</v>
      </c>
      <c r="B631" s="3" t="s">
        <v>250</v>
      </c>
      <c r="C631" s="3" t="s">
        <v>249</v>
      </c>
      <c r="D631" s="3" t="s">
        <v>134</v>
      </c>
      <c r="E631" s="4">
        <v>60</v>
      </c>
      <c r="F631" s="5">
        <f>IFERROR(3958.8*ACOS(MIN(1,MAX(-1,SIN(RADIANS('ZIP Coordinates'!$C$2))*SIN(RADIANS(INDEX('ZIP Coordinates'!$C:$C,MATCH($A631,'ZIP Coordinates'!$A:$A,0))))+COS(RADIANS('ZIP Coordinates'!$C$2))*COS(RADIANS(INDEX('ZIP Coordinates'!$C:$C,MATCH($A631,'ZIP Coordinates'!$A:$A,0))))*COS(RADIANS(INDEX('ZIP Coordinates'!$D:$D,MATCH($A631,'ZIP Coordinates'!$A:$A,0))-'ZIP Coordinates'!$D$2))))),"N/A")</f>
        <v>177.75290744808345</v>
      </c>
      <c r="G631" s="3" t="str">
        <f t="shared" si="18"/>
        <v>150-199 mi</v>
      </c>
      <c r="H631" s="27">
        <f>IF(RIGHT($B631,1)="P",1,IF(ISNUMBER(SEARCH("HALF GALLON",$C631)),Assumptions!$B$4,IF(ISNUMBER(SEARCH("GALLON",$C631)),Assumptions!$B$3,IF(ISNUMBER(SEARCH("QUART",$C631)),Assumptions!$B$5,IF(ISNUMBER(SEARCH("PINT",$C631)),Assumptions!$B$6,Assumptions!$B$7)))))</f>
        <v>1</v>
      </c>
      <c r="I631" s="27">
        <f t="shared" si="19"/>
        <v>60</v>
      </c>
    </row>
    <row r="632" spans="1:9" x14ac:dyDescent="0.2">
      <c r="A632" s="3" t="s">
        <v>50</v>
      </c>
      <c r="B632" s="3" t="s">
        <v>281</v>
      </c>
      <c r="C632" s="3" t="s">
        <v>252</v>
      </c>
      <c r="D632" s="3" t="s">
        <v>134</v>
      </c>
      <c r="E632" s="4">
        <v>12</v>
      </c>
      <c r="F632" s="5">
        <f>IFERROR(3958.8*ACOS(MIN(1,MAX(-1,SIN(RADIANS('ZIP Coordinates'!$C$2))*SIN(RADIANS(INDEX('ZIP Coordinates'!$C:$C,MATCH($A632,'ZIP Coordinates'!$A:$A,0))))+COS(RADIANS('ZIP Coordinates'!$C$2))*COS(RADIANS(INDEX('ZIP Coordinates'!$C:$C,MATCH($A632,'ZIP Coordinates'!$A:$A,0))))*COS(RADIANS(INDEX('ZIP Coordinates'!$D:$D,MATCH($A632,'ZIP Coordinates'!$A:$A,0))-'ZIP Coordinates'!$D$2))))),"N/A")</f>
        <v>177.75290744808345</v>
      </c>
      <c r="G632" s="3" t="str">
        <f t="shared" si="18"/>
        <v>150-199 mi</v>
      </c>
      <c r="H632" s="27">
        <f>IF(RIGHT($B632,1)="P",1,IF(ISNUMBER(SEARCH("HALF GALLON",$C632)),Assumptions!$B$4,IF(ISNUMBER(SEARCH("GALLON",$C632)),Assumptions!$B$3,IF(ISNUMBER(SEARCH("QUART",$C632)),Assumptions!$B$5,IF(ISNUMBER(SEARCH("PINT",$C632)),Assumptions!$B$6,Assumptions!$B$7)))))</f>
        <v>20</v>
      </c>
      <c r="I632" s="27">
        <f t="shared" si="19"/>
        <v>240</v>
      </c>
    </row>
    <row r="633" spans="1:9" x14ac:dyDescent="0.2">
      <c r="A633" s="3" t="s">
        <v>50</v>
      </c>
      <c r="B633" s="3" t="s">
        <v>251</v>
      </c>
      <c r="C633" s="3" t="s">
        <v>252</v>
      </c>
      <c r="D633" s="3" t="s">
        <v>134</v>
      </c>
      <c r="E633" s="4">
        <v>15</v>
      </c>
      <c r="F633" s="5">
        <f>IFERROR(3958.8*ACOS(MIN(1,MAX(-1,SIN(RADIANS('ZIP Coordinates'!$C$2))*SIN(RADIANS(INDEX('ZIP Coordinates'!$C:$C,MATCH($A633,'ZIP Coordinates'!$A:$A,0))))+COS(RADIANS('ZIP Coordinates'!$C$2))*COS(RADIANS(INDEX('ZIP Coordinates'!$C:$C,MATCH($A633,'ZIP Coordinates'!$A:$A,0))))*COS(RADIANS(INDEX('ZIP Coordinates'!$D:$D,MATCH($A633,'ZIP Coordinates'!$A:$A,0))-'ZIP Coordinates'!$D$2))))),"N/A")</f>
        <v>177.75290744808345</v>
      </c>
      <c r="G633" s="3" t="str">
        <f t="shared" si="18"/>
        <v>150-199 mi</v>
      </c>
      <c r="H633" s="27">
        <f>IF(RIGHT($B633,1)="P",1,IF(ISNUMBER(SEARCH("HALF GALLON",$C633)),Assumptions!$B$4,IF(ISNUMBER(SEARCH("GALLON",$C633)),Assumptions!$B$3,IF(ISNUMBER(SEARCH("QUART",$C633)),Assumptions!$B$5,IF(ISNUMBER(SEARCH("PINT",$C633)),Assumptions!$B$6,Assumptions!$B$7)))))</f>
        <v>1</v>
      </c>
      <c r="I633" s="27">
        <f t="shared" si="19"/>
        <v>15</v>
      </c>
    </row>
    <row r="634" spans="1:9" x14ac:dyDescent="0.2">
      <c r="A634" s="3" t="s">
        <v>50</v>
      </c>
      <c r="B634" s="3" t="s">
        <v>255</v>
      </c>
      <c r="C634" s="3" t="s">
        <v>256</v>
      </c>
      <c r="D634" s="3" t="s">
        <v>167</v>
      </c>
      <c r="E634" s="4">
        <v>34</v>
      </c>
      <c r="F634" s="5">
        <f>IFERROR(3958.8*ACOS(MIN(1,MAX(-1,SIN(RADIANS('ZIP Coordinates'!$C$2))*SIN(RADIANS(INDEX('ZIP Coordinates'!$C:$C,MATCH($A634,'ZIP Coordinates'!$A:$A,0))))+COS(RADIANS('ZIP Coordinates'!$C$2))*COS(RADIANS(INDEX('ZIP Coordinates'!$C:$C,MATCH($A634,'ZIP Coordinates'!$A:$A,0))))*COS(RADIANS(INDEX('ZIP Coordinates'!$D:$D,MATCH($A634,'ZIP Coordinates'!$A:$A,0))-'ZIP Coordinates'!$D$2))))),"N/A")</f>
        <v>177.75290744808345</v>
      </c>
      <c r="G634" s="3" t="str">
        <f t="shared" si="18"/>
        <v>150-199 mi</v>
      </c>
      <c r="H634" s="27">
        <f>IF(RIGHT($B634,1)="P",1,IF(ISNUMBER(SEARCH("HALF GALLON",$C634)),Assumptions!$B$4,IF(ISNUMBER(SEARCH("GALLON",$C634)),Assumptions!$B$3,IF(ISNUMBER(SEARCH("QUART",$C634)),Assumptions!$B$5,IF(ISNUMBER(SEARCH("PINT",$C634)),Assumptions!$B$6,Assumptions!$B$7)))))</f>
        <v>20</v>
      </c>
      <c r="I634" s="27">
        <f t="shared" si="19"/>
        <v>680</v>
      </c>
    </row>
    <row r="635" spans="1:9" x14ac:dyDescent="0.2">
      <c r="A635" s="3" t="s">
        <v>50</v>
      </c>
      <c r="B635" s="3" t="s">
        <v>257</v>
      </c>
      <c r="C635" s="3" t="s">
        <v>256</v>
      </c>
      <c r="D635" s="3" t="s">
        <v>134</v>
      </c>
      <c r="E635" s="4">
        <v>90</v>
      </c>
      <c r="F635" s="5">
        <f>IFERROR(3958.8*ACOS(MIN(1,MAX(-1,SIN(RADIANS('ZIP Coordinates'!$C$2))*SIN(RADIANS(INDEX('ZIP Coordinates'!$C:$C,MATCH($A635,'ZIP Coordinates'!$A:$A,0))))+COS(RADIANS('ZIP Coordinates'!$C$2))*COS(RADIANS(INDEX('ZIP Coordinates'!$C:$C,MATCH($A635,'ZIP Coordinates'!$A:$A,0))))*COS(RADIANS(INDEX('ZIP Coordinates'!$D:$D,MATCH($A635,'ZIP Coordinates'!$A:$A,0))-'ZIP Coordinates'!$D$2))))),"N/A")</f>
        <v>177.75290744808345</v>
      </c>
      <c r="G635" s="3" t="str">
        <f t="shared" si="18"/>
        <v>150-199 mi</v>
      </c>
      <c r="H635" s="27">
        <f>IF(RIGHT($B635,1)="P",1,IF(ISNUMBER(SEARCH("HALF GALLON",$C635)),Assumptions!$B$4,IF(ISNUMBER(SEARCH("GALLON",$C635)),Assumptions!$B$3,IF(ISNUMBER(SEARCH("QUART",$C635)),Assumptions!$B$5,IF(ISNUMBER(SEARCH("PINT",$C635)),Assumptions!$B$6,Assumptions!$B$7)))))</f>
        <v>1</v>
      </c>
      <c r="I635" s="27">
        <f t="shared" si="19"/>
        <v>90</v>
      </c>
    </row>
    <row r="636" spans="1:9" x14ac:dyDescent="0.2">
      <c r="A636" s="3" t="s">
        <v>51</v>
      </c>
      <c r="B636" s="3" t="s">
        <v>271</v>
      </c>
      <c r="C636" s="3" t="s">
        <v>244</v>
      </c>
      <c r="D636" s="3" t="s">
        <v>190</v>
      </c>
      <c r="E636" s="4">
        <v>16</v>
      </c>
      <c r="F636" s="5">
        <f>IFERROR(3958.8*ACOS(MIN(1,MAX(-1,SIN(RADIANS('ZIP Coordinates'!$C$2))*SIN(RADIANS(INDEX('ZIP Coordinates'!$C:$C,MATCH($A636,'ZIP Coordinates'!$A:$A,0))))+COS(RADIANS('ZIP Coordinates'!$C$2))*COS(RADIANS(INDEX('ZIP Coordinates'!$C:$C,MATCH($A636,'ZIP Coordinates'!$A:$A,0))))*COS(RADIANS(INDEX('ZIP Coordinates'!$D:$D,MATCH($A636,'ZIP Coordinates'!$A:$A,0))-'ZIP Coordinates'!$D$2))))),"N/A")</f>
        <v>172.14937957926466</v>
      </c>
      <c r="G636" s="3" t="str">
        <f t="shared" si="18"/>
        <v>150-199 mi</v>
      </c>
      <c r="H636" s="27">
        <f>IF(RIGHT($B636,1)="P",1,IF(ISNUMBER(SEARCH("HALF GALLON",$C636)),Assumptions!$B$4,IF(ISNUMBER(SEARCH("GALLON",$C636)),Assumptions!$B$3,IF(ISNUMBER(SEARCH("QUART",$C636)),Assumptions!$B$5,IF(ISNUMBER(SEARCH("PINT",$C636)),Assumptions!$B$6,Assumptions!$B$7)))))</f>
        <v>9</v>
      </c>
      <c r="I636" s="27">
        <f t="shared" si="19"/>
        <v>144</v>
      </c>
    </row>
    <row r="637" spans="1:9" x14ac:dyDescent="0.2">
      <c r="A637" s="3" t="s">
        <v>52</v>
      </c>
      <c r="B637" s="3" t="s">
        <v>250</v>
      </c>
      <c r="C637" s="3" t="s">
        <v>249</v>
      </c>
      <c r="D637" s="3" t="s">
        <v>159</v>
      </c>
      <c r="E637" s="4">
        <v>20</v>
      </c>
      <c r="F637" s="5">
        <f>IFERROR(3958.8*ACOS(MIN(1,MAX(-1,SIN(RADIANS('ZIP Coordinates'!$C$2))*SIN(RADIANS(INDEX('ZIP Coordinates'!$C:$C,MATCH($A637,'ZIP Coordinates'!$A:$A,0))))+COS(RADIANS('ZIP Coordinates'!$C$2))*COS(RADIANS(INDEX('ZIP Coordinates'!$C:$C,MATCH($A637,'ZIP Coordinates'!$A:$A,0))))*COS(RADIANS(INDEX('ZIP Coordinates'!$D:$D,MATCH($A637,'ZIP Coordinates'!$A:$A,0))-'ZIP Coordinates'!$D$2))))),"N/A")</f>
        <v>195.93313963779019</v>
      </c>
      <c r="G637" s="3" t="str">
        <f t="shared" si="18"/>
        <v>150-199 mi</v>
      </c>
      <c r="H637" s="27">
        <f>IF(RIGHT($B637,1)="P",1,IF(ISNUMBER(SEARCH("HALF GALLON",$C637)),Assumptions!$B$4,IF(ISNUMBER(SEARCH("GALLON",$C637)),Assumptions!$B$3,IF(ISNUMBER(SEARCH("QUART",$C637)),Assumptions!$B$5,IF(ISNUMBER(SEARCH("PINT",$C637)),Assumptions!$B$6,Assumptions!$B$7)))))</f>
        <v>1</v>
      </c>
      <c r="I637" s="27">
        <f t="shared" si="19"/>
        <v>20</v>
      </c>
    </row>
    <row r="638" spans="1:9" x14ac:dyDescent="0.2">
      <c r="A638" s="3" t="s">
        <v>52</v>
      </c>
      <c r="B638" s="3" t="s">
        <v>251</v>
      </c>
      <c r="C638" s="3" t="s">
        <v>252</v>
      </c>
      <c r="D638" s="3" t="s">
        <v>159</v>
      </c>
      <c r="E638" s="4">
        <v>27</v>
      </c>
      <c r="F638" s="5">
        <f>IFERROR(3958.8*ACOS(MIN(1,MAX(-1,SIN(RADIANS('ZIP Coordinates'!$C$2))*SIN(RADIANS(INDEX('ZIP Coordinates'!$C:$C,MATCH($A638,'ZIP Coordinates'!$A:$A,0))))+COS(RADIANS('ZIP Coordinates'!$C$2))*COS(RADIANS(INDEX('ZIP Coordinates'!$C:$C,MATCH($A638,'ZIP Coordinates'!$A:$A,0))))*COS(RADIANS(INDEX('ZIP Coordinates'!$D:$D,MATCH($A638,'ZIP Coordinates'!$A:$A,0))-'ZIP Coordinates'!$D$2))))),"N/A")</f>
        <v>195.93313963779019</v>
      </c>
      <c r="G638" s="3" t="str">
        <f t="shared" si="18"/>
        <v>150-199 mi</v>
      </c>
      <c r="H638" s="27">
        <f>IF(RIGHT($B638,1)="P",1,IF(ISNUMBER(SEARCH("HALF GALLON",$C638)),Assumptions!$B$4,IF(ISNUMBER(SEARCH("GALLON",$C638)),Assumptions!$B$3,IF(ISNUMBER(SEARCH("QUART",$C638)),Assumptions!$B$5,IF(ISNUMBER(SEARCH("PINT",$C638)),Assumptions!$B$6,Assumptions!$B$7)))))</f>
        <v>1</v>
      </c>
      <c r="I638" s="27">
        <f t="shared" si="19"/>
        <v>27</v>
      </c>
    </row>
    <row r="639" spans="1:9" x14ac:dyDescent="0.2">
      <c r="A639" s="3" t="s">
        <v>52</v>
      </c>
      <c r="B639" s="3" t="s">
        <v>257</v>
      </c>
      <c r="C639" s="3" t="s">
        <v>256</v>
      </c>
      <c r="D639" s="3" t="s">
        <v>159</v>
      </c>
      <c r="E639" s="4">
        <v>39</v>
      </c>
      <c r="F639" s="5">
        <f>IFERROR(3958.8*ACOS(MIN(1,MAX(-1,SIN(RADIANS('ZIP Coordinates'!$C$2))*SIN(RADIANS(INDEX('ZIP Coordinates'!$C:$C,MATCH($A639,'ZIP Coordinates'!$A:$A,0))))+COS(RADIANS('ZIP Coordinates'!$C$2))*COS(RADIANS(INDEX('ZIP Coordinates'!$C:$C,MATCH($A639,'ZIP Coordinates'!$A:$A,0))))*COS(RADIANS(INDEX('ZIP Coordinates'!$D:$D,MATCH($A639,'ZIP Coordinates'!$A:$A,0))-'ZIP Coordinates'!$D$2))))),"N/A")</f>
        <v>195.93313963779019</v>
      </c>
      <c r="G639" s="3" t="str">
        <f t="shared" si="18"/>
        <v>150-199 mi</v>
      </c>
      <c r="H639" s="27">
        <f>IF(RIGHT($B639,1)="P",1,IF(ISNUMBER(SEARCH("HALF GALLON",$C639)),Assumptions!$B$4,IF(ISNUMBER(SEARCH("GALLON",$C639)),Assumptions!$B$3,IF(ISNUMBER(SEARCH("QUART",$C639)),Assumptions!$B$5,IF(ISNUMBER(SEARCH("PINT",$C639)),Assumptions!$B$6,Assumptions!$B$7)))))</f>
        <v>1</v>
      </c>
      <c r="I639" s="27">
        <f t="shared" si="19"/>
        <v>39</v>
      </c>
    </row>
    <row r="640" spans="1:9" x14ac:dyDescent="0.2">
      <c r="A640" s="3" t="s">
        <v>53</v>
      </c>
      <c r="B640" s="3" t="s">
        <v>298</v>
      </c>
      <c r="C640" s="3" t="s">
        <v>283</v>
      </c>
      <c r="D640" s="3" t="s">
        <v>143</v>
      </c>
      <c r="E640" s="4">
        <v>128</v>
      </c>
      <c r="F640" s="5">
        <f>IFERROR(3958.8*ACOS(MIN(1,MAX(-1,SIN(RADIANS('ZIP Coordinates'!$C$2))*SIN(RADIANS(INDEX('ZIP Coordinates'!$C:$C,MATCH($A640,'ZIP Coordinates'!$A:$A,0))))+COS(RADIANS('ZIP Coordinates'!$C$2))*COS(RADIANS(INDEX('ZIP Coordinates'!$C:$C,MATCH($A640,'ZIP Coordinates'!$A:$A,0))))*COS(RADIANS(INDEX('ZIP Coordinates'!$D:$D,MATCH($A640,'ZIP Coordinates'!$A:$A,0))-'ZIP Coordinates'!$D$2))))),"N/A")</f>
        <v>162.02492213116182</v>
      </c>
      <c r="G640" s="3" t="str">
        <f t="shared" si="18"/>
        <v>150-199 mi</v>
      </c>
      <c r="H640" s="27">
        <f>IF(RIGHT($B640,1)="P",1,IF(ISNUMBER(SEARCH("HALF GALLON",$C640)),Assumptions!$B$4,IF(ISNUMBER(SEARCH("GALLON",$C640)),Assumptions!$B$3,IF(ISNUMBER(SEARCH("QUART",$C640)),Assumptions!$B$5,IF(ISNUMBER(SEARCH("PINT",$C640)),Assumptions!$B$6,Assumptions!$B$7)))))</f>
        <v>1</v>
      </c>
      <c r="I640" s="27">
        <f t="shared" si="19"/>
        <v>128</v>
      </c>
    </row>
    <row r="641" spans="1:9" x14ac:dyDescent="0.2">
      <c r="A641" s="3" t="s">
        <v>54</v>
      </c>
      <c r="B641" s="3" t="s">
        <v>258</v>
      </c>
      <c r="C641" s="3" t="s">
        <v>240</v>
      </c>
      <c r="D641" s="3" t="s">
        <v>130</v>
      </c>
      <c r="E641" s="4">
        <v>85</v>
      </c>
      <c r="F641" s="5">
        <f>IFERROR(3958.8*ACOS(MIN(1,MAX(-1,SIN(RADIANS('ZIP Coordinates'!$C$2))*SIN(RADIANS(INDEX('ZIP Coordinates'!$C:$C,MATCH($A641,'ZIP Coordinates'!$A:$A,0))))+COS(RADIANS('ZIP Coordinates'!$C$2))*COS(RADIANS(INDEX('ZIP Coordinates'!$C:$C,MATCH($A641,'ZIP Coordinates'!$A:$A,0))))*COS(RADIANS(INDEX('ZIP Coordinates'!$D:$D,MATCH($A641,'ZIP Coordinates'!$A:$A,0))-'ZIP Coordinates'!$D$2))))),"N/A")</f>
        <v>148.74266117765734</v>
      </c>
      <c r="G641" s="3" t="str">
        <f t="shared" si="18"/>
        <v>100-149 mi</v>
      </c>
      <c r="H641" s="27">
        <f>IF(RIGHT($B641,1)="P",1,IF(ISNUMBER(SEARCH("HALF GALLON",$C641)),Assumptions!$B$4,IF(ISNUMBER(SEARCH("GALLON",$C641)),Assumptions!$B$3,IF(ISNUMBER(SEARCH("QUART",$C641)),Assumptions!$B$5,IF(ISNUMBER(SEARCH("PINT",$C641)),Assumptions!$B$6,Assumptions!$B$7)))))</f>
        <v>4</v>
      </c>
      <c r="I641" s="27">
        <f t="shared" si="19"/>
        <v>340</v>
      </c>
    </row>
    <row r="642" spans="1:9" x14ac:dyDescent="0.2">
      <c r="A642" s="3" t="s">
        <v>54</v>
      </c>
      <c r="B642" s="3" t="s">
        <v>239</v>
      </c>
      <c r="C642" s="3" t="s">
        <v>240</v>
      </c>
      <c r="D642" s="3" t="s">
        <v>130</v>
      </c>
      <c r="E642" s="4">
        <v>3</v>
      </c>
      <c r="F642" s="5">
        <f>IFERROR(3958.8*ACOS(MIN(1,MAX(-1,SIN(RADIANS('ZIP Coordinates'!$C$2))*SIN(RADIANS(INDEX('ZIP Coordinates'!$C:$C,MATCH($A642,'ZIP Coordinates'!$A:$A,0))))+COS(RADIANS('ZIP Coordinates'!$C$2))*COS(RADIANS(INDEX('ZIP Coordinates'!$C:$C,MATCH($A642,'ZIP Coordinates'!$A:$A,0))))*COS(RADIANS(INDEX('ZIP Coordinates'!$D:$D,MATCH($A642,'ZIP Coordinates'!$A:$A,0))-'ZIP Coordinates'!$D$2))))),"N/A")</f>
        <v>148.74266117765734</v>
      </c>
      <c r="G642" s="3" t="str">
        <f t="shared" ref="G642:G705" si="20">IF($F642="N/A","Unknown",IF($F642&lt;50,"0-49 mi",IF($F642&lt;100,"50-99 mi",IF($F642&lt;150,"100-149 mi",IF($F642&lt;200,"150-199 mi","200+ mi")))))</f>
        <v>100-149 mi</v>
      </c>
      <c r="H642" s="27">
        <f>IF(RIGHT($B642,1)="P",1,IF(ISNUMBER(SEARCH("HALF GALLON",$C642)),Assumptions!$B$4,IF(ISNUMBER(SEARCH("GALLON",$C642)),Assumptions!$B$3,IF(ISNUMBER(SEARCH("QUART",$C642)),Assumptions!$B$5,IF(ISNUMBER(SEARCH("PINT",$C642)),Assumptions!$B$6,Assumptions!$B$7)))))</f>
        <v>1</v>
      </c>
      <c r="I642" s="27">
        <f t="shared" si="19"/>
        <v>3</v>
      </c>
    </row>
    <row r="643" spans="1:9" x14ac:dyDescent="0.2">
      <c r="A643" s="3" t="s">
        <v>54</v>
      </c>
      <c r="B643" s="3" t="s">
        <v>264</v>
      </c>
      <c r="C643" s="3" t="s">
        <v>263</v>
      </c>
      <c r="D643" s="3" t="s">
        <v>130</v>
      </c>
      <c r="E643" s="4">
        <v>57</v>
      </c>
      <c r="F643" s="5">
        <f>IFERROR(3958.8*ACOS(MIN(1,MAX(-1,SIN(RADIANS('ZIP Coordinates'!$C$2))*SIN(RADIANS(INDEX('ZIP Coordinates'!$C:$C,MATCH($A643,'ZIP Coordinates'!$A:$A,0))))+COS(RADIANS('ZIP Coordinates'!$C$2))*COS(RADIANS(INDEX('ZIP Coordinates'!$C:$C,MATCH($A643,'ZIP Coordinates'!$A:$A,0))))*COS(RADIANS(INDEX('ZIP Coordinates'!$D:$D,MATCH($A643,'ZIP Coordinates'!$A:$A,0))-'ZIP Coordinates'!$D$2))))),"N/A")</f>
        <v>148.74266117765734</v>
      </c>
      <c r="G643" s="3" t="str">
        <f t="shared" si="20"/>
        <v>100-149 mi</v>
      </c>
      <c r="H643" s="27">
        <f>IF(RIGHT($B643,1)="P",1,IF(ISNUMBER(SEARCH("HALF GALLON",$C643)),Assumptions!$B$4,IF(ISNUMBER(SEARCH("GALLON",$C643)),Assumptions!$B$3,IF(ISNUMBER(SEARCH("QUART",$C643)),Assumptions!$B$5,IF(ISNUMBER(SEARCH("PINT",$C643)),Assumptions!$B$6,Assumptions!$B$7)))))</f>
        <v>1</v>
      </c>
      <c r="I643" s="27">
        <f t="shared" ref="I643:I706" si="21">$E643*$H643</f>
        <v>57</v>
      </c>
    </row>
    <row r="644" spans="1:9" x14ac:dyDescent="0.2">
      <c r="A644" s="3" t="s">
        <v>54</v>
      </c>
      <c r="B644" s="3" t="s">
        <v>253</v>
      </c>
      <c r="C644" s="3" t="s">
        <v>254</v>
      </c>
      <c r="D644" s="3" t="s">
        <v>130</v>
      </c>
      <c r="E644" s="4">
        <v>11</v>
      </c>
      <c r="F644" s="5">
        <f>IFERROR(3958.8*ACOS(MIN(1,MAX(-1,SIN(RADIANS('ZIP Coordinates'!$C$2))*SIN(RADIANS(INDEX('ZIP Coordinates'!$C:$C,MATCH($A644,'ZIP Coordinates'!$A:$A,0))))+COS(RADIANS('ZIP Coordinates'!$C$2))*COS(RADIANS(INDEX('ZIP Coordinates'!$C:$C,MATCH($A644,'ZIP Coordinates'!$A:$A,0))))*COS(RADIANS(INDEX('ZIP Coordinates'!$D:$D,MATCH($A644,'ZIP Coordinates'!$A:$A,0))-'ZIP Coordinates'!$D$2))))),"N/A")</f>
        <v>148.74266117765734</v>
      </c>
      <c r="G644" s="3" t="str">
        <f t="shared" si="20"/>
        <v>100-149 mi</v>
      </c>
      <c r="H644" s="27">
        <f>IF(RIGHT($B644,1)="P",1,IF(ISNUMBER(SEARCH("HALF GALLON",$C644)),Assumptions!$B$4,IF(ISNUMBER(SEARCH("GALLON",$C644)),Assumptions!$B$3,IF(ISNUMBER(SEARCH("QUART",$C644)),Assumptions!$B$5,IF(ISNUMBER(SEARCH("PINT",$C644)),Assumptions!$B$6,Assumptions!$B$7)))))</f>
        <v>1</v>
      </c>
      <c r="I644" s="27">
        <f t="shared" si="21"/>
        <v>11</v>
      </c>
    </row>
    <row r="645" spans="1:9" x14ac:dyDescent="0.2">
      <c r="A645" s="3" t="s">
        <v>54</v>
      </c>
      <c r="B645" s="3" t="s">
        <v>257</v>
      </c>
      <c r="C645" s="3" t="s">
        <v>256</v>
      </c>
      <c r="D645" s="3" t="s">
        <v>130</v>
      </c>
      <c r="E645" s="4">
        <v>50</v>
      </c>
      <c r="F645" s="5">
        <f>IFERROR(3958.8*ACOS(MIN(1,MAX(-1,SIN(RADIANS('ZIP Coordinates'!$C$2))*SIN(RADIANS(INDEX('ZIP Coordinates'!$C:$C,MATCH($A645,'ZIP Coordinates'!$A:$A,0))))+COS(RADIANS('ZIP Coordinates'!$C$2))*COS(RADIANS(INDEX('ZIP Coordinates'!$C:$C,MATCH($A645,'ZIP Coordinates'!$A:$A,0))))*COS(RADIANS(INDEX('ZIP Coordinates'!$D:$D,MATCH($A645,'ZIP Coordinates'!$A:$A,0))-'ZIP Coordinates'!$D$2))))),"N/A")</f>
        <v>148.74266117765734</v>
      </c>
      <c r="G645" s="3" t="str">
        <f t="shared" si="20"/>
        <v>100-149 mi</v>
      </c>
      <c r="H645" s="27">
        <f>IF(RIGHT($B645,1)="P",1,IF(ISNUMBER(SEARCH("HALF GALLON",$C645)),Assumptions!$B$4,IF(ISNUMBER(SEARCH("GALLON",$C645)),Assumptions!$B$3,IF(ISNUMBER(SEARCH("QUART",$C645)),Assumptions!$B$5,IF(ISNUMBER(SEARCH("PINT",$C645)),Assumptions!$B$6,Assumptions!$B$7)))))</f>
        <v>1</v>
      </c>
      <c r="I645" s="27">
        <f t="shared" si="21"/>
        <v>50</v>
      </c>
    </row>
    <row r="646" spans="1:9" x14ac:dyDescent="0.2">
      <c r="A646" s="3" t="s">
        <v>55</v>
      </c>
      <c r="B646" s="3" t="s">
        <v>258</v>
      </c>
      <c r="C646" s="3" t="s">
        <v>240</v>
      </c>
      <c r="D646" s="3" t="s">
        <v>195</v>
      </c>
      <c r="E646" s="4">
        <v>9</v>
      </c>
      <c r="F646" s="5">
        <f>IFERROR(3958.8*ACOS(MIN(1,MAX(-1,SIN(RADIANS('ZIP Coordinates'!$C$2))*SIN(RADIANS(INDEX('ZIP Coordinates'!$C:$C,MATCH($A646,'ZIP Coordinates'!$A:$A,0))))+COS(RADIANS('ZIP Coordinates'!$C$2))*COS(RADIANS(INDEX('ZIP Coordinates'!$C:$C,MATCH($A646,'ZIP Coordinates'!$A:$A,0))))*COS(RADIANS(INDEX('ZIP Coordinates'!$D:$D,MATCH($A646,'ZIP Coordinates'!$A:$A,0))-'ZIP Coordinates'!$D$2))))),"N/A")</f>
        <v>151.86786425731927</v>
      </c>
      <c r="G646" s="3" t="str">
        <f t="shared" si="20"/>
        <v>150-199 mi</v>
      </c>
      <c r="H646" s="27">
        <f>IF(RIGHT($B646,1)="P",1,IF(ISNUMBER(SEARCH("HALF GALLON",$C646)),Assumptions!$B$4,IF(ISNUMBER(SEARCH("GALLON",$C646)),Assumptions!$B$3,IF(ISNUMBER(SEARCH("QUART",$C646)),Assumptions!$B$5,IF(ISNUMBER(SEARCH("PINT",$C646)),Assumptions!$B$6,Assumptions!$B$7)))))</f>
        <v>4</v>
      </c>
      <c r="I646" s="27">
        <f t="shared" si="21"/>
        <v>36</v>
      </c>
    </row>
    <row r="647" spans="1:9" x14ac:dyDescent="0.2">
      <c r="A647" s="3" t="s">
        <v>55</v>
      </c>
      <c r="B647" s="3" t="s">
        <v>239</v>
      </c>
      <c r="C647" s="3" t="s">
        <v>240</v>
      </c>
      <c r="D647" s="3" t="s">
        <v>195</v>
      </c>
      <c r="E647" s="4">
        <v>4</v>
      </c>
      <c r="F647" s="5">
        <f>IFERROR(3958.8*ACOS(MIN(1,MAX(-1,SIN(RADIANS('ZIP Coordinates'!$C$2))*SIN(RADIANS(INDEX('ZIP Coordinates'!$C:$C,MATCH($A647,'ZIP Coordinates'!$A:$A,0))))+COS(RADIANS('ZIP Coordinates'!$C$2))*COS(RADIANS(INDEX('ZIP Coordinates'!$C:$C,MATCH($A647,'ZIP Coordinates'!$A:$A,0))))*COS(RADIANS(INDEX('ZIP Coordinates'!$D:$D,MATCH($A647,'ZIP Coordinates'!$A:$A,0))-'ZIP Coordinates'!$D$2))))),"N/A")</f>
        <v>151.86786425731927</v>
      </c>
      <c r="G647" s="3" t="str">
        <f t="shared" si="20"/>
        <v>150-199 mi</v>
      </c>
      <c r="H647" s="27">
        <f>IF(RIGHT($B647,1)="P",1,IF(ISNUMBER(SEARCH("HALF GALLON",$C647)),Assumptions!$B$4,IF(ISNUMBER(SEARCH("GALLON",$C647)),Assumptions!$B$3,IF(ISNUMBER(SEARCH("QUART",$C647)),Assumptions!$B$5,IF(ISNUMBER(SEARCH("PINT",$C647)),Assumptions!$B$6,Assumptions!$B$7)))))</f>
        <v>1</v>
      </c>
      <c r="I647" s="27">
        <f t="shared" si="21"/>
        <v>4</v>
      </c>
    </row>
    <row r="648" spans="1:9" x14ac:dyDescent="0.2">
      <c r="A648" s="3" t="s">
        <v>56</v>
      </c>
      <c r="B648" s="3" t="s">
        <v>253</v>
      </c>
      <c r="C648" s="3" t="s">
        <v>254</v>
      </c>
      <c r="D648" s="3" t="s">
        <v>175</v>
      </c>
      <c r="E648" s="4">
        <v>34</v>
      </c>
      <c r="F648" s="5">
        <f>IFERROR(3958.8*ACOS(MIN(1,MAX(-1,SIN(RADIANS('ZIP Coordinates'!$C$2))*SIN(RADIANS(INDEX('ZIP Coordinates'!$C:$C,MATCH($A648,'ZIP Coordinates'!$A:$A,0))))+COS(RADIANS('ZIP Coordinates'!$C$2))*COS(RADIANS(INDEX('ZIP Coordinates'!$C:$C,MATCH($A648,'ZIP Coordinates'!$A:$A,0))))*COS(RADIANS(INDEX('ZIP Coordinates'!$D:$D,MATCH($A648,'ZIP Coordinates'!$A:$A,0))-'ZIP Coordinates'!$D$2))))),"N/A")</f>
        <v>175.37326227537039</v>
      </c>
      <c r="G648" s="3" t="str">
        <f t="shared" si="20"/>
        <v>150-199 mi</v>
      </c>
      <c r="H648" s="27">
        <f>IF(RIGHT($B648,1)="P",1,IF(ISNUMBER(SEARCH("HALF GALLON",$C648)),Assumptions!$B$4,IF(ISNUMBER(SEARCH("GALLON",$C648)),Assumptions!$B$3,IF(ISNUMBER(SEARCH("QUART",$C648)),Assumptions!$B$5,IF(ISNUMBER(SEARCH("PINT",$C648)),Assumptions!$B$6,Assumptions!$B$7)))))</f>
        <v>1</v>
      </c>
      <c r="I648" s="27">
        <f t="shared" si="21"/>
        <v>34</v>
      </c>
    </row>
    <row r="649" spans="1:9" x14ac:dyDescent="0.2">
      <c r="A649" s="3" t="s">
        <v>57</v>
      </c>
      <c r="B649" s="3" t="s">
        <v>294</v>
      </c>
      <c r="C649" s="3" t="s">
        <v>296</v>
      </c>
      <c r="D649" s="3" t="s">
        <v>183</v>
      </c>
      <c r="E649" s="4">
        <v>1</v>
      </c>
      <c r="F649" s="5">
        <f>IFERROR(3958.8*ACOS(MIN(1,MAX(-1,SIN(RADIANS('ZIP Coordinates'!$C$2))*SIN(RADIANS(INDEX('ZIP Coordinates'!$C:$C,MATCH($A649,'ZIP Coordinates'!$A:$A,0))))+COS(RADIANS('ZIP Coordinates'!$C$2))*COS(RADIANS(INDEX('ZIP Coordinates'!$C:$C,MATCH($A649,'ZIP Coordinates'!$A:$A,0))))*COS(RADIANS(INDEX('ZIP Coordinates'!$D:$D,MATCH($A649,'ZIP Coordinates'!$A:$A,0))-'ZIP Coordinates'!$D$2))))),"N/A")</f>
        <v>174.1512936930711</v>
      </c>
      <c r="G649" s="3" t="str">
        <f t="shared" si="20"/>
        <v>150-199 mi</v>
      </c>
      <c r="H649" s="27">
        <f>IF(RIGHT($B649,1)="P",1,IF(ISNUMBER(SEARCH("HALF GALLON",$C649)),Assumptions!$B$4,IF(ISNUMBER(SEARCH("GALLON",$C649)),Assumptions!$B$3,IF(ISNUMBER(SEARCH("QUART",$C649)),Assumptions!$B$5,IF(ISNUMBER(SEARCH("PINT",$C649)),Assumptions!$B$6,Assumptions!$B$7)))))</f>
        <v>1</v>
      </c>
      <c r="I649" s="27">
        <f t="shared" si="21"/>
        <v>1</v>
      </c>
    </row>
    <row r="650" spans="1:9" x14ac:dyDescent="0.2">
      <c r="A650" s="3" t="s">
        <v>57</v>
      </c>
      <c r="B650" s="3" t="s">
        <v>294</v>
      </c>
      <c r="C650" s="3" t="s">
        <v>296</v>
      </c>
      <c r="D650" s="3" t="s">
        <v>183</v>
      </c>
      <c r="E650" s="4">
        <v>2</v>
      </c>
      <c r="F650" s="5">
        <f>IFERROR(3958.8*ACOS(MIN(1,MAX(-1,SIN(RADIANS('ZIP Coordinates'!$C$2))*SIN(RADIANS(INDEX('ZIP Coordinates'!$C:$C,MATCH($A650,'ZIP Coordinates'!$A:$A,0))))+COS(RADIANS('ZIP Coordinates'!$C$2))*COS(RADIANS(INDEX('ZIP Coordinates'!$C:$C,MATCH($A650,'ZIP Coordinates'!$A:$A,0))))*COS(RADIANS(INDEX('ZIP Coordinates'!$D:$D,MATCH($A650,'ZIP Coordinates'!$A:$A,0))-'ZIP Coordinates'!$D$2))))),"N/A")</f>
        <v>174.1512936930711</v>
      </c>
      <c r="G650" s="3" t="str">
        <f t="shared" si="20"/>
        <v>150-199 mi</v>
      </c>
      <c r="H650" s="27">
        <f>IF(RIGHT($B650,1)="P",1,IF(ISNUMBER(SEARCH("HALF GALLON",$C650)),Assumptions!$B$4,IF(ISNUMBER(SEARCH("GALLON",$C650)),Assumptions!$B$3,IF(ISNUMBER(SEARCH("QUART",$C650)),Assumptions!$B$5,IF(ISNUMBER(SEARCH("PINT",$C650)),Assumptions!$B$6,Assumptions!$B$7)))))</f>
        <v>1</v>
      </c>
      <c r="I650" s="27">
        <f t="shared" si="21"/>
        <v>2</v>
      </c>
    </row>
    <row r="651" spans="1:9" x14ac:dyDescent="0.2">
      <c r="A651" s="3" t="s">
        <v>57</v>
      </c>
      <c r="B651" s="3" t="s">
        <v>294</v>
      </c>
      <c r="C651" s="3" t="s">
        <v>296</v>
      </c>
      <c r="D651" s="3" t="s">
        <v>183</v>
      </c>
      <c r="E651" s="4">
        <v>1</v>
      </c>
      <c r="F651" s="5">
        <f>IFERROR(3958.8*ACOS(MIN(1,MAX(-1,SIN(RADIANS('ZIP Coordinates'!$C$2))*SIN(RADIANS(INDEX('ZIP Coordinates'!$C:$C,MATCH($A651,'ZIP Coordinates'!$A:$A,0))))+COS(RADIANS('ZIP Coordinates'!$C$2))*COS(RADIANS(INDEX('ZIP Coordinates'!$C:$C,MATCH($A651,'ZIP Coordinates'!$A:$A,0))))*COS(RADIANS(INDEX('ZIP Coordinates'!$D:$D,MATCH($A651,'ZIP Coordinates'!$A:$A,0))-'ZIP Coordinates'!$D$2))))),"N/A")</f>
        <v>174.1512936930711</v>
      </c>
      <c r="G651" s="3" t="str">
        <f t="shared" si="20"/>
        <v>150-199 mi</v>
      </c>
      <c r="H651" s="27">
        <f>IF(RIGHT($B651,1)="P",1,IF(ISNUMBER(SEARCH("HALF GALLON",$C651)),Assumptions!$B$4,IF(ISNUMBER(SEARCH("GALLON",$C651)),Assumptions!$B$3,IF(ISNUMBER(SEARCH("QUART",$C651)),Assumptions!$B$5,IF(ISNUMBER(SEARCH("PINT",$C651)),Assumptions!$B$6,Assumptions!$B$7)))))</f>
        <v>1</v>
      </c>
      <c r="I651" s="27">
        <f t="shared" si="21"/>
        <v>1</v>
      </c>
    </row>
    <row r="652" spans="1:9" x14ac:dyDescent="0.2">
      <c r="A652" s="3" t="s">
        <v>57</v>
      </c>
      <c r="B652" s="3" t="s">
        <v>294</v>
      </c>
      <c r="C652" s="3" t="s">
        <v>296</v>
      </c>
      <c r="D652" s="3" t="s">
        <v>183</v>
      </c>
      <c r="E652" s="4">
        <v>1</v>
      </c>
      <c r="F652" s="5">
        <f>IFERROR(3958.8*ACOS(MIN(1,MAX(-1,SIN(RADIANS('ZIP Coordinates'!$C$2))*SIN(RADIANS(INDEX('ZIP Coordinates'!$C:$C,MATCH($A652,'ZIP Coordinates'!$A:$A,0))))+COS(RADIANS('ZIP Coordinates'!$C$2))*COS(RADIANS(INDEX('ZIP Coordinates'!$C:$C,MATCH($A652,'ZIP Coordinates'!$A:$A,0))))*COS(RADIANS(INDEX('ZIP Coordinates'!$D:$D,MATCH($A652,'ZIP Coordinates'!$A:$A,0))-'ZIP Coordinates'!$D$2))))),"N/A")</f>
        <v>174.1512936930711</v>
      </c>
      <c r="G652" s="3" t="str">
        <f t="shared" si="20"/>
        <v>150-199 mi</v>
      </c>
      <c r="H652" s="27">
        <f>IF(RIGHT($B652,1)="P",1,IF(ISNUMBER(SEARCH("HALF GALLON",$C652)),Assumptions!$B$4,IF(ISNUMBER(SEARCH("GALLON",$C652)),Assumptions!$B$3,IF(ISNUMBER(SEARCH("QUART",$C652)),Assumptions!$B$5,IF(ISNUMBER(SEARCH("PINT",$C652)),Assumptions!$B$6,Assumptions!$B$7)))))</f>
        <v>1</v>
      </c>
      <c r="I652" s="27">
        <f t="shared" si="21"/>
        <v>1</v>
      </c>
    </row>
    <row r="653" spans="1:9" x14ac:dyDescent="0.2">
      <c r="A653" s="3" t="s">
        <v>57</v>
      </c>
      <c r="B653" s="3" t="s">
        <v>294</v>
      </c>
      <c r="C653" s="3" t="s">
        <v>296</v>
      </c>
      <c r="D653" s="3" t="s">
        <v>183</v>
      </c>
      <c r="E653" s="4">
        <v>1</v>
      </c>
      <c r="F653" s="5">
        <f>IFERROR(3958.8*ACOS(MIN(1,MAX(-1,SIN(RADIANS('ZIP Coordinates'!$C$2))*SIN(RADIANS(INDEX('ZIP Coordinates'!$C:$C,MATCH($A653,'ZIP Coordinates'!$A:$A,0))))+COS(RADIANS('ZIP Coordinates'!$C$2))*COS(RADIANS(INDEX('ZIP Coordinates'!$C:$C,MATCH($A653,'ZIP Coordinates'!$A:$A,0))))*COS(RADIANS(INDEX('ZIP Coordinates'!$D:$D,MATCH($A653,'ZIP Coordinates'!$A:$A,0))-'ZIP Coordinates'!$D$2))))),"N/A")</f>
        <v>174.1512936930711</v>
      </c>
      <c r="G653" s="3" t="str">
        <f t="shared" si="20"/>
        <v>150-199 mi</v>
      </c>
      <c r="H653" s="27">
        <f>IF(RIGHT($B653,1)="P",1,IF(ISNUMBER(SEARCH("HALF GALLON",$C653)),Assumptions!$B$4,IF(ISNUMBER(SEARCH("GALLON",$C653)),Assumptions!$B$3,IF(ISNUMBER(SEARCH("QUART",$C653)),Assumptions!$B$5,IF(ISNUMBER(SEARCH("PINT",$C653)),Assumptions!$B$6,Assumptions!$B$7)))))</f>
        <v>1</v>
      </c>
      <c r="I653" s="27">
        <f t="shared" si="21"/>
        <v>1</v>
      </c>
    </row>
    <row r="654" spans="1:9" x14ac:dyDescent="0.2">
      <c r="A654" s="3" t="s">
        <v>57</v>
      </c>
      <c r="B654" s="3" t="s">
        <v>294</v>
      </c>
      <c r="C654" s="3" t="s">
        <v>296</v>
      </c>
      <c r="D654" s="3" t="s">
        <v>183</v>
      </c>
      <c r="E654" s="4">
        <v>1</v>
      </c>
      <c r="F654" s="5">
        <f>IFERROR(3958.8*ACOS(MIN(1,MAX(-1,SIN(RADIANS('ZIP Coordinates'!$C$2))*SIN(RADIANS(INDEX('ZIP Coordinates'!$C:$C,MATCH($A654,'ZIP Coordinates'!$A:$A,0))))+COS(RADIANS('ZIP Coordinates'!$C$2))*COS(RADIANS(INDEX('ZIP Coordinates'!$C:$C,MATCH($A654,'ZIP Coordinates'!$A:$A,0))))*COS(RADIANS(INDEX('ZIP Coordinates'!$D:$D,MATCH($A654,'ZIP Coordinates'!$A:$A,0))-'ZIP Coordinates'!$D$2))))),"N/A")</f>
        <v>174.1512936930711</v>
      </c>
      <c r="G654" s="3" t="str">
        <f t="shared" si="20"/>
        <v>150-199 mi</v>
      </c>
      <c r="H654" s="27">
        <f>IF(RIGHT($B654,1)="P",1,IF(ISNUMBER(SEARCH("HALF GALLON",$C654)),Assumptions!$B$4,IF(ISNUMBER(SEARCH("GALLON",$C654)),Assumptions!$B$3,IF(ISNUMBER(SEARCH("QUART",$C654)),Assumptions!$B$5,IF(ISNUMBER(SEARCH("PINT",$C654)),Assumptions!$B$6,Assumptions!$B$7)))))</f>
        <v>1</v>
      </c>
      <c r="I654" s="27">
        <f t="shared" si="21"/>
        <v>1</v>
      </c>
    </row>
    <row r="655" spans="1:9" x14ac:dyDescent="0.2">
      <c r="A655" s="3" t="s">
        <v>57</v>
      </c>
      <c r="B655" s="3" t="s">
        <v>294</v>
      </c>
      <c r="C655" s="3" t="s">
        <v>296</v>
      </c>
      <c r="D655" s="3" t="s">
        <v>183</v>
      </c>
      <c r="E655" s="4">
        <v>1</v>
      </c>
      <c r="F655" s="5">
        <f>IFERROR(3958.8*ACOS(MIN(1,MAX(-1,SIN(RADIANS('ZIP Coordinates'!$C$2))*SIN(RADIANS(INDEX('ZIP Coordinates'!$C:$C,MATCH($A655,'ZIP Coordinates'!$A:$A,0))))+COS(RADIANS('ZIP Coordinates'!$C$2))*COS(RADIANS(INDEX('ZIP Coordinates'!$C:$C,MATCH($A655,'ZIP Coordinates'!$A:$A,0))))*COS(RADIANS(INDEX('ZIP Coordinates'!$D:$D,MATCH($A655,'ZIP Coordinates'!$A:$A,0))-'ZIP Coordinates'!$D$2))))),"N/A")</f>
        <v>174.1512936930711</v>
      </c>
      <c r="G655" s="3" t="str">
        <f t="shared" si="20"/>
        <v>150-199 mi</v>
      </c>
      <c r="H655" s="27">
        <f>IF(RIGHT($B655,1)="P",1,IF(ISNUMBER(SEARCH("HALF GALLON",$C655)),Assumptions!$B$4,IF(ISNUMBER(SEARCH("GALLON",$C655)),Assumptions!$B$3,IF(ISNUMBER(SEARCH("QUART",$C655)),Assumptions!$B$5,IF(ISNUMBER(SEARCH("PINT",$C655)),Assumptions!$B$6,Assumptions!$B$7)))))</f>
        <v>1</v>
      </c>
      <c r="I655" s="27">
        <f t="shared" si="21"/>
        <v>1</v>
      </c>
    </row>
    <row r="656" spans="1:9" x14ac:dyDescent="0.2">
      <c r="A656" s="3" t="s">
        <v>57</v>
      </c>
      <c r="B656" s="3" t="s">
        <v>294</v>
      </c>
      <c r="C656" s="3" t="s">
        <v>296</v>
      </c>
      <c r="D656" s="3" t="s">
        <v>183</v>
      </c>
      <c r="E656" s="4">
        <v>2</v>
      </c>
      <c r="F656" s="5">
        <f>IFERROR(3958.8*ACOS(MIN(1,MAX(-1,SIN(RADIANS('ZIP Coordinates'!$C$2))*SIN(RADIANS(INDEX('ZIP Coordinates'!$C:$C,MATCH($A656,'ZIP Coordinates'!$A:$A,0))))+COS(RADIANS('ZIP Coordinates'!$C$2))*COS(RADIANS(INDEX('ZIP Coordinates'!$C:$C,MATCH($A656,'ZIP Coordinates'!$A:$A,0))))*COS(RADIANS(INDEX('ZIP Coordinates'!$D:$D,MATCH($A656,'ZIP Coordinates'!$A:$A,0))-'ZIP Coordinates'!$D$2))))),"N/A")</f>
        <v>174.1512936930711</v>
      </c>
      <c r="G656" s="3" t="str">
        <f t="shared" si="20"/>
        <v>150-199 mi</v>
      </c>
      <c r="H656" s="27">
        <f>IF(RIGHT($B656,1)="P",1,IF(ISNUMBER(SEARCH("HALF GALLON",$C656)),Assumptions!$B$4,IF(ISNUMBER(SEARCH("GALLON",$C656)),Assumptions!$B$3,IF(ISNUMBER(SEARCH("QUART",$C656)),Assumptions!$B$5,IF(ISNUMBER(SEARCH("PINT",$C656)),Assumptions!$B$6,Assumptions!$B$7)))))</f>
        <v>1</v>
      </c>
      <c r="I656" s="27">
        <f t="shared" si="21"/>
        <v>2</v>
      </c>
    </row>
    <row r="657" spans="1:9" x14ac:dyDescent="0.2">
      <c r="A657" s="3" t="s">
        <v>57</v>
      </c>
      <c r="B657" s="3" t="s">
        <v>294</v>
      </c>
      <c r="C657" s="3" t="s">
        <v>296</v>
      </c>
      <c r="D657" s="3" t="s">
        <v>183</v>
      </c>
      <c r="E657" s="4">
        <v>2</v>
      </c>
      <c r="F657" s="5">
        <f>IFERROR(3958.8*ACOS(MIN(1,MAX(-1,SIN(RADIANS('ZIP Coordinates'!$C$2))*SIN(RADIANS(INDEX('ZIP Coordinates'!$C:$C,MATCH($A657,'ZIP Coordinates'!$A:$A,0))))+COS(RADIANS('ZIP Coordinates'!$C$2))*COS(RADIANS(INDEX('ZIP Coordinates'!$C:$C,MATCH($A657,'ZIP Coordinates'!$A:$A,0))))*COS(RADIANS(INDEX('ZIP Coordinates'!$D:$D,MATCH($A657,'ZIP Coordinates'!$A:$A,0))-'ZIP Coordinates'!$D$2))))),"N/A")</f>
        <v>174.1512936930711</v>
      </c>
      <c r="G657" s="3" t="str">
        <f t="shared" si="20"/>
        <v>150-199 mi</v>
      </c>
      <c r="H657" s="27">
        <f>IF(RIGHT($B657,1)="P",1,IF(ISNUMBER(SEARCH("HALF GALLON",$C657)),Assumptions!$B$4,IF(ISNUMBER(SEARCH("GALLON",$C657)),Assumptions!$B$3,IF(ISNUMBER(SEARCH("QUART",$C657)),Assumptions!$B$5,IF(ISNUMBER(SEARCH("PINT",$C657)),Assumptions!$B$6,Assumptions!$B$7)))))</f>
        <v>1</v>
      </c>
      <c r="I657" s="27">
        <f t="shared" si="21"/>
        <v>2</v>
      </c>
    </row>
    <row r="658" spans="1:9" x14ac:dyDescent="0.2">
      <c r="A658" s="3" t="s">
        <v>57</v>
      </c>
      <c r="B658" s="3" t="s">
        <v>294</v>
      </c>
      <c r="C658" s="3" t="s">
        <v>296</v>
      </c>
      <c r="D658" s="3" t="s">
        <v>183</v>
      </c>
      <c r="E658" s="4">
        <v>1</v>
      </c>
      <c r="F658" s="5">
        <f>IFERROR(3958.8*ACOS(MIN(1,MAX(-1,SIN(RADIANS('ZIP Coordinates'!$C$2))*SIN(RADIANS(INDEX('ZIP Coordinates'!$C:$C,MATCH($A658,'ZIP Coordinates'!$A:$A,0))))+COS(RADIANS('ZIP Coordinates'!$C$2))*COS(RADIANS(INDEX('ZIP Coordinates'!$C:$C,MATCH($A658,'ZIP Coordinates'!$A:$A,0))))*COS(RADIANS(INDEX('ZIP Coordinates'!$D:$D,MATCH($A658,'ZIP Coordinates'!$A:$A,0))-'ZIP Coordinates'!$D$2))))),"N/A")</f>
        <v>174.1512936930711</v>
      </c>
      <c r="G658" s="3" t="str">
        <f t="shared" si="20"/>
        <v>150-199 mi</v>
      </c>
      <c r="H658" s="27">
        <f>IF(RIGHT($B658,1)="P",1,IF(ISNUMBER(SEARCH("HALF GALLON",$C658)),Assumptions!$B$4,IF(ISNUMBER(SEARCH("GALLON",$C658)),Assumptions!$B$3,IF(ISNUMBER(SEARCH("QUART",$C658)),Assumptions!$B$5,IF(ISNUMBER(SEARCH("PINT",$C658)),Assumptions!$B$6,Assumptions!$B$7)))))</f>
        <v>1</v>
      </c>
      <c r="I658" s="27">
        <f t="shared" si="21"/>
        <v>1</v>
      </c>
    </row>
    <row r="659" spans="1:9" x14ac:dyDescent="0.2">
      <c r="A659" s="3" t="s">
        <v>57</v>
      </c>
      <c r="B659" s="3" t="s">
        <v>294</v>
      </c>
      <c r="C659" s="3" t="s">
        <v>296</v>
      </c>
      <c r="D659" s="3" t="s">
        <v>183</v>
      </c>
      <c r="E659" s="4">
        <v>1</v>
      </c>
      <c r="F659" s="5">
        <f>IFERROR(3958.8*ACOS(MIN(1,MAX(-1,SIN(RADIANS('ZIP Coordinates'!$C$2))*SIN(RADIANS(INDEX('ZIP Coordinates'!$C:$C,MATCH($A659,'ZIP Coordinates'!$A:$A,0))))+COS(RADIANS('ZIP Coordinates'!$C$2))*COS(RADIANS(INDEX('ZIP Coordinates'!$C:$C,MATCH($A659,'ZIP Coordinates'!$A:$A,0))))*COS(RADIANS(INDEX('ZIP Coordinates'!$D:$D,MATCH($A659,'ZIP Coordinates'!$A:$A,0))-'ZIP Coordinates'!$D$2))))),"N/A")</f>
        <v>174.1512936930711</v>
      </c>
      <c r="G659" s="3" t="str">
        <f t="shared" si="20"/>
        <v>150-199 mi</v>
      </c>
      <c r="H659" s="27">
        <f>IF(RIGHT($B659,1)="P",1,IF(ISNUMBER(SEARCH("HALF GALLON",$C659)),Assumptions!$B$4,IF(ISNUMBER(SEARCH("GALLON",$C659)),Assumptions!$B$3,IF(ISNUMBER(SEARCH("QUART",$C659)),Assumptions!$B$5,IF(ISNUMBER(SEARCH("PINT",$C659)),Assumptions!$B$6,Assumptions!$B$7)))))</f>
        <v>1</v>
      </c>
      <c r="I659" s="27">
        <f t="shared" si="21"/>
        <v>1</v>
      </c>
    </row>
    <row r="660" spans="1:9" x14ac:dyDescent="0.2">
      <c r="A660" s="3" t="s">
        <v>57</v>
      </c>
      <c r="B660" s="3" t="s">
        <v>294</v>
      </c>
      <c r="C660" s="3" t="s">
        <v>296</v>
      </c>
      <c r="D660" s="3" t="s">
        <v>183</v>
      </c>
      <c r="E660" s="4">
        <v>2</v>
      </c>
      <c r="F660" s="5">
        <f>IFERROR(3958.8*ACOS(MIN(1,MAX(-1,SIN(RADIANS('ZIP Coordinates'!$C$2))*SIN(RADIANS(INDEX('ZIP Coordinates'!$C:$C,MATCH($A660,'ZIP Coordinates'!$A:$A,0))))+COS(RADIANS('ZIP Coordinates'!$C$2))*COS(RADIANS(INDEX('ZIP Coordinates'!$C:$C,MATCH($A660,'ZIP Coordinates'!$A:$A,0))))*COS(RADIANS(INDEX('ZIP Coordinates'!$D:$D,MATCH($A660,'ZIP Coordinates'!$A:$A,0))-'ZIP Coordinates'!$D$2))))),"N/A")</f>
        <v>174.1512936930711</v>
      </c>
      <c r="G660" s="3" t="str">
        <f t="shared" si="20"/>
        <v>150-199 mi</v>
      </c>
      <c r="H660" s="27">
        <f>IF(RIGHT($B660,1)="P",1,IF(ISNUMBER(SEARCH("HALF GALLON",$C660)),Assumptions!$B$4,IF(ISNUMBER(SEARCH("GALLON",$C660)),Assumptions!$B$3,IF(ISNUMBER(SEARCH("QUART",$C660)),Assumptions!$B$5,IF(ISNUMBER(SEARCH("PINT",$C660)),Assumptions!$B$6,Assumptions!$B$7)))))</f>
        <v>1</v>
      </c>
      <c r="I660" s="27">
        <f t="shared" si="21"/>
        <v>2</v>
      </c>
    </row>
    <row r="661" spans="1:9" x14ac:dyDescent="0.2">
      <c r="A661" s="3" t="s">
        <v>57</v>
      </c>
      <c r="B661" s="3" t="s">
        <v>294</v>
      </c>
      <c r="C661" s="3" t="s">
        <v>296</v>
      </c>
      <c r="D661" s="3" t="s">
        <v>183</v>
      </c>
      <c r="E661" s="4">
        <v>1</v>
      </c>
      <c r="F661" s="5">
        <f>IFERROR(3958.8*ACOS(MIN(1,MAX(-1,SIN(RADIANS('ZIP Coordinates'!$C$2))*SIN(RADIANS(INDEX('ZIP Coordinates'!$C:$C,MATCH($A661,'ZIP Coordinates'!$A:$A,0))))+COS(RADIANS('ZIP Coordinates'!$C$2))*COS(RADIANS(INDEX('ZIP Coordinates'!$C:$C,MATCH($A661,'ZIP Coordinates'!$A:$A,0))))*COS(RADIANS(INDEX('ZIP Coordinates'!$D:$D,MATCH($A661,'ZIP Coordinates'!$A:$A,0))-'ZIP Coordinates'!$D$2))))),"N/A")</f>
        <v>174.1512936930711</v>
      </c>
      <c r="G661" s="3" t="str">
        <f t="shared" si="20"/>
        <v>150-199 mi</v>
      </c>
      <c r="H661" s="27">
        <f>IF(RIGHT($B661,1)="P",1,IF(ISNUMBER(SEARCH("HALF GALLON",$C661)),Assumptions!$B$4,IF(ISNUMBER(SEARCH("GALLON",$C661)),Assumptions!$B$3,IF(ISNUMBER(SEARCH("QUART",$C661)),Assumptions!$B$5,IF(ISNUMBER(SEARCH("PINT",$C661)),Assumptions!$B$6,Assumptions!$B$7)))))</f>
        <v>1</v>
      </c>
      <c r="I661" s="27">
        <f t="shared" si="21"/>
        <v>1</v>
      </c>
    </row>
    <row r="662" spans="1:9" x14ac:dyDescent="0.2">
      <c r="A662" s="3" t="s">
        <v>57</v>
      </c>
      <c r="B662" s="3" t="s">
        <v>294</v>
      </c>
      <c r="C662" s="3" t="s">
        <v>296</v>
      </c>
      <c r="D662" s="3" t="s">
        <v>183</v>
      </c>
      <c r="E662" s="4">
        <v>1</v>
      </c>
      <c r="F662" s="5">
        <f>IFERROR(3958.8*ACOS(MIN(1,MAX(-1,SIN(RADIANS('ZIP Coordinates'!$C$2))*SIN(RADIANS(INDEX('ZIP Coordinates'!$C:$C,MATCH($A662,'ZIP Coordinates'!$A:$A,0))))+COS(RADIANS('ZIP Coordinates'!$C$2))*COS(RADIANS(INDEX('ZIP Coordinates'!$C:$C,MATCH($A662,'ZIP Coordinates'!$A:$A,0))))*COS(RADIANS(INDEX('ZIP Coordinates'!$D:$D,MATCH($A662,'ZIP Coordinates'!$A:$A,0))-'ZIP Coordinates'!$D$2))))),"N/A")</f>
        <v>174.1512936930711</v>
      </c>
      <c r="G662" s="3" t="str">
        <f t="shared" si="20"/>
        <v>150-199 mi</v>
      </c>
      <c r="H662" s="27">
        <f>IF(RIGHT($B662,1)="P",1,IF(ISNUMBER(SEARCH("HALF GALLON",$C662)),Assumptions!$B$4,IF(ISNUMBER(SEARCH("GALLON",$C662)),Assumptions!$B$3,IF(ISNUMBER(SEARCH("QUART",$C662)),Assumptions!$B$5,IF(ISNUMBER(SEARCH("PINT",$C662)),Assumptions!$B$6,Assumptions!$B$7)))))</f>
        <v>1</v>
      </c>
      <c r="I662" s="27">
        <f t="shared" si="21"/>
        <v>1</v>
      </c>
    </row>
    <row r="663" spans="1:9" x14ac:dyDescent="0.2">
      <c r="A663" s="3" t="s">
        <v>57</v>
      </c>
      <c r="B663" s="3" t="s">
        <v>294</v>
      </c>
      <c r="C663" s="3" t="s">
        <v>296</v>
      </c>
      <c r="D663" s="3" t="s">
        <v>183</v>
      </c>
      <c r="E663" s="4">
        <v>1</v>
      </c>
      <c r="F663" s="5">
        <f>IFERROR(3958.8*ACOS(MIN(1,MAX(-1,SIN(RADIANS('ZIP Coordinates'!$C$2))*SIN(RADIANS(INDEX('ZIP Coordinates'!$C:$C,MATCH($A663,'ZIP Coordinates'!$A:$A,0))))+COS(RADIANS('ZIP Coordinates'!$C$2))*COS(RADIANS(INDEX('ZIP Coordinates'!$C:$C,MATCH($A663,'ZIP Coordinates'!$A:$A,0))))*COS(RADIANS(INDEX('ZIP Coordinates'!$D:$D,MATCH($A663,'ZIP Coordinates'!$A:$A,0))-'ZIP Coordinates'!$D$2))))),"N/A")</f>
        <v>174.1512936930711</v>
      </c>
      <c r="G663" s="3" t="str">
        <f t="shared" si="20"/>
        <v>150-199 mi</v>
      </c>
      <c r="H663" s="27">
        <f>IF(RIGHT($B663,1)="P",1,IF(ISNUMBER(SEARCH("HALF GALLON",$C663)),Assumptions!$B$4,IF(ISNUMBER(SEARCH("GALLON",$C663)),Assumptions!$B$3,IF(ISNUMBER(SEARCH("QUART",$C663)),Assumptions!$B$5,IF(ISNUMBER(SEARCH("PINT",$C663)),Assumptions!$B$6,Assumptions!$B$7)))))</f>
        <v>1</v>
      </c>
      <c r="I663" s="27">
        <f t="shared" si="21"/>
        <v>1</v>
      </c>
    </row>
    <row r="664" spans="1:9" x14ac:dyDescent="0.2">
      <c r="A664" s="3" t="s">
        <v>57</v>
      </c>
      <c r="B664" s="3" t="s">
        <v>294</v>
      </c>
      <c r="C664" s="3" t="s">
        <v>296</v>
      </c>
      <c r="D664" s="3" t="s">
        <v>183</v>
      </c>
      <c r="E664" s="4">
        <v>1</v>
      </c>
      <c r="F664" s="5">
        <f>IFERROR(3958.8*ACOS(MIN(1,MAX(-1,SIN(RADIANS('ZIP Coordinates'!$C$2))*SIN(RADIANS(INDEX('ZIP Coordinates'!$C:$C,MATCH($A664,'ZIP Coordinates'!$A:$A,0))))+COS(RADIANS('ZIP Coordinates'!$C$2))*COS(RADIANS(INDEX('ZIP Coordinates'!$C:$C,MATCH($A664,'ZIP Coordinates'!$A:$A,0))))*COS(RADIANS(INDEX('ZIP Coordinates'!$D:$D,MATCH($A664,'ZIP Coordinates'!$A:$A,0))-'ZIP Coordinates'!$D$2))))),"N/A")</f>
        <v>174.1512936930711</v>
      </c>
      <c r="G664" s="3" t="str">
        <f t="shared" si="20"/>
        <v>150-199 mi</v>
      </c>
      <c r="H664" s="27">
        <f>IF(RIGHT($B664,1)="P",1,IF(ISNUMBER(SEARCH("HALF GALLON",$C664)),Assumptions!$B$4,IF(ISNUMBER(SEARCH("GALLON",$C664)),Assumptions!$B$3,IF(ISNUMBER(SEARCH("QUART",$C664)),Assumptions!$B$5,IF(ISNUMBER(SEARCH("PINT",$C664)),Assumptions!$B$6,Assumptions!$B$7)))))</f>
        <v>1</v>
      </c>
      <c r="I664" s="27">
        <f t="shared" si="21"/>
        <v>1</v>
      </c>
    </row>
    <row r="665" spans="1:9" x14ac:dyDescent="0.2">
      <c r="A665" s="3" t="s">
        <v>57</v>
      </c>
      <c r="B665" s="3" t="s">
        <v>294</v>
      </c>
      <c r="C665" s="3" t="s">
        <v>296</v>
      </c>
      <c r="D665" s="3" t="s">
        <v>183</v>
      </c>
      <c r="E665" s="4">
        <v>1</v>
      </c>
      <c r="F665" s="5">
        <f>IFERROR(3958.8*ACOS(MIN(1,MAX(-1,SIN(RADIANS('ZIP Coordinates'!$C$2))*SIN(RADIANS(INDEX('ZIP Coordinates'!$C:$C,MATCH($A665,'ZIP Coordinates'!$A:$A,0))))+COS(RADIANS('ZIP Coordinates'!$C$2))*COS(RADIANS(INDEX('ZIP Coordinates'!$C:$C,MATCH($A665,'ZIP Coordinates'!$A:$A,0))))*COS(RADIANS(INDEX('ZIP Coordinates'!$D:$D,MATCH($A665,'ZIP Coordinates'!$A:$A,0))-'ZIP Coordinates'!$D$2))))),"N/A")</f>
        <v>174.1512936930711</v>
      </c>
      <c r="G665" s="3" t="str">
        <f t="shared" si="20"/>
        <v>150-199 mi</v>
      </c>
      <c r="H665" s="27">
        <f>IF(RIGHT($B665,1)="P",1,IF(ISNUMBER(SEARCH("HALF GALLON",$C665)),Assumptions!$B$4,IF(ISNUMBER(SEARCH("GALLON",$C665)),Assumptions!$B$3,IF(ISNUMBER(SEARCH("QUART",$C665)),Assumptions!$B$5,IF(ISNUMBER(SEARCH("PINT",$C665)),Assumptions!$B$6,Assumptions!$B$7)))))</f>
        <v>1</v>
      </c>
      <c r="I665" s="27">
        <f t="shared" si="21"/>
        <v>1</v>
      </c>
    </row>
    <row r="666" spans="1:9" x14ac:dyDescent="0.2">
      <c r="A666" s="3" t="s">
        <v>57</v>
      </c>
      <c r="B666" s="3" t="s">
        <v>294</v>
      </c>
      <c r="C666" s="3" t="s">
        <v>296</v>
      </c>
      <c r="D666" s="3" t="s">
        <v>183</v>
      </c>
      <c r="E666" s="4">
        <v>1</v>
      </c>
      <c r="F666" s="5">
        <f>IFERROR(3958.8*ACOS(MIN(1,MAX(-1,SIN(RADIANS('ZIP Coordinates'!$C$2))*SIN(RADIANS(INDEX('ZIP Coordinates'!$C:$C,MATCH($A666,'ZIP Coordinates'!$A:$A,0))))+COS(RADIANS('ZIP Coordinates'!$C$2))*COS(RADIANS(INDEX('ZIP Coordinates'!$C:$C,MATCH($A666,'ZIP Coordinates'!$A:$A,0))))*COS(RADIANS(INDEX('ZIP Coordinates'!$D:$D,MATCH($A666,'ZIP Coordinates'!$A:$A,0))-'ZIP Coordinates'!$D$2))))),"N/A")</f>
        <v>174.1512936930711</v>
      </c>
      <c r="G666" s="3" t="str">
        <f t="shared" si="20"/>
        <v>150-199 mi</v>
      </c>
      <c r="H666" s="27">
        <f>IF(RIGHT($B666,1)="P",1,IF(ISNUMBER(SEARCH("HALF GALLON",$C666)),Assumptions!$B$4,IF(ISNUMBER(SEARCH("GALLON",$C666)),Assumptions!$B$3,IF(ISNUMBER(SEARCH("QUART",$C666)),Assumptions!$B$5,IF(ISNUMBER(SEARCH("PINT",$C666)),Assumptions!$B$6,Assumptions!$B$7)))))</f>
        <v>1</v>
      </c>
      <c r="I666" s="27">
        <f t="shared" si="21"/>
        <v>1</v>
      </c>
    </row>
    <row r="667" spans="1:9" x14ac:dyDescent="0.2">
      <c r="A667" s="3" t="s">
        <v>57</v>
      </c>
      <c r="B667" s="3" t="s">
        <v>294</v>
      </c>
      <c r="C667" s="3" t="s">
        <v>296</v>
      </c>
      <c r="D667" s="3" t="s">
        <v>183</v>
      </c>
      <c r="E667" s="4">
        <v>1</v>
      </c>
      <c r="F667" s="5">
        <f>IFERROR(3958.8*ACOS(MIN(1,MAX(-1,SIN(RADIANS('ZIP Coordinates'!$C$2))*SIN(RADIANS(INDEX('ZIP Coordinates'!$C:$C,MATCH($A667,'ZIP Coordinates'!$A:$A,0))))+COS(RADIANS('ZIP Coordinates'!$C$2))*COS(RADIANS(INDEX('ZIP Coordinates'!$C:$C,MATCH($A667,'ZIP Coordinates'!$A:$A,0))))*COS(RADIANS(INDEX('ZIP Coordinates'!$D:$D,MATCH($A667,'ZIP Coordinates'!$A:$A,0))-'ZIP Coordinates'!$D$2))))),"N/A")</f>
        <v>174.1512936930711</v>
      </c>
      <c r="G667" s="3" t="str">
        <f t="shared" si="20"/>
        <v>150-199 mi</v>
      </c>
      <c r="H667" s="27">
        <f>IF(RIGHT($B667,1)="P",1,IF(ISNUMBER(SEARCH("HALF GALLON",$C667)),Assumptions!$B$4,IF(ISNUMBER(SEARCH("GALLON",$C667)),Assumptions!$B$3,IF(ISNUMBER(SEARCH("QUART",$C667)),Assumptions!$B$5,IF(ISNUMBER(SEARCH("PINT",$C667)),Assumptions!$B$6,Assumptions!$B$7)))))</f>
        <v>1</v>
      </c>
      <c r="I667" s="27">
        <f t="shared" si="21"/>
        <v>1</v>
      </c>
    </row>
    <row r="668" spans="1:9" x14ac:dyDescent="0.2">
      <c r="A668" s="3" t="s">
        <v>57</v>
      </c>
      <c r="B668" s="3" t="s">
        <v>294</v>
      </c>
      <c r="C668" s="3" t="s">
        <v>296</v>
      </c>
      <c r="D668" s="3" t="s">
        <v>183</v>
      </c>
      <c r="E668" s="4">
        <v>1</v>
      </c>
      <c r="F668" s="5">
        <f>IFERROR(3958.8*ACOS(MIN(1,MAX(-1,SIN(RADIANS('ZIP Coordinates'!$C$2))*SIN(RADIANS(INDEX('ZIP Coordinates'!$C:$C,MATCH($A668,'ZIP Coordinates'!$A:$A,0))))+COS(RADIANS('ZIP Coordinates'!$C$2))*COS(RADIANS(INDEX('ZIP Coordinates'!$C:$C,MATCH($A668,'ZIP Coordinates'!$A:$A,0))))*COS(RADIANS(INDEX('ZIP Coordinates'!$D:$D,MATCH($A668,'ZIP Coordinates'!$A:$A,0))-'ZIP Coordinates'!$D$2))))),"N/A")</f>
        <v>174.1512936930711</v>
      </c>
      <c r="G668" s="3" t="str">
        <f t="shared" si="20"/>
        <v>150-199 mi</v>
      </c>
      <c r="H668" s="27">
        <f>IF(RIGHT($B668,1)="P",1,IF(ISNUMBER(SEARCH("HALF GALLON",$C668)),Assumptions!$B$4,IF(ISNUMBER(SEARCH("GALLON",$C668)),Assumptions!$B$3,IF(ISNUMBER(SEARCH("QUART",$C668)),Assumptions!$B$5,IF(ISNUMBER(SEARCH("PINT",$C668)),Assumptions!$B$6,Assumptions!$B$7)))))</f>
        <v>1</v>
      </c>
      <c r="I668" s="27">
        <f t="shared" si="21"/>
        <v>1</v>
      </c>
    </row>
    <row r="669" spans="1:9" x14ac:dyDescent="0.2">
      <c r="A669" s="3" t="s">
        <v>57</v>
      </c>
      <c r="B669" s="3" t="s">
        <v>294</v>
      </c>
      <c r="C669" s="3" t="s">
        <v>296</v>
      </c>
      <c r="D669" s="3" t="s">
        <v>183</v>
      </c>
      <c r="E669" s="4">
        <v>1</v>
      </c>
      <c r="F669" s="5">
        <f>IFERROR(3958.8*ACOS(MIN(1,MAX(-1,SIN(RADIANS('ZIP Coordinates'!$C$2))*SIN(RADIANS(INDEX('ZIP Coordinates'!$C:$C,MATCH($A669,'ZIP Coordinates'!$A:$A,0))))+COS(RADIANS('ZIP Coordinates'!$C$2))*COS(RADIANS(INDEX('ZIP Coordinates'!$C:$C,MATCH($A669,'ZIP Coordinates'!$A:$A,0))))*COS(RADIANS(INDEX('ZIP Coordinates'!$D:$D,MATCH($A669,'ZIP Coordinates'!$A:$A,0))-'ZIP Coordinates'!$D$2))))),"N/A")</f>
        <v>174.1512936930711</v>
      </c>
      <c r="G669" s="3" t="str">
        <f t="shared" si="20"/>
        <v>150-199 mi</v>
      </c>
      <c r="H669" s="27">
        <f>IF(RIGHT($B669,1)="P",1,IF(ISNUMBER(SEARCH("HALF GALLON",$C669)),Assumptions!$B$4,IF(ISNUMBER(SEARCH("GALLON",$C669)),Assumptions!$B$3,IF(ISNUMBER(SEARCH("QUART",$C669)),Assumptions!$B$5,IF(ISNUMBER(SEARCH("PINT",$C669)),Assumptions!$B$6,Assumptions!$B$7)))))</f>
        <v>1</v>
      </c>
      <c r="I669" s="27">
        <f t="shared" si="21"/>
        <v>1</v>
      </c>
    </row>
    <row r="670" spans="1:9" x14ac:dyDescent="0.2">
      <c r="A670" s="3" t="s">
        <v>58</v>
      </c>
      <c r="B670" s="3" t="s">
        <v>239</v>
      </c>
      <c r="C670" s="3" t="s">
        <v>240</v>
      </c>
      <c r="D670" s="3" t="s">
        <v>205</v>
      </c>
      <c r="E670" s="4">
        <v>7</v>
      </c>
      <c r="F670" s="5">
        <f>IFERROR(3958.8*ACOS(MIN(1,MAX(-1,SIN(RADIANS('ZIP Coordinates'!$C$2))*SIN(RADIANS(INDEX('ZIP Coordinates'!$C:$C,MATCH($A670,'ZIP Coordinates'!$A:$A,0))))+COS(RADIANS('ZIP Coordinates'!$C$2))*COS(RADIANS(INDEX('ZIP Coordinates'!$C:$C,MATCH($A670,'ZIP Coordinates'!$A:$A,0))))*COS(RADIANS(INDEX('ZIP Coordinates'!$D:$D,MATCH($A670,'ZIP Coordinates'!$A:$A,0))-'ZIP Coordinates'!$D$2))))),"N/A")</f>
        <v>172.43982522423505</v>
      </c>
      <c r="G670" s="3" t="str">
        <f t="shared" si="20"/>
        <v>150-199 mi</v>
      </c>
      <c r="H670" s="27">
        <f>IF(RIGHT($B670,1)="P",1,IF(ISNUMBER(SEARCH("HALF GALLON",$C670)),Assumptions!$B$4,IF(ISNUMBER(SEARCH("GALLON",$C670)),Assumptions!$B$3,IF(ISNUMBER(SEARCH("QUART",$C670)),Assumptions!$B$5,IF(ISNUMBER(SEARCH("PINT",$C670)),Assumptions!$B$6,Assumptions!$B$7)))))</f>
        <v>1</v>
      </c>
      <c r="I670" s="27">
        <f t="shared" si="21"/>
        <v>7</v>
      </c>
    </row>
    <row r="671" spans="1:9" x14ac:dyDescent="0.2">
      <c r="A671" s="3" t="s">
        <v>59</v>
      </c>
      <c r="B671" s="3" t="s">
        <v>258</v>
      </c>
      <c r="C671" s="3" t="s">
        <v>240</v>
      </c>
      <c r="D671" s="3" t="s">
        <v>197</v>
      </c>
      <c r="E671" s="4">
        <v>1</v>
      </c>
      <c r="F671" s="5">
        <f>IFERROR(3958.8*ACOS(MIN(1,MAX(-1,SIN(RADIANS('ZIP Coordinates'!$C$2))*SIN(RADIANS(INDEX('ZIP Coordinates'!$C:$C,MATCH($A671,'ZIP Coordinates'!$A:$A,0))))+COS(RADIANS('ZIP Coordinates'!$C$2))*COS(RADIANS(INDEX('ZIP Coordinates'!$C:$C,MATCH($A671,'ZIP Coordinates'!$A:$A,0))))*COS(RADIANS(INDEX('ZIP Coordinates'!$D:$D,MATCH($A671,'ZIP Coordinates'!$A:$A,0))-'ZIP Coordinates'!$D$2))))),"N/A")</f>
        <v>154.5408375886781</v>
      </c>
      <c r="G671" s="3" t="str">
        <f t="shared" si="20"/>
        <v>150-199 mi</v>
      </c>
      <c r="H671" s="27">
        <f>IF(RIGHT($B671,1)="P",1,IF(ISNUMBER(SEARCH("HALF GALLON",$C671)),Assumptions!$B$4,IF(ISNUMBER(SEARCH("GALLON",$C671)),Assumptions!$B$3,IF(ISNUMBER(SEARCH("QUART",$C671)),Assumptions!$B$5,IF(ISNUMBER(SEARCH("PINT",$C671)),Assumptions!$B$6,Assumptions!$B$7)))))</f>
        <v>4</v>
      </c>
      <c r="I671" s="27">
        <f t="shared" si="21"/>
        <v>4</v>
      </c>
    </row>
    <row r="672" spans="1:9" x14ac:dyDescent="0.2">
      <c r="A672" s="3" t="s">
        <v>59</v>
      </c>
      <c r="B672" s="3" t="s">
        <v>258</v>
      </c>
      <c r="C672" s="3" t="s">
        <v>240</v>
      </c>
      <c r="D672" s="3" t="s">
        <v>197</v>
      </c>
      <c r="E672" s="4">
        <v>1</v>
      </c>
      <c r="F672" s="5">
        <f>IFERROR(3958.8*ACOS(MIN(1,MAX(-1,SIN(RADIANS('ZIP Coordinates'!$C$2))*SIN(RADIANS(INDEX('ZIP Coordinates'!$C:$C,MATCH($A672,'ZIP Coordinates'!$A:$A,0))))+COS(RADIANS('ZIP Coordinates'!$C$2))*COS(RADIANS(INDEX('ZIP Coordinates'!$C:$C,MATCH($A672,'ZIP Coordinates'!$A:$A,0))))*COS(RADIANS(INDEX('ZIP Coordinates'!$D:$D,MATCH($A672,'ZIP Coordinates'!$A:$A,0))-'ZIP Coordinates'!$D$2))))),"N/A")</f>
        <v>154.5408375886781</v>
      </c>
      <c r="G672" s="3" t="str">
        <f t="shared" si="20"/>
        <v>150-199 mi</v>
      </c>
      <c r="H672" s="27">
        <f>IF(RIGHT($B672,1)="P",1,IF(ISNUMBER(SEARCH("HALF GALLON",$C672)),Assumptions!$B$4,IF(ISNUMBER(SEARCH("GALLON",$C672)),Assumptions!$B$3,IF(ISNUMBER(SEARCH("QUART",$C672)),Assumptions!$B$5,IF(ISNUMBER(SEARCH("PINT",$C672)),Assumptions!$B$6,Assumptions!$B$7)))))</f>
        <v>4</v>
      </c>
      <c r="I672" s="27">
        <f t="shared" si="21"/>
        <v>4</v>
      </c>
    </row>
    <row r="673" spans="1:9" x14ac:dyDescent="0.2">
      <c r="A673" s="3" t="s">
        <v>59</v>
      </c>
      <c r="B673" s="3" t="s">
        <v>258</v>
      </c>
      <c r="C673" s="3" t="s">
        <v>240</v>
      </c>
      <c r="D673" s="3" t="s">
        <v>197</v>
      </c>
      <c r="E673" s="4">
        <v>1</v>
      </c>
      <c r="F673" s="5">
        <f>IFERROR(3958.8*ACOS(MIN(1,MAX(-1,SIN(RADIANS('ZIP Coordinates'!$C$2))*SIN(RADIANS(INDEX('ZIP Coordinates'!$C:$C,MATCH($A673,'ZIP Coordinates'!$A:$A,0))))+COS(RADIANS('ZIP Coordinates'!$C$2))*COS(RADIANS(INDEX('ZIP Coordinates'!$C:$C,MATCH($A673,'ZIP Coordinates'!$A:$A,0))))*COS(RADIANS(INDEX('ZIP Coordinates'!$D:$D,MATCH($A673,'ZIP Coordinates'!$A:$A,0))-'ZIP Coordinates'!$D$2))))),"N/A")</f>
        <v>154.5408375886781</v>
      </c>
      <c r="G673" s="3" t="str">
        <f t="shared" si="20"/>
        <v>150-199 mi</v>
      </c>
      <c r="H673" s="27">
        <f>IF(RIGHT($B673,1)="P",1,IF(ISNUMBER(SEARCH("HALF GALLON",$C673)),Assumptions!$B$4,IF(ISNUMBER(SEARCH("GALLON",$C673)),Assumptions!$B$3,IF(ISNUMBER(SEARCH("QUART",$C673)),Assumptions!$B$5,IF(ISNUMBER(SEARCH("PINT",$C673)),Assumptions!$B$6,Assumptions!$B$7)))))</f>
        <v>4</v>
      </c>
      <c r="I673" s="27">
        <f t="shared" si="21"/>
        <v>4</v>
      </c>
    </row>
    <row r="674" spans="1:9" x14ac:dyDescent="0.2">
      <c r="A674" s="3" t="s">
        <v>59</v>
      </c>
      <c r="B674" s="3" t="s">
        <v>258</v>
      </c>
      <c r="C674" s="3" t="s">
        <v>240</v>
      </c>
      <c r="D674" s="3" t="s">
        <v>197</v>
      </c>
      <c r="E674" s="4">
        <v>1</v>
      </c>
      <c r="F674" s="5">
        <f>IFERROR(3958.8*ACOS(MIN(1,MAX(-1,SIN(RADIANS('ZIP Coordinates'!$C$2))*SIN(RADIANS(INDEX('ZIP Coordinates'!$C:$C,MATCH($A674,'ZIP Coordinates'!$A:$A,0))))+COS(RADIANS('ZIP Coordinates'!$C$2))*COS(RADIANS(INDEX('ZIP Coordinates'!$C:$C,MATCH($A674,'ZIP Coordinates'!$A:$A,0))))*COS(RADIANS(INDEX('ZIP Coordinates'!$D:$D,MATCH($A674,'ZIP Coordinates'!$A:$A,0))-'ZIP Coordinates'!$D$2))))),"N/A")</f>
        <v>154.5408375886781</v>
      </c>
      <c r="G674" s="3" t="str">
        <f t="shared" si="20"/>
        <v>150-199 mi</v>
      </c>
      <c r="H674" s="27">
        <f>IF(RIGHT($B674,1)="P",1,IF(ISNUMBER(SEARCH("HALF GALLON",$C674)),Assumptions!$B$4,IF(ISNUMBER(SEARCH("GALLON",$C674)),Assumptions!$B$3,IF(ISNUMBER(SEARCH("QUART",$C674)),Assumptions!$B$5,IF(ISNUMBER(SEARCH("PINT",$C674)),Assumptions!$B$6,Assumptions!$B$7)))))</f>
        <v>4</v>
      </c>
      <c r="I674" s="27">
        <f t="shared" si="21"/>
        <v>4</v>
      </c>
    </row>
    <row r="675" spans="1:9" x14ac:dyDescent="0.2">
      <c r="A675" s="3" t="s">
        <v>59</v>
      </c>
      <c r="B675" s="3" t="s">
        <v>258</v>
      </c>
      <c r="C675" s="3" t="s">
        <v>240</v>
      </c>
      <c r="D675" s="3" t="s">
        <v>197</v>
      </c>
      <c r="E675" s="4">
        <v>1</v>
      </c>
      <c r="F675" s="5">
        <f>IFERROR(3958.8*ACOS(MIN(1,MAX(-1,SIN(RADIANS('ZIP Coordinates'!$C$2))*SIN(RADIANS(INDEX('ZIP Coordinates'!$C:$C,MATCH($A675,'ZIP Coordinates'!$A:$A,0))))+COS(RADIANS('ZIP Coordinates'!$C$2))*COS(RADIANS(INDEX('ZIP Coordinates'!$C:$C,MATCH($A675,'ZIP Coordinates'!$A:$A,0))))*COS(RADIANS(INDEX('ZIP Coordinates'!$D:$D,MATCH($A675,'ZIP Coordinates'!$A:$A,0))-'ZIP Coordinates'!$D$2))))),"N/A")</f>
        <v>154.5408375886781</v>
      </c>
      <c r="G675" s="3" t="str">
        <f t="shared" si="20"/>
        <v>150-199 mi</v>
      </c>
      <c r="H675" s="27">
        <f>IF(RIGHT($B675,1)="P",1,IF(ISNUMBER(SEARCH("HALF GALLON",$C675)),Assumptions!$B$4,IF(ISNUMBER(SEARCH("GALLON",$C675)),Assumptions!$B$3,IF(ISNUMBER(SEARCH("QUART",$C675)),Assumptions!$B$5,IF(ISNUMBER(SEARCH("PINT",$C675)),Assumptions!$B$6,Assumptions!$B$7)))))</f>
        <v>4</v>
      </c>
      <c r="I675" s="27">
        <f t="shared" si="21"/>
        <v>4</v>
      </c>
    </row>
    <row r="676" spans="1:9" x14ac:dyDescent="0.2">
      <c r="A676" s="3" t="s">
        <v>59</v>
      </c>
      <c r="B676" s="3" t="s">
        <v>258</v>
      </c>
      <c r="C676" s="3" t="s">
        <v>240</v>
      </c>
      <c r="D676" s="3" t="s">
        <v>197</v>
      </c>
      <c r="E676" s="4">
        <v>1</v>
      </c>
      <c r="F676" s="5">
        <f>IFERROR(3958.8*ACOS(MIN(1,MAX(-1,SIN(RADIANS('ZIP Coordinates'!$C$2))*SIN(RADIANS(INDEX('ZIP Coordinates'!$C:$C,MATCH($A676,'ZIP Coordinates'!$A:$A,0))))+COS(RADIANS('ZIP Coordinates'!$C$2))*COS(RADIANS(INDEX('ZIP Coordinates'!$C:$C,MATCH($A676,'ZIP Coordinates'!$A:$A,0))))*COS(RADIANS(INDEX('ZIP Coordinates'!$D:$D,MATCH($A676,'ZIP Coordinates'!$A:$A,0))-'ZIP Coordinates'!$D$2))))),"N/A")</f>
        <v>154.5408375886781</v>
      </c>
      <c r="G676" s="3" t="str">
        <f t="shared" si="20"/>
        <v>150-199 mi</v>
      </c>
      <c r="H676" s="27">
        <f>IF(RIGHT($B676,1)="P",1,IF(ISNUMBER(SEARCH("HALF GALLON",$C676)),Assumptions!$B$4,IF(ISNUMBER(SEARCH("GALLON",$C676)),Assumptions!$B$3,IF(ISNUMBER(SEARCH("QUART",$C676)),Assumptions!$B$5,IF(ISNUMBER(SEARCH("PINT",$C676)),Assumptions!$B$6,Assumptions!$B$7)))))</f>
        <v>4</v>
      </c>
      <c r="I676" s="27">
        <f t="shared" si="21"/>
        <v>4</v>
      </c>
    </row>
    <row r="677" spans="1:9" x14ac:dyDescent="0.2">
      <c r="A677" s="3" t="s">
        <v>59</v>
      </c>
      <c r="B677" s="3" t="s">
        <v>258</v>
      </c>
      <c r="C677" s="3" t="s">
        <v>240</v>
      </c>
      <c r="D677" s="3" t="s">
        <v>197</v>
      </c>
      <c r="E677" s="4">
        <v>1</v>
      </c>
      <c r="F677" s="5">
        <f>IFERROR(3958.8*ACOS(MIN(1,MAX(-1,SIN(RADIANS('ZIP Coordinates'!$C$2))*SIN(RADIANS(INDEX('ZIP Coordinates'!$C:$C,MATCH($A677,'ZIP Coordinates'!$A:$A,0))))+COS(RADIANS('ZIP Coordinates'!$C$2))*COS(RADIANS(INDEX('ZIP Coordinates'!$C:$C,MATCH($A677,'ZIP Coordinates'!$A:$A,0))))*COS(RADIANS(INDEX('ZIP Coordinates'!$D:$D,MATCH($A677,'ZIP Coordinates'!$A:$A,0))-'ZIP Coordinates'!$D$2))))),"N/A")</f>
        <v>154.5408375886781</v>
      </c>
      <c r="G677" s="3" t="str">
        <f t="shared" si="20"/>
        <v>150-199 mi</v>
      </c>
      <c r="H677" s="27">
        <f>IF(RIGHT($B677,1)="P",1,IF(ISNUMBER(SEARCH("HALF GALLON",$C677)),Assumptions!$B$4,IF(ISNUMBER(SEARCH("GALLON",$C677)),Assumptions!$B$3,IF(ISNUMBER(SEARCH("QUART",$C677)),Assumptions!$B$5,IF(ISNUMBER(SEARCH("PINT",$C677)),Assumptions!$B$6,Assumptions!$B$7)))))</f>
        <v>4</v>
      </c>
      <c r="I677" s="27">
        <f t="shared" si="21"/>
        <v>4</v>
      </c>
    </row>
    <row r="678" spans="1:9" x14ac:dyDescent="0.2">
      <c r="A678" s="3" t="s">
        <v>59</v>
      </c>
      <c r="B678" s="3" t="s">
        <v>258</v>
      </c>
      <c r="C678" s="3" t="s">
        <v>240</v>
      </c>
      <c r="D678" s="3" t="s">
        <v>197</v>
      </c>
      <c r="E678" s="4">
        <v>1</v>
      </c>
      <c r="F678" s="5">
        <f>IFERROR(3958.8*ACOS(MIN(1,MAX(-1,SIN(RADIANS('ZIP Coordinates'!$C$2))*SIN(RADIANS(INDEX('ZIP Coordinates'!$C:$C,MATCH($A678,'ZIP Coordinates'!$A:$A,0))))+COS(RADIANS('ZIP Coordinates'!$C$2))*COS(RADIANS(INDEX('ZIP Coordinates'!$C:$C,MATCH($A678,'ZIP Coordinates'!$A:$A,0))))*COS(RADIANS(INDEX('ZIP Coordinates'!$D:$D,MATCH($A678,'ZIP Coordinates'!$A:$A,0))-'ZIP Coordinates'!$D$2))))),"N/A")</f>
        <v>154.5408375886781</v>
      </c>
      <c r="G678" s="3" t="str">
        <f t="shared" si="20"/>
        <v>150-199 mi</v>
      </c>
      <c r="H678" s="27">
        <f>IF(RIGHT($B678,1)="P",1,IF(ISNUMBER(SEARCH("HALF GALLON",$C678)),Assumptions!$B$4,IF(ISNUMBER(SEARCH("GALLON",$C678)),Assumptions!$B$3,IF(ISNUMBER(SEARCH("QUART",$C678)),Assumptions!$B$5,IF(ISNUMBER(SEARCH("PINT",$C678)),Assumptions!$B$6,Assumptions!$B$7)))))</f>
        <v>4</v>
      </c>
      <c r="I678" s="27">
        <f t="shared" si="21"/>
        <v>4</v>
      </c>
    </row>
    <row r="679" spans="1:9" x14ac:dyDescent="0.2">
      <c r="A679" s="3" t="s">
        <v>59</v>
      </c>
      <c r="B679" s="3" t="s">
        <v>239</v>
      </c>
      <c r="C679" s="3" t="s">
        <v>240</v>
      </c>
      <c r="D679" s="3" t="s">
        <v>197</v>
      </c>
      <c r="E679" s="4">
        <v>1</v>
      </c>
      <c r="F679" s="5">
        <f>IFERROR(3958.8*ACOS(MIN(1,MAX(-1,SIN(RADIANS('ZIP Coordinates'!$C$2))*SIN(RADIANS(INDEX('ZIP Coordinates'!$C:$C,MATCH($A679,'ZIP Coordinates'!$A:$A,0))))+COS(RADIANS('ZIP Coordinates'!$C$2))*COS(RADIANS(INDEX('ZIP Coordinates'!$C:$C,MATCH($A679,'ZIP Coordinates'!$A:$A,0))))*COS(RADIANS(INDEX('ZIP Coordinates'!$D:$D,MATCH($A679,'ZIP Coordinates'!$A:$A,0))-'ZIP Coordinates'!$D$2))))),"N/A")</f>
        <v>154.5408375886781</v>
      </c>
      <c r="G679" s="3" t="str">
        <f t="shared" si="20"/>
        <v>150-199 mi</v>
      </c>
      <c r="H679" s="27">
        <f>IF(RIGHT($B679,1)="P",1,IF(ISNUMBER(SEARCH("HALF GALLON",$C679)),Assumptions!$B$4,IF(ISNUMBER(SEARCH("GALLON",$C679)),Assumptions!$B$3,IF(ISNUMBER(SEARCH("QUART",$C679)),Assumptions!$B$5,IF(ISNUMBER(SEARCH("PINT",$C679)),Assumptions!$B$6,Assumptions!$B$7)))))</f>
        <v>1</v>
      </c>
      <c r="I679" s="27">
        <f t="shared" si="21"/>
        <v>1</v>
      </c>
    </row>
    <row r="680" spans="1:9" x14ac:dyDescent="0.2">
      <c r="A680" s="3" t="s">
        <v>59</v>
      </c>
      <c r="B680" s="3" t="s">
        <v>239</v>
      </c>
      <c r="C680" s="3" t="s">
        <v>240</v>
      </c>
      <c r="D680" s="3" t="s">
        <v>197</v>
      </c>
      <c r="E680" s="4">
        <v>1</v>
      </c>
      <c r="F680" s="5">
        <f>IFERROR(3958.8*ACOS(MIN(1,MAX(-1,SIN(RADIANS('ZIP Coordinates'!$C$2))*SIN(RADIANS(INDEX('ZIP Coordinates'!$C:$C,MATCH($A680,'ZIP Coordinates'!$A:$A,0))))+COS(RADIANS('ZIP Coordinates'!$C$2))*COS(RADIANS(INDEX('ZIP Coordinates'!$C:$C,MATCH($A680,'ZIP Coordinates'!$A:$A,0))))*COS(RADIANS(INDEX('ZIP Coordinates'!$D:$D,MATCH($A680,'ZIP Coordinates'!$A:$A,0))-'ZIP Coordinates'!$D$2))))),"N/A")</f>
        <v>154.5408375886781</v>
      </c>
      <c r="G680" s="3" t="str">
        <f t="shared" si="20"/>
        <v>150-199 mi</v>
      </c>
      <c r="H680" s="27">
        <f>IF(RIGHT($B680,1)="P",1,IF(ISNUMBER(SEARCH("HALF GALLON",$C680)),Assumptions!$B$4,IF(ISNUMBER(SEARCH("GALLON",$C680)),Assumptions!$B$3,IF(ISNUMBER(SEARCH("QUART",$C680)),Assumptions!$B$5,IF(ISNUMBER(SEARCH("PINT",$C680)),Assumptions!$B$6,Assumptions!$B$7)))))</f>
        <v>1</v>
      </c>
      <c r="I680" s="27">
        <f t="shared" si="21"/>
        <v>1</v>
      </c>
    </row>
    <row r="681" spans="1:9" x14ac:dyDescent="0.2">
      <c r="A681" s="3" t="s">
        <v>59</v>
      </c>
      <c r="B681" s="3" t="s">
        <v>239</v>
      </c>
      <c r="C681" s="3" t="s">
        <v>240</v>
      </c>
      <c r="D681" s="3" t="s">
        <v>197</v>
      </c>
      <c r="E681" s="4">
        <v>2</v>
      </c>
      <c r="F681" s="5">
        <f>IFERROR(3958.8*ACOS(MIN(1,MAX(-1,SIN(RADIANS('ZIP Coordinates'!$C$2))*SIN(RADIANS(INDEX('ZIP Coordinates'!$C:$C,MATCH($A681,'ZIP Coordinates'!$A:$A,0))))+COS(RADIANS('ZIP Coordinates'!$C$2))*COS(RADIANS(INDEX('ZIP Coordinates'!$C:$C,MATCH($A681,'ZIP Coordinates'!$A:$A,0))))*COS(RADIANS(INDEX('ZIP Coordinates'!$D:$D,MATCH($A681,'ZIP Coordinates'!$A:$A,0))-'ZIP Coordinates'!$D$2))))),"N/A")</f>
        <v>154.5408375886781</v>
      </c>
      <c r="G681" s="3" t="str">
        <f t="shared" si="20"/>
        <v>150-199 mi</v>
      </c>
      <c r="H681" s="27">
        <f>IF(RIGHT($B681,1)="P",1,IF(ISNUMBER(SEARCH("HALF GALLON",$C681)),Assumptions!$B$4,IF(ISNUMBER(SEARCH("GALLON",$C681)),Assumptions!$B$3,IF(ISNUMBER(SEARCH("QUART",$C681)),Assumptions!$B$5,IF(ISNUMBER(SEARCH("PINT",$C681)),Assumptions!$B$6,Assumptions!$B$7)))))</f>
        <v>1</v>
      </c>
      <c r="I681" s="27">
        <f t="shared" si="21"/>
        <v>2</v>
      </c>
    </row>
    <row r="682" spans="1:9" x14ac:dyDescent="0.2">
      <c r="A682" s="3" t="s">
        <v>60</v>
      </c>
      <c r="B682" s="3" t="s">
        <v>270</v>
      </c>
      <c r="C682" s="3" t="s">
        <v>242</v>
      </c>
      <c r="D682" s="3" t="s">
        <v>223</v>
      </c>
      <c r="E682" s="4">
        <v>1</v>
      </c>
      <c r="F682" s="5">
        <f>IFERROR(3958.8*ACOS(MIN(1,MAX(-1,SIN(RADIANS('ZIP Coordinates'!$C$2))*SIN(RADIANS(INDEX('ZIP Coordinates'!$C:$C,MATCH($A682,'ZIP Coordinates'!$A:$A,0))))+COS(RADIANS('ZIP Coordinates'!$C$2))*COS(RADIANS(INDEX('ZIP Coordinates'!$C:$C,MATCH($A682,'ZIP Coordinates'!$A:$A,0))))*COS(RADIANS(INDEX('ZIP Coordinates'!$D:$D,MATCH($A682,'ZIP Coordinates'!$A:$A,0))-'ZIP Coordinates'!$D$2))))),"N/A")</f>
        <v>192.69987686056965</v>
      </c>
      <c r="G682" s="3" t="str">
        <f t="shared" si="20"/>
        <v>150-199 mi</v>
      </c>
      <c r="H682" s="27">
        <f>IF(RIGHT($B682,1)="P",1,IF(ISNUMBER(SEARCH("HALF GALLON",$C682)),Assumptions!$B$4,IF(ISNUMBER(SEARCH("GALLON",$C682)),Assumptions!$B$3,IF(ISNUMBER(SEARCH("QUART",$C682)),Assumptions!$B$5,IF(ISNUMBER(SEARCH("PINT",$C682)),Assumptions!$B$6,Assumptions!$B$7)))))</f>
        <v>9</v>
      </c>
      <c r="I682" s="27">
        <f t="shared" si="21"/>
        <v>9</v>
      </c>
    </row>
    <row r="683" spans="1:9" x14ac:dyDescent="0.2">
      <c r="A683" s="3" t="s">
        <v>61</v>
      </c>
      <c r="B683" s="3" t="s">
        <v>259</v>
      </c>
      <c r="C683" s="3" t="s">
        <v>260</v>
      </c>
      <c r="D683" s="3" t="s">
        <v>215</v>
      </c>
      <c r="E683" s="4">
        <v>1</v>
      </c>
      <c r="F683" s="5">
        <f>IFERROR(3958.8*ACOS(MIN(1,MAX(-1,SIN(RADIANS('ZIP Coordinates'!$C$2))*SIN(RADIANS(INDEX('ZIP Coordinates'!$C:$C,MATCH($A683,'ZIP Coordinates'!$A:$A,0))))+COS(RADIANS('ZIP Coordinates'!$C$2))*COS(RADIANS(INDEX('ZIP Coordinates'!$C:$C,MATCH($A683,'ZIP Coordinates'!$A:$A,0))))*COS(RADIANS(INDEX('ZIP Coordinates'!$D:$D,MATCH($A683,'ZIP Coordinates'!$A:$A,0))-'ZIP Coordinates'!$D$2))))),"N/A")</f>
        <v>131.53687522349895</v>
      </c>
      <c r="G683" s="3" t="str">
        <f t="shared" si="20"/>
        <v>100-149 mi</v>
      </c>
      <c r="H683" s="27">
        <f>IF(RIGHT($B683,1)="P",1,IF(ISNUMBER(SEARCH("HALF GALLON",$C683)),Assumptions!$B$4,IF(ISNUMBER(SEARCH("GALLON",$C683)),Assumptions!$B$3,IF(ISNUMBER(SEARCH("QUART",$C683)),Assumptions!$B$5,IF(ISNUMBER(SEARCH("PINT",$C683)),Assumptions!$B$6,Assumptions!$B$7)))))</f>
        <v>4</v>
      </c>
      <c r="I683" s="27">
        <f t="shared" si="21"/>
        <v>4</v>
      </c>
    </row>
    <row r="684" spans="1:9" x14ac:dyDescent="0.2">
      <c r="A684" s="3" t="s">
        <v>61</v>
      </c>
      <c r="B684" s="3" t="s">
        <v>243</v>
      </c>
      <c r="C684" s="3" t="s">
        <v>244</v>
      </c>
      <c r="D684" s="3" t="s">
        <v>215</v>
      </c>
      <c r="E684" s="4">
        <v>2</v>
      </c>
      <c r="F684" s="5">
        <f>IFERROR(3958.8*ACOS(MIN(1,MAX(-1,SIN(RADIANS('ZIP Coordinates'!$C$2))*SIN(RADIANS(INDEX('ZIP Coordinates'!$C:$C,MATCH($A684,'ZIP Coordinates'!$A:$A,0))))+COS(RADIANS('ZIP Coordinates'!$C$2))*COS(RADIANS(INDEX('ZIP Coordinates'!$C:$C,MATCH($A684,'ZIP Coordinates'!$A:$A,0))))*COS(RADIANS(INDEX('ZIP Coordinates'!$D:$D,MATCH($A684,'ZIP Coordinates'!$A:$A,0))-'ZIP Coordinates'!$D$2))))),"N/A")</f>
        <v>131.53687522349895</v>
      </c>
      <c r="G684" s="3" t="str">
        <f t="shared" si="20"/>
        <v>100-149 mi</v>
      </c>
      <c r="H684" s="27">
        <f>IF(RIGHT($B684,1)="P",1,IF(ISNUMBER(SEARCH("HALF GALLON",$C684)),Assumptions!$B$4,IF(ISNUMBER(SEARCH("GALLON",$C684)),Assumptions!$B$3,IF(ISNUMBER(SEARCH("QUART",$C684)),Assumptions!$B$5,IF(ISNUMBER(SEARCH("PINT",$C684)),Assumptions!$B$6,Assumptions!$B$7)))))</f>
        <v>1</v>
      </c>
      <c r="I684" s="27">
        <f t="shared" si="21"/>
        <v>2</v>
      </c>
    </row>
    <row r="685" spans="1:9" x14ac:dyDescent="0.2">
      <c r="A685" s="3" t="s">
        <v>61</v>
      </c>
      <c r="B685" s="3" t="s">
        <v>277</v>
      </c>
      <c r="C685" s="3" t="s">
        <v>278</v>
      </c>
      <c r="D685" s="3" t="s">
        <v>142</v>
      </c>
      <c r="E685" s="4">
        <v>12</v>
      </c>
      <c r="F685" s="5">
        <f>IFERROR(3958.8*ACOS(MIN(1,MAX(-1,SIN(RADIANS('ZIP Coordinates'!$C$2))*SIN(RADIANS(INDEX('ZIP Coordinates'!$C:$C,MATCH($A685,'ZIP Coordinates'!$A:$A,0))))+COS(RADIANS('ZIP Coordinates'!$C$2))*COS(RADIANS(INDEX('ZIP Coordinates'!$C:$C,MATCH($A685,'ZIP Coordinates'!$A:$A,0))))*COS(RADIANS(INDEX('ZIP Coordinates'!$D:$D,MATCH($A685,'ZIP Coordinates'!$A:$A,0))-'ZIP Coordinates'!$D$2))))),"N/A")</f>
        <v>131.53687522349895</v>
      </c>
      <c r="G685" s="3" t="str">
        <f t="shared" si="20"/>
        <v>100-149 mi</v>
      </c>
      <c r="H685" s="27">
        <f>IF(RIGHT($B685,1)="P",1,IF(ISNUMBER(SEARCH("HALF GALLON",$C685)),Assumptions!$B$4,IF(ISNUMBER(SEARCH("GALLON",$C685)),Assumptions!$B$3,IF(ISNUMBER(SEARCH("QUART",$C685)),Assumptions!$B$5,IF(ISNUMBER(SEARCH("PINT",$C685)),Assumptions!$B$6,Assumptions!$B$7)))))</f>
        <v>1</v>
      </c>
      <c r="I685" s="27">
        <f t="shared" si="21"/>
        <v>12</v>
      </c>
    </row>
    <row r="686" spans="1:9" x14ac:dyDescent="0.2">
      <c r="A686" s="3" t="s">
        <v>61</v>
      </c>
      <c r="B686" s="3" t="s">
        <v>279</v>
      </c>
      <c r="C686" s="3" t="s">
        <v>280</v>
      </c>
      <c r="D686" s="3" t="s">
        <v>142</v>
      </c>
      <c r="E686" s="4">
        <v>9</v>
      </c>
      <c r="F686" s="5">
        <f>IFERROR(3958.8*ACOS(MIN(1,MAX(-1,SIN(RADIANS('ZIP Coordinates'!$C$2))*SIN(RADIANS(INDEX('ZIP Coordinates'!$C:$C,MATCH($A686,'ZIP Coordinates'!$A:$A,0))))+COS(RADIANS('ZIP Coordinates'!$C$2))*COS(RADIANS(INDEX('ZIP Coordinates'!$C:$C,MATCH($A686,'ZIP Coordinates'!$A:$A,0))))*COS(RADIANS(INDEX('ZIP Coordinates'!$D:$D,MATCH($A686,'ZIP Coordinates'!$A:$A,0))-'ZIP Coordinates'!$D$2))))),"N/A")</f>
        <v>131.53687522349895</v>
      </c>
      <c r="G686" s="3" t="str">
        <f t="shared" si="20"/>
        <v>100-149 mi</v>
      </c>
      <c r="H686" s="27">
        <f>IF(RIGHT($B686,1)="P",1,IF(ISNUMBER(SEARCH("HALF GALLON",$C686)),Assumptions!$B$4,IF(ISNUMBER(SEARCH("GALLON",$C686)),Assumptions!$B$3,IF(ISNUMBER(SEARCH("QUART",$C686)),Assumptions!$B$5,IF(ISNUMBER(SEARCH("PINT",$C686)),Assumptions!$B$6,Assumptions!$B$7)))))</f>
        <v>1</v>
      </c>
      <c r="I686" s="27">
        <f t="shared" si="21"/>
        <v>9</v>
      </c>
    </row>
    <row r="687" spans="1:9" x14ac:dyDescent="0.2">
      <c r="A687" s="3" t="s">
        <v>61</v>
      </c>
      <c r="B687" s="3" t="s">
        <v>247</v>
      </c>
      <c r="C687" s="3" t="s">
        <v>246</v>
      </c>
      <c r="D687" s="3" t="s">
        <v>142</v>
      </c>
      <c r="E687" s="4">
        <v>9</v>
      </c>
      <c r="F687" s="5">
        <f>IFERROR(3958.8*ACOS(MIN(1,MAX(-1,SIN(RADIANS('ZIP Coordinates'!$C$2))*SIN(RADIANS(INDEX('ZIP Coordinates'!$C:$C,MATCH($A687,'ZIP Coordinates'!$A:$A,0))))+COS(RADIANS('ZIP Coordinates'!$C$2))*COS(RADIANS(INDEX('ZIP Coordinates'!$C:$C,MATCH($A687,'ZIP Coordinates'!$A:$A,0))))*COS(RADIANS(INDEX('ZIP Coordinates'!$D:$D,MATCH($A687,'ZIP Coordinates'!$A:$A,0))-'ZIP Coordinates'!$D$2))))),"N/A")</f>
        <v>131.53687522349895</v>
      </c>
      <c r="G687" s="3" t="str">
        <f t="shared" si="20"/>
        <v>100-149 mi</v>
      </c>
      <c r="H687" s="27">
        <f>IF(RIGHT($B687,1)="P",1,IF(ISNUMBER(SEARCH("HALF GALLON",$C687)),Assumptions!$B$4,IF(ISNUMBER(SEARCH("GALLON",$C687)),Assumptions!$B$3,IF(ISNUMBER(SEARCH("QUART",$C687)),Assumptions!$B$5,IF(ISNUMBER(SEARCH("PINT",$C687)),Assumptions!$B$6,Assumptions!$B$7)))))</f>
        <v>1</v>
      </c>
      <c r="I687" s="27">
        <f t="shared" si="21"/>
        <v>9</v>
      </c>
    </row>
    <row r="688" spans="1:9" x14ac:dyDescent="0.2">
      <c r="A688" s="3" t="s">
        <v>61</v>
      </c>
      <c r="B688" s="3" t="s">
        <v>250</v>
      </c>
      <c r="C688" s="3" t="s">
        <v>249</v>
      </c>
      <c r="D688" s="3" t="s">
        <v>142</v>
      </c>
      <c r="E688" s="4">
        <v>7</v>
      </c>
      <c r="F688" s="5">
        <f>IFERROR(3958.8*ACOS(MIN(1,MAX(-1,SIN(RADIANS('ZIP Coordinates'!$C$2))*SIN(RADIANS(INDEX('ZIP Coordinates'!$C:$C,MATCH($A688,'ZIP Coordinates'!$A:$A,0))))+COS(RADIANS('ZIP Coordinates'!$C$2))*COS(RADIANS(INDEX('ZIP Coordinates'!$C:$C,MATCH($A688,'ZIP Coordinates'!$A:$A,0))))*COS(RADIANS(INDEX('ZIP Coordinates'!$D:$D,MATCH($A688,'ZIP Coordinates'!$A:$A,0))-'ZIP Coordinates'!$D$2))))),"N/A")</f>
        <v>131.53687522349895</v>
      </c>
      <c r="G688" s="3" t="str">
        <f t="shared" si="20"/>
        <v>100-149 mi</v>
      </c>
      <c r="H688" s="27">
        <f>IF(RIGHT($B688,1)="P",1,IF(ISNUMBER(SEARCH("HALF GALLON",$C688)),Assumptions!$B$4,IF(ISNUMBER(SEARCH("GALLON",$C688)),Assumptions!$B$3,IF(ISNUMBER(SEARCH("QUART",$C688)),Assumptions!$B$5,IF(ISNUMBER(SEARCH("PINT",$C688)),Assumptions!$B$6,Assumptions!$B$7)))))</f>
        <v>1</v>
      </c>
      <c r="I688" s="27">
        <f t="shared" si="21"/>
        <v>7</v>
      </c>
    </row>
    <row r="689" spans="1:9" x14ac:dyDescent="0.2">
      <c r="A689" s="3" t="s">
        <v>61</v>
      </c>
      <c r="B689" s="3" t="s">
        <v>251</v>
      </c>
      <c r="C689" s="3" t="s">
        <v>252</v>
      </c>
      <c r="D689" s="3" t="s">
        <v>142</v>
      </c>
      <c r="E689" s="4">
        <v>13</v>
      </c>
      <c r="F689" s="5">
        <f>IFERROR(3958.8*ACOS(MIN(1,MAX(-1,SIN(RADIANS('ZIP Coordinates'!$C$2))*SIN(RADIANS(INDEX('ZIP Coordinates'!$C:$C,MATCH($A689,'ZIP Coordinates'!$A:$A,0))))+COS(RADIANS('ZIP Coordinates'!$C$2))*COS(RADIANS(INDEX('ZIP Coordinates'!$C:$C,MATCH($A689,'ZIP Coordinates'!$A:$A,0))))*COS(RADIANS(INDEX('ZIP Coordinates'!$D:$D,MATCH($A689,'ZIP Coordinates'!$A:$A,0))-'ZIP Coordinates'!$D$2))))),"N/A")</f>
        <v>131.53687522349895</v>
      </c>
      <c r="G689" s="3" t="str">
        <f t="shared" si="20"/>
        <v>100-149 mi</v>
      </c>
      <c r="H689" s="27">
        <f>IF(RIGHT($B689,1)="P",1,IF(ISNUMBER(SEARCH("HALF GALLON",$C689)),Assumptions!$B$4,IF(ISNUMBER(SEARCH("GALLON",$C689)),Assumptions!$B$3,IF(ISNUMBER(SEARCH("QUART",$C689)),Assumptions!$B$5,IF(ISNUMBER(SEARCH("PINT",$C689)),Assumptions!$B$6,Assumptions!$B$7)))))</f>
        <v>1</v>
      </c>
      <c r="I689" s="27">
        <f t="shared" si="21"/>
        <v>13</v>
      </c>
    </row>
    <row r="690" spans="1:9" x14ac:dyDescent="0.2">
      <c r="A690" s="3" t="s">
        <v>61</v>
      </c>
      <c r="B690" s="3" t="s">
        <v>282</v>
      </c>
      <c r="C690" s="3" t="s">
        <v>283</v>
      </c>
      <c r="D690" s="3" t="s">
        <v>142</v>
      </c>
      <c r="E690" s="4">
        <v>6</v>
      </c>
      <c r="F690" s="5">
        <f>IFERROR(3958.8*ACOS(MIN(1,MAX(-1,SIN(RADIANS('ZIP Coordinates'!$C$2))*SIN(RADIANS(INDEX('ZIP Coordinates'!$C:$C,MATCH($A690,'ZIP Coordinates'!$A:$A,0))))+COS(RADIANS('ZIP Coordinates'!$C$2))*COS(RADIANS(INDEX('ZIP Coordinates'!$C:$C,MATCH($A690,'ZIP Coordinates'!$A:$A,0))))*COS(RADIANS(INDEX('ZIP Coordinates'!$D:$D,MATCH($A690,'ZIP Coordinates'!$A:$A,0))-'ZIP Coordinates'!$D$2))))),"N/A")</f>
        <v>131.53687522349895</v>
      </c>
      <c r="G690" s="3" t="str">
        <f t="shared" si="20"/>
        <v>100-149 mi</v>
      </c>
      <c r="H690" s="27">
        <f>IF(RIGHT($B690,1)="P",1,IF(ISNUMBER(SEARCH("HALF GALLON",$C690)),Assumptions!$B$4,IF(ISNUMBER(SEARCH("GALLON",$C690)),Assumptions!$B$3,IF(ISNUMBER(SEARCH("QUART",$C690)),Assumptions!$B$5,IF(ISNUMBER(SEARCH("PINT",$C690)),Assumptions!$B$6,Assumptions!$B$7)))))</f>
        <v>1</v>
      </c>
      <c r="I690" s="27">
        <f t="shared" si="21"/>
        <v>6</v>
      </c>
    </row>
    <row r="691" spans="1:9" x14ac:dyDescent="0.2">
      <c r="A691" s="3" t="s">
        <v>61</v>
      </c>
      <c r="B691" s="3" t="s">
        <v>284</v>
      </c>
      <c r="C691" s="3" t="s">
        <v>285</v>
      </c>
      <c r="D691" s="3" t="s">
        <v>142</v>
      </c>
      <c r="E691" s="4">
        <v>4</v>
      </c>
      <c r="F691" s="5">
        <f>IFERROR(3958.8*ACOS(MIN(1,MAX(-1,SIN(RADIANS('ZIP Coordinates'!$C$2))*SIN(RADIANS(INDEX('ZIP Coordinates'!$C:$C,MATCH($A691,'ZIP Coordinates'!$A:$A,0))))+COS(RADIANS('ZIP Coordinates'!$C$2))*COS(RADIANS(INDEX('ZIP Coordinates'!$C:$C,MATCH($A691,'ZIP Coordinates'!$A:$A,0))))*COS(RADIANS(INDEX('ZIP Coordinates'!$D:$D,MATCH($A691,'ZIP Coordinates'!$A:$A,0))-'ZIP Coordinates'!$D$2))))),"N/A")</f>
        <v>131.53687522349895</v>
      </c>
      <c r="G691" s="3" t="str">
        <f t="shared" si="20"/>
        <v>100-149 mi</v>
      </c>
      <c r="H691" s="27">
        <f>IF(RIGHT($B691,1)="P",1,IF(ISNUMBER(SEARCH("HALF GALLON",$C691)),Assumptions!$B$4,IF(ISNUMBER(SEARCH("GALLON",$C691)),Assumptions!$B$3,IF(ISNUMBER(SEARCH("QUART",$C691)),Assumptions!$B$5,IF(ISNUMBER(SEARCH("PINT",$C691)),Assumptions!$B$6,Assumptions!$B$7)))))</f>
        <v>1</v>
      </c>
      <c r="I691" s="27">
        <f t="shared" si="21"/>
        <v>4</v>
      </c>
    </row>
    <row r="692" spans="1:9" x14ac:dyDescent="0.2">
      <c r="A692" s="3" t="s">
        <v>61</v>
      </c>
      <c r="B692" s="3" t="s">
        <v>288</v>
      </c>
      <c r="C692" s="3" t="s">
        <v>287</v>
      </c>
      <c r="D692" s="3" t="s">
        <v>142</v>
      </c>
      <c r="E692" s="4">
        <v>25</v>
      </c>
      <c r="F692" s="5">
        <f>IFERROR(3958.8*ACOS(MIN(1,MAX(-1,SIN(RADIANS('ZIP Coordinates'!$C$2))*SIN(RADIANS(INDEX('ZIP Coordinates'!$C:$C,MATCH($A692,'ZIP Coordinates'!$A:$A,0))))+COS(RADIANS('ZIP Coordinates'!$C$2))*COS(RADIANS(INDEX('ZIP Coordinates'!$C:$C,MATCH($A692,'ZIP Coordinates'!$A:$A,0))))*COS(RADIANS(INDEX('ZIP Coordinates'!$D:$D,MATCH($A692,'ZIP Coordinates'!$A:$A,0))-'ZIP Coordinates'!$D$2))))),"N/A")</f>
        <v>131.53687522349895</v>
      </c>
      <c r="G692" s="3" t="str">
        <f t="shared" si="20"/>
        <v>100-149 mi</v>
      </c>
      <c r="H692" s="27">
        <f>IF(RIGHT($B692,1)="P",1,IF(ISNUMBER(SEARCH("HALF GALLON",$C692)),Assumptions!$B$4,IF(ISNUMBER(SEARCH("GALLON",$C692)),Assumptions!$B$3,IF(ISNUMBER(SEARCH("QUART",$C692)),Assumptions!$B$5,IF(ISNUMBER(SEARCH("PINT",$C692)),Assumptions!$B$6,Assumptions!$B$7)))))</f>
        <v>1</v>
      </c>
      <c r="I692" s="27">
        <f t="shared" si="21"/>
        <v>25</v>
      </c>
    </row>
    <row r="693" spans="1:9" x14ac:dyDescent="0.2">
      <c r="A693" s="3" t="s">
        <v>61</v>
      </c>
      <c r="B693" s="3" t="s">
        <v>257</v>
      </c>
      <c r="C693" s="3" t="s">
        <v>256</v>
      </c>
      <c r="D693" s="3" t="s">
        <v>142</v>
      </c>
      <c r="E693" s="4">
        <v>45</v>
      </c>
      <c r="F693" s="5">
        <f>IFERROR(3958.8*ACOS(MIN(1,MAX(-1,SIN(RADIANS('ZIP Coordinates'!$C$2))*SIN(RADIANS(INDEX('ZIP Coordinates'!$C:$C,MATCH($A693,'ZIP Coordinates'!$A:$A,0))))+COS(RADIANS('ZIP Coordinates'!$C$2))*COS(RADIANS(INDEX('ZIP Coordinates'!$C:$C,MATCH($A693,'ZIP Coordinates'!$A:$A,0))))*COS(RADIANS(INDEX('ZIP Coordinates'!$D:$D,MATCH($A693,'ZIP Coordinates'!$A:$A,0))-'ZIP Coordinates'!$D$2))))),"N/A")</f>
        <v>131.53687522349895</v>
      </c>
      <c r="G693" s="3" t="str">
        <f t="shared" si="20"/>
        <v>100-149 mi</v>
      </c>
      <c r="H693" s="27">
        <f>IF(RIGHT($B693,1)="P",1,IF(ISNUMBER(SEARCH("HALF GALLON",$C693)),Assumptions!$B$4,IF(ISNUMBER(SEARCH("GALLON",$C693)),Assumptions!$B$3,IF(ISNUMBER(SEARCH("QUART",$C693)),Assumptions!$B$5,IF(ISNUMBER(SEARCH("PINT",$C693)),Assumptions!$B$6,Assumptions!$B$7)))))</f>
        <v>1</v>
      </c>
      <c r="I693" s="27">
        <f t="shared" si="21"/>
        <v>45</v>
      </c>
    </row>
    <row r="694" spans="1:9" x14ac:dyDescent="0.2">
      <c r="A694" s="3" t="s">
        <v>62</v>
      </c>
      <c r="B694" s="3" t="s">
        <v>253</v>
      </c>
      <c r="C694" s="3" t="s">
        <v>254</v>
      </c>
      <c r="D694" s="3" t="s">
        <v>206</v>
      </c>
      <c r="E694" s="4">
        <v>7</v>
      </c>
      <c r="F694" s="5">
        <f>IFERROR(3958.8*ACOS(MIN(1,MAX(-1,SIN(RADIANS('ZIP Coordinates'!$C$2))*SIN(RADIANS(INDEX('ZIP Coordinates'!$C:$C,MATCH($A694,'ZIP Coordinates'!$A:$A,0))))+COS(RADIANS('ZIP Coordinates'!$C$2))*COS(RADIANS(INDEX('ZIP Coordinates'!$C:$C,MATCH($A694,'ZIP Coordinates'!$A:$A,0))))*COS(RADIANS(INDEX('ZIP Coordinates'!$D:$D,MATCH($A694,'ZIP Coordinates'!$A:$A,0))-'ZIP Coordinates'!$D$2))))),"N/A")</f>
        <v>101.19831716833082</v>
      </c>
      <c r="G694" s="3" t="str">
        <f t="shared" si="20"/>
        <v>100-149 mi</v>
      </c>
      <c r="H694" s="27">
        <f>IF(RIGHT($B694,1)="P",1,IF(ISNUMBER(SEARCH("HALF GALLON",$C694)),Assumptions!$B$4,IF(ISNUMBER(SEARCH("GALLON",$C694)),Assumptions!$B$3,IF(ISNUMBER(SEARCH("QUART",$C694)),Assumptions!$B$5,IF(ISNUMBER(SEARCH("PINT",$C694)),Assumptions!$B$6,Assumptions!$B$7)))))</f>
        <v>1</v>
      </c>
      <c r="I694" s="27">
        <f t="shared" si="21"/>
        <v>7</v>
      </c>
    </row>
    <row r="695" spans="1:9" x14ac:dyDescent="0.2">
      <c r="A695" s="3" t="s">
        <v>63</v>
      </c>
      <c r="B695" s="3" t="s">
        <v>258</v>
      </c>
      <c r="C695" s="3" t="s">
        <v>240</v>
      </c>
      <c r="D695" s="3" t="s">
        <v>192</v>
      </c>
      <c r="E695" s="4">
        <v>14</v>
      </c>
      <c r="F695" s="5">
        <f>IFERROR(3958.8*ACOS(MIN(1,MAX(-1,SIN(RADIANS('ZIP Coordinates'!$C$2))*SIN(RADIANS(INDEX('ZIP Coordinates'!$C:$C,MATCH($A695,'ZIP Coordinates'!$A:$A,0))))+COS(RADIANS('ZIP Coordinates'!$C$2))*COS(RADIANS(INDEX('ZIP Coordinates'!$C:$C,MATCH($A695,'ZIP Coordinates'!$A:$A,0))))*COS(RADIANS(INDEX('ZIP Coordinates'!$D:$D,MATCH($A695,'ZIP Coordinates'!$A:$A,0))-'ZIP Coordinates'!$D$2))))),"N/A")</f>
        <v>100.27052265518994</v>
      </c>
      <c r="G695" s="3" t="str">
        <f t="shared" si="20"/>
        <v>100-149 mi</v>
      </c>
      <c r="H695" s="27">
        <f>IF(RIGHT($B695,1)="P",1,IF(ISNUMBER(SEARCH("HALF GALLON",$C695)),Assumptions!$B$4,IF(ISNUMBER(SEARCH("GALLON",$C695)),Assumptions!$B$3,IF(ISNUMBER(SEARCH("QUART",$C695)),Assumptions!$B$5,IF(ISNUMBER(SEARCH("PINT",$C695)),Assumptions!$B$6,Assumptions!$B$7)))))</f>
        <v>4</v>
      </c>
      <c r="I695" s="27">
        <f t="shared" si="21"/>
        <v>56</v>
      </c>
    </row>
    <row r="696" spans="1:9" x14ac:dyDescent="0.2">
      <c r="A696" s="3" t="s">
        <v>64</v>
      </c>
      <c r="B696" s="3" t="s">
        <v>258</v>
      </c>
      <c r="C696" s="3" t="s">
        <v>240</v>
      </c>
      <c r="D696" s="3" t="s">
        <v>156</v>
      </c>
      <c r="E696" s="4">
        <v>22</v>
      </c>
      <c r="F696" s="5">
        <f>IFERROR(3958.8*ACOS(MIN(1,MAX(-1,SIN(RADIANS('ZIP Coordinates'!$C$2))*SIN(RADIANS(INDEX('ZIP Coordinates'!$C:$C,MATCH($A696,'ZIP Coordinates'!$A:$A,0))))+COS(RADIANS('ZIP Coordinates'!$C$2))*COS(RADIANS(INDEX('ZIP Coordinates'!$C:$C,MATCH($A696,'ZIP Coordinates'!$A:$A,0))))*COS(RADIANS(INDEX('ZIP Coordinates'!$D:$D,MATCH($A696,'ZIP Coordinates'!$A:$A,0))-'ZIP Coordinates'!$D$2))))),"N/A")</f>
        <v>113.08185114459924</v>
      </c>
      <c r="G696" s="3" t="str">
        <f t="shared" si="20"/>
        <v>100-149 mi</v>
      </c>
      <c r="H696" s="27">
        <f>IF(RIGHT($B696,1)="P",1,IF(ISNUMBER(SEARCH("HALF GALLON",$C696)),Assumptions!$B$4,IF(ISNUMBER(SEARCH("GALLON",$C696)),Assumptions!$B$3,IF(ISNUMBER(SEARCH("QUART",$C696)),Assumptions!$B$5,IF(ISNUMBER(SEARCH("PINT",$C696)),Assumptions!$B$6,Assumptions!$B$7)))))</f>
        <v>4</v>
      </c>
      <c r="I696" s="27">
        <f t="shared" si="21"/>
        <v>88</v>
      </c>
    </row>
    <row r="697" spans="1:9" x14ac:dyDescent="0.2">
      <c r="A697" s="3" t="s">
        <v>64</v>
      </c>
      <c r="B697" s="3" t="s">
        <v>239</v>
      </c>
      <c r="C697" s="3" t="s">
        <v>240</v>
      </c>
      <c r="D697" s="3" t="s">
        <v>156</v>
      </c>
      <c r="E697" s="4">
        <v>48</v>
      </c>
      <c r="F697" s="5">
        <f>IFERROR(3958.8*ACOS(MIN(1,MAX(-1,SIN(RADIANS('ZIP Coordinates'!$C$2))*SIN(RADIANS(INDEX('ZIP Coordinates'!$C:$C,MATCH($A697,'ZIP Coordinates'!$A:$A,0))))+COS(RADIANS('ZIP Coordinates'!$C$2))*COS(RADIANS(INDEX('ZIP Coordinates'!$C:$C,MATCH($A697,'ZIP Coordinates'!$A:$A,0))))*COS(RADIANS(INDEX('ZIP Coordinates'!$D:$D,MATCH($A697,'ZIP Coordinates'!$A:$A,0))-'ZIP Coordinates'!$D$2))))),"N/A")</f>
        <v>113.08185114459924</v>
      </c>
      <c r="G697" s="3" t="str">
        <f t="shared" si="20"/>
        <v>100-149 mi</v>
      </c>
      <c r="H697" s="27">
        <f>IF(RIGHT($B697,1)="P",1,IF(ISNUMBER(SEARCH("HALF GALLON",$C697)),Assumptions!$B$4,IF(ISNUMBER(SEARCH("GALLON",$C697)),Assumptions!$B$3,IF(ISNUMBER(SEARCH("QUART",$C697)),Assumptions!$B$5,IF(ISNUMBER(SEARCH("PINT",$C697)),Assumptions!$B$6,Assumptions!$B$7)))))</f>
        <v>1</v>
      </c>
      <c r="I697" s="27">
        <f t="shared" si="21"/>
        <v>48</v>
      </c>
    </row>
    <row r="698" spans="1:9" x14ac:dyDescent="0.2">
      <c r="A698" s="3" t="s">
        <v>64</v>
      </c>
      <c r="B698" s="3" t="s">
        <v>248</v>
      </c>
      <c r="C698" s="3" t="s">
        <v>249</v>
      </c>
      <c r="D698" s="3" t="s">
        <v>156</v>
      </c>
      <c r="E698" s="4">
        <v>7</v>
      </c>
      <c r="F698" s="5">
        <f>IFERROR(3958.8*ACOS(MIN(1,MAX(-1,SIN(RADIANS('ZIP Coordinates'!$C$2))*SIN(RADIANS(INDEX('ZIP Coordinates'!$C:$C,MATCH($A698,'ZIP Coordinates'!$A:$A,0))))+COS(RADIANS('ZIP Coordinates'!$C$2))*COS(RADIANS(INDEX('ZIP Coordinates'!$C:$C,MATCH($A698,'ZIP Coordinates'!$A:$A,0))))*COS(RADIANS(INDEX('ZIP Coordinates'!$D:$D,MATCH($A698,'ZIP Coordinates'!$A:$A,0))-'ZIP Coordinates'!$D$2))))),"N/A")</f>
        <v>113.08185114459924</v>
      </c>
      <c r="G698" s="3" t="str">
        <f t="shared" si="20"/>
        <v>100-149 mi</v>
      </c>
      <c r="H698" s="27">
        <f>IF(RIGHT($B698,1)="P",1,IF(ISNUMBER(SEARCH("HALF GALLON",$C698)),Assumptions!$B$4,IF(ISNUMBER(SEARCH("GALLON",$C698)),Assumptions!$B$3,IF(ISNUMBER(SEARCH("QUART",$C698)),Assumptions!$B$5,IF(ISNUMBER(SEARCH("PINT",$C698)),Assumptions!$B$6,Assumptions!$B$7)))))</f>
        <v>20</v>
      </c>
      <c r="I698" s="27">
        <f t="shared" si="21"/>
        <v>140</v>
      </c>
    </row>
    <row r="699" spans="1:9" x14ac:dyDescent="0.2">
      <c r="A699" s="3" t="s">
        <v>64</v>
      </c>
      <c r="B699" s="3" t="s">
        <v>250</v>
      </c>
      <c r="C699" s="3" t="s">
        <v>249</v>
      </c>
      <c r="D699" s="3" t="s">
        <v>156</v>
      </c>
      <c r="E699" s="4">
        <v>1</v>
      </c>
      <c r="F699" s="5">
        <f>IFERROR(3958.8*ACOS(MIN(1,MAX(-1,SIN(RADIANS('ZIP Coordinates'!$C$2))*SIN(RADIANS(INDEX('ZIP Coordinates'!$C:$C,MATCH($A699,'ZIP Coordinates'!$A:$A,0))))+COS(RADIANS('ZIP Coordinates'!$C$2))*COS(RADIANS(INDEX('ZIP Coordinates'!$C:$C,MATCH($A699,'ZIP Coordinates'!$A:$A,0))))*COS(RADIANS(INDEX('ZIP Coordinates'!$D:$D,MATCH($A699,'ZIP Coordinates'!$A:$A,0))-'ZIP Coordinates'!$D$2))))),"N/A")</f>
        <v>113.08185114459924</v>
      </c>
      <c r="G699" s="3" t="str">
        <f t="shared" si="20"/>
        <v>100-149 mi</v>
      </c>
      <c r="H699" s="27">
        <f>IF(RIGHT($B699,1)="P",1,IF(ISNUMBER(SEARCH("HALF GALLON",$C699)),Assumptions!$B$4,IF(ISNUMBER(SEARCH("GALLON",$C699)),Assumptions!$B$3,IF(ISNUMBER(SEARCH("QUART",$C699)),Assumptions!$B$5,IF(ISNUMBER(SEARCH("PINT",$C699)),Assumptions!$B$6,Assumptions!$B$7)))))</f>
        <v>1</v>
      </c>
      <c r="I699" s="27">
        <f t="shared" si="21"/>
        <v>1</v>
      </c>
    </row>
    <row r="700" spans="1:9" x14ac:dyDescent="0.2">
      <c r="A700" s="3" t="s">
        <v>64</v>
      </c>
      <c r="B700" s="3" t="s">
        <v>255</v>
      </c>
      <c r="C700" s="3" t="s">
        <v>256</v>
      </c>
      <c r="D700" s="3" t="s">
        <v>156</v>
      </c>
      <c r="E700" s="4">
        <v>13</v>
      </c>
      <c r="F700" s="5">
        <f>IFERROR(3958.8*ACOS(MIN(1,MAX(-1,SIN(RADIANS('ZIP Coordinates'!$C$2))*SIN(RADIANS(INDEX('ZIP Coordinates'!$C:$C,MATCH($A700,'ZIP Coordinates'!$A:$A,0))))+COS(RADIANS('ZIP Coordinates'!$C$2))*COS(RADIANS(INDEX('ZIP Coordinates'!$C:$C,MATCH($A700,'ZIP Coordinates'!$A:$A,0))))*COS(RADIANS(INDEX('ZIP Coordinates'!$D:$D,MATCH($A700,'ZIP Coordinates'!$A:$A,0))-'ZIP Coordinates'!$D$2))))),"N/A")</f>
        <v>113.08185114459924</v>
      </c>
      <c r="G700" s="3" t="str">
        <f t="shared" si="20"/>
        <v>100-149 mi</v>
      </c>
      <c r="H700" s="27">
        <f>IF(RIGHT($B700,1)="P",1,IF(ISNUMBER(SEARCH("HALF GALLON",$C700)),Assumptions!$B$4,IF(ISNUMBER(SEARCH("GALLON",$C700)),Assumptions!$B$3,IF(ISNUMBER(SEARCH("QUART",$C700)),Assumptions!$B$5,IF(ISNUMBER(SEARCH("PINT",$C700)),Assumptions!$B$6,Assumptions!$B$7)))))</f>
        <v>20</v>
      </c>
      <c r="I700" s="27">
        <f t="shared" si="21"/>
        <v>260</v>
      </c>
    </row>
    <row r="701" spans="1:9" x14ac:dyDescent="0.2">
      <c r="A701" s="3" t="s">
        <v>64</v>
      </c>
      <c r="B701" s="3" t="s">
        <v>257</v>
      </c>
      <c r="C701" s="3" t="s">
        <v>256</v>
      </c>
      <c r="D701" s="3" t="s">
        <v>156</v>
      </c>
      <c r="E701" s="4">
        <v>2</v>
      </c>
      <c r="F701" s="5">
        <f>IFERROR(3958.8*ACOS(MIN(1,MAX(-1,SIN(RADIANS('ZIP Coordinates'!$C$2))*SIN(RADIANS(INDEX('ZIP Coordinates'!$C:$C,MATCH($A701,'ZIP Coordinates'!$A:$A,0))))+COS(RADIANS('ZIP Coordinates'!$C$2))*COS(RADIANS(INDEX('ZIP Coordinates'!$C:$C,MATCH($A701,'ZIP Coordinates'!$A:$A,0))))*COS(RADIANS(INDEX('ZIP Coordinates'!$D:$D,MATCH($A701,'ZIP Coordinates'!$A:$A,0))-'ZIP Coordinates'!$D$2))))),"N/A")</f>
        <v>113.08185114459924</v>
      </c>
      <c r="G701" s="3" t="str">
        <f t="shared" si="20"/>
        <v>100-149 mi</v>
      </c>
      <c r="H701" s="27">
        <f>IF(RIGHT($B701,1)="P",1,IF(ISNUMBER(SEARCH("HALF GALLON",$C701)),Assumptions!$B$4,IF(ISNUMBER(SEARCH("GALLON",$C701)),Assumptions!$B$3,IF(ISNUMBER(SEARCH("QUART",$C701)),Assumptions!$B$5,IF(ISNUMBER(SEARCH("PINT",$C701)),Assumptions!$B$6,Assumptions!$B$7)))))</f>
        <v>1</v>
      </c>
      <c r="I701" s="27">
        <f t="shared" si="21"/>
        <v>2</v>
      </c>
    </row>
    <row r="702" spans="1:9" x14ac:dyDescent="0.2">
      <c r="A702" s="3" t="s">
        <v>65</v>
      </c>
      <c r="B702" s="3" t="s">
        <v>243</v>
      </c>
      <c r="C702" s="3" t="s">
        <v>244</v>
      </c>
      <c r="D702" s="3" t="s">
        <v>140</v>
      </c>
      <c r="E702" s="4">
        <v>26</v>
      </c>
      <c r="F702" s="5">
        <f>IFERROR(3958.8*ACOS(MIN(1,MAX(-1,SIN(RADIANS('ZIP Coordinates'!$C$2))*SIN(RADIANS(INDEX('ZIP Coordinates'!$C:$C,MATCH($A702,'ZIP Coordinates'!$A:$A,0))))+COS(RADIANS('ZIP Coordinates'!$C$2))*COS(RADIANS(INDEX('ZIP Coordinates'!$C:$C,MATCH($A702,'ZIP Coordinates'!$A:$A,0))))*COS(RADIANS(INDEX('ZIP Coordinates'!$D:$D,MATCH($A702,'ZIP Coordinates'!$A:$A,0))-'ZIP Coordinates'!$D$2))))),"N/A")</f>
        <v>133.74935355530641</v>
      </c>
      <c r="G702" s="3" t="str">
        <f t="shared" si="20"/>
        <v>100-149 mi</v>
      </c>
      <c r="H702" s="27">
        <f>IF(RIGHT($B702,1)="P",1,IF(ISNUMBER(SEARCH("HALF GALLON",$C702)),Assumptions!$B$4,IF(ISNUMBER(SEARCH("GALLON",$C702)),Assumptions!$B$3,IF(ISNUMBER(SEARCH("QUART",$C702)),Assumptions!$B$5,IF(ISNUMBER(SEARCH("PINT",$C702)),Assumptions!$B$6,Assumptions!$B$7)))))</f>
        <v>1</v>
      </c>
      <c r="I702" s="27">
        <f t="shared" si="21"/>
        <v>26</v>
      </c>
    </row>
    <row r="703" spans="1:9" x14ac:dyDescent="0.2">
      <c r="A703" s="3" t="s">
        <v>65</v>
      </c>
      <c r="B703" s="3" t="s">
        <v>279</v>
      </c>
      <c r="C703" s="3" t="s">
        <v>280</v>
      </c>
      <c r="D703" s="3" t="s">
        <v>140</v>
      </c>
      <c r="E703" s="4">
        <v>4</v>
      </c>
      <c r="F703" s="5">
        <f>IFERROR(3958.8*ACOS(MIN(1,MAX(-1,SIN(RADIANS('ZIP Coordinates'!$C$2))*SIN(RADIANS(INDEX('ZIP Coordinates'!$C:$C,MATCH($A703,'ZIP Coordinates'!$A:$A,0))))+COS(RADIANS('ZIP Coordinates'!$C$2))*COS(RADIANS(INDEX('ZIP Coordinates'!$C:$C,MATCH($A703,'ZIP Coordinates'!$A:$A,0))))*COS(RADIANS(INDEX('ZIP Coordinates'!$D:$D,MATCH($A703,'ZIP Coordinates'!$A:$A,0))-'ZIP Coordinates'!$D$2))))),"N/A")</f>
        <v>133.74935355530641</v>
      </c>
      <c r="G703" s="3" t="str">
        <f t="shared" si="20"/>
        <v>100-149 mi</v>
      </c>
      <c r="H703" s="27">
        <f>IF(RIGHT($B703,1)="P",1,IF(ISNUMBER(SEARCH("HALF GALLON",$C703)),Assumptions!$B$4,IF(ISNUMBER(SEARCH("GALLON",$C703)),Assumptions!$B$3,IF(ISNUMBER(SEARCH("QUART",$C703)),Assumptions!$B$5,IF(ISNUMBER(SEARCH("PINT",$C703)),Assumptions!$B$6,Assumptions!$B$7)))))</f>
        <v>1</v>
      </c>
      <c r="I703" s="27">
        <f t="shared" si="21"/>
        <v>4</v>
      </c>
    </row>
    <row r="704" spans="1:9" x14ac:dyDescent="0.2">
      <c r="A704" s="3" t="s">
        <v>65</v>
      </c>
      <c r="B704" s="3" t="s">
        <v>247</v>
      </c>
      <c r="C704" s="3" t="s">
        <v>246</v>
      </c>
      <c r="D704" s="3" t="s">
        <v>140</v>
      </c>
      <c r="E704" s="4">
        <v>1</v>
      </c>
      <c r="F704" s="5">
        <f>IFERROR(3958.8*ACOS(MIN(1,MAX(-1,SIN(RADIANS('ZIP Coordinates'!$C$2))*SIN(RADIANS(INDEX('ZIP Coordinates'!$C:$C,MATCH($A704,'ZIP Coordinates'!$A:$A,0))))+COS(RADIANS('ZIP Coordinates'!$C$2))*COS(RADIANS(INDEX('ZIP Coordinates'!$C:$C,MATCH($A704,'ZIP Coordinates'!$A:$A,0))))*COS(RADIANS(INDEX('ZIP Coordinates'!$D:$D,MATCH($A704,'ZIP Coordinates'!$A:$A,0))-'ZIP Coordinates'!$D$2))))),"N/A")</f>
        <v>133.74935355530641</v>
      </c>
      <c r="G704" s="3" t="str">
        <f t="shared" si="20"/>
        <v>100-149 mi</v>
      </c>
      <c r="H704" s="27">
        <f>IF(RIGHT($B704,1)="P",1,IF(ISNUMBER(SEARCH("HALF GALLON",$C704)),Assumptions!$B$4,IF(ISNUMBER(SEARCH("GALLON",$C704)),Assumptions!$B$3,IF(ISNUMBER(SEARCH("QUART",$C704)),Assumptions!$B$5,IF(ISNUMBER(SEARCH("PINT",$C704)),Assumptions!$B$6,Assumptions!$B$7)))))</f>
        <v>1</v>
      </c>
      <c r="I704" s="27">
        <f t="shared" si="21"/>
        <v>1</v>
      </c>
    </row>
    <row r="705" spans="1:9" x14ac:dyDescent="0.2">
      <c r="A705" s="3" t="s">
        <v>65</v>
      </c>
      <c r="B705" s="3" t="s">
        <v>250</v>
      </c>
      <c r="C705" s="3" t="s">
        <v>249</v>
      </c>
      <c r="D705" s="3" t="s">
        <v>140</v>
      </c>
      <c r="E705" s="4">
        <v>21</v>
      </c>
      <c r="F705" s="5">
        <f>IFERROR(3958.8*ACOS(MIN(1,MAX(-1,SIN(RADIANS('ZIP Coordinates'!$C$2))*SIN(RADIANS(INDEX('ZIP Coordinates'!$C:$C,MATCH($A705,'ZIP Coordinates'!$A:$A,0))))+COS(RADIANS('ZIP Coordinates'!$C$2))*COS(RADIANS(INDEX('ZIP Coordinates'!$C:$C,MATCH($A705,'ZIP Coordinates'!$A:$A,0))))*COS(RADIANS(INDEX('ZIP Coordinates'!$D:$D,MATCH($A705,'ZIP Coordinates'!$A:$A,0))-'ZIP Coordinates'!$D$2))))),"N/A")</f>
        <v>133.74935355530641</v>
      </c>
      <c r="G705" s="3" t="str">
        <f t="shared" si="20"/>
        <v>100-149 mi</v>
      </c>
      <c r="H705" s="27">
        <f>IF(RIGHT($B705,1)="P",1,IF(ISNUMBER(SEARCH("HALF GALLON",$C705)),Assumptions!$B$4,IF(ISNUMBER(SEARCH("GALLON",$C705)),Assumptions!$B$3,IF(ISNUMBER(SEARCH("QUART",$C705)),Assumptions!$B$5,IF(ISNUMBER(SEARCH("PINT",$C705)),Assumptions!$B$6,Assumptions!$B$7)))))</f>
        <v>1</v>
      </c>
      <c r="I705" s="27">
        <f t="shared" si="21"/>
        <v>21</v>
      </c>
    </row>
    <row r="706" spans="1:9" x14ac:dyDescent="0.2">
      <c r="A706" s="3" t="s">
        <v>65</v>
      </c>
      <c r="B706" s="3" t="s">
        <v>251</v>
      </c>
      <c r="C706" s="3" t="s">
        <v>252</v>
      </c>
      <c r="D706" s="3" t="s">
        <v>140</v>
      </c>
      <c r="E706" s="4">
        <v>10</v>
      </c>
      <c r="F706" s="5">
        <f>IFERROR(3958.8*ACOS(MIN(1,MAX(-1,SIN(RADIANS('ZIP Coordinates'!$C$2))*SIN(RADIANS(INDEX('ZIP Coordinates'!$C:$C,MATCH($A706,'ZIP Coordinates'!$A:$A,0))))+COS(RADIANS('ZIP Coordinates'!$C$2))*COS(RADIANS(INDEX('ZIP Coordinates'!$C:$C,MATCH($A706,'ZIP Coordinates'!$A:$A,0))))*COS(RADIANS(INDEX('ZIP Coordinates'!$D:$D,MATCH($A706,'ZIP Coordinates'!$A:$A,0))-'ZIP Coordinates'!$D$2))))),"N/A")</f>
        <v>133.74935355530641</v>
      </c>
      <c r="G706" s="3" t="str">
        <f t="shared" ref="G706:G769" si="22">IF($F706="N/A","Unknown",IF($F706&lt;50,"0-49 mi",IF($F706&lt;100,"50-99 mi",IF($F706&lt;150,"100-149 mi",IF($F706&lt;200,"150-199 mi","200+ mi")))))</f>
        <v>100-149 mi</v>
      </c>
      <c r="H706" s="27">
        <f>IF(RIGHT($B706,1)="P",1,IF(ISNUMBER(SEARCH("HALF GALLON",$C706)),Assumptions!$B$4,IF(ISNUMBER(SEARCH("GALLON",$C706)),Assumptions!$B$3,IF(ISNUMBER(SEARCH("QUART",$C706)),Assumptions!$B$5,IF(ISNUMBER(SEARCH("PINT",$C706)),Assumptions!$B$6,Assumptions!$B$7)))))</f>
        <v>1</v>
      </c>
      <c r="I706" s="27">
        <f t="shared" si="21"/>
        <v>10</v>
      </c>
    </row>
    <row r="707" spans="1:9" x14ac:dyDescent="0.2">
      <c r="A707" s="3" t="s">
        <v>65</v>
      </c>
      <c r="B707" s="3" t="s">
        <v>288</v>
      </c>
      <c r="C707" s="3" t="s">
        <v>287</v>
      </c>
      <c r="D707" s="3" t="s">
        <v>140</v>
      </c>
      <c r="E707" s="4">
        <v>28</v>
      </c>
      <c r="F707" s="5">
        <f>IFERROR(3958.8*ACOS(MIN(1,MAX(-1,SIN(RADIANS('ZIP Coordinates'!$C$2))*SIN(RADIANS(INDEX('ZIP Coordinates'!$C:$C,MATCH($A707,'ZIP Coordinates'!$A:$A,0))))+COS(RADIANS('ZIP Coordinates'!$C$2))*COS(RADIANS(INDEX('ZIP Coordinates'!$C:$C,MATCH($A707,'ZIP Coordinates'!$A:$A,0))))*COS(RADIANS(INDEX('ZIP Coordinates'!$D:$D,MATCH($A707,'ZIP Coordinates'!$A:$A,0))-'ZIP Coordinates'!$D$2))))),"N/A")</f>
        <v>133.74935355530641</v>
      </c>
      <c r="G707" s="3" t="str">
        <f t="shared" si="22"/>
        <v>100-149 mi</v>
      </c>
      <c r="H707" s="27">
        <f>IF(RIGHT($B707,1)="P",1,IF(ISNUMBER(SEARCH("HALF GALLON",$C707)),Assumptions!$B$4,IF(ISNUMBER(SEARCH("GALLON",$C707)),Assumptions!$B$3,IF(ISNUMBER(SEARCH("QUART",$C707)),Assumptions!$B$5,IF(ISNUMBER(SEARCH("PINT",$C707)),Assumptions!$B$6,Assumptions!$B$7)))))</f>
        <v>1</v>
      </c>
      <c r="I707" s="27">
        <f t="shared" ref="I707:I770" si="23">$E707*$H707</f>
        <v>28</v>
      </c>
    </row>
    <row r="708" spans="1:9" x14ac:dyDescent="0.2">
      <c r="A708" s="3" t="s">
        <v>65</v>
      </c>
      <c r="B708" s="3" t="s">
        <v>257</v>
      </c>
      <c r="C708" s="3" t="s">
        <v>256</v>
      </c>
      <c r="D708" s="3" t="s">
        <v>140</v>
      </c>
      <c r="E708" s="4">
        <v>59</v>
      </c>
      <c r="F708" s="5">
        <f>IFERROR(3958.8*ACOS(MIN(1,MAX(-1,SIN(RADIANS('ZIP Coordinates'!$C$2))*SIN(RADIANS(INDEX('ZIP Coordinates'!$C:$C,MATCH($A708,'ZIP Coordinates'!$A:$A,0))))+COS(RADIANS('ZIP Coordinates'!$C$2))*COS(RADIANS(INDEX('ZIP Coordinates'!$C:$C,MATCH($A708,'ZIP Coordinates'!$A:$A,0))))*COS(RADIANS(INDEX('ZIP Coordinates'!$D:$D,MATCH($A708,'ZIP Coordinates'!$A:$A,0))-'ZIP Coordinates'!$D$2))))),"N/A")</f>
        <v>133.74935355530641</v>
      </c>
      <c r="G708" s="3" t="str">
        <f t="shared" si="22"/>
        <v>100-149 mi</v>
      </c>
      <c r="H708" s="27">
        <f>IF(RIGHT($B708,1)="P",1,IF(ISNUMBER(SEARCH("HALF GALLON",$C708)),Assumptions!$B$4,IF(ISNUMBER(SEARCH("GALLON",$C708)),Assumptions!$B$3,IF(ISNUMBER(SEARCH("QUART",$C708)),Assumptions!$B$5,IF(ISNUMBER(SEARCH("PINT",$C708)),Assumptions!$B$6,Assumptions!$B$7)))))</f>
        <v>1</v>
      </c>
      <c r="I708" s="27">
        <f t="shared" si="23"/>
        <v>59</v>
      </c>
    </row>
    <row r="709" spans="1:9" x14ac:dyDescent="0.2">
      <c r="A709" s="3" t="s">
        <v>66</v>
      </c>
      <c r="B709" s="3" t="s">
        <v>258</v>
      </c>
      <c r="C709" s="3" t="s">
        <v>240</v>
      </c>
      <c r="D709" s="3" t="s">
        <v>218</v>
      </c>
      <c r="E709" s="4">
        <v>2</v>
      </c>
      <c r="F709" s="5">
        <f>IFERROR(3958.8*ACOS(MIN(1,MAX(-1,SIN(RADIANS('ZIP Coordinates'!$C$2))*SIN(RADIANS(INDEX('ZIP Coordinates'!$C:$C,MATCH($A709,'ZIP Coordinates'!$A:$A,0))))+COS(RADIANS('ZIP Coordinates'!$C$2))*COS(RADIANS(INDEX('ZIP Coordinates'!$C:$C,MATCH($A709,'ZIP Coordinates'!$A:$A,0))))*COS(RADIANS(INDEX('ZIP Coordinates'!$D:$D,MATCH($A709,'ZIP Coordinates'!$A:$A,0))-'ZIP Coordinates'!$D$2))))),"N/A")</f>
        <v>79.693533145307541</v>
      </c>
      <c r="G709" s="3" t="str">
        <f t="shared" si="22"/>
        <v>50-99 mi</v>
      </c>
      <c r="H709" s="27">
        <f>IF(RIGHT($B709,1)="P",1,IF(ISNUMBER(SEARCH("HALF GALLON",$C709)),Assumptions!$B$4,IF(ISNUMBER(SEARCH("GALLON",$C709)),Assumptions!$B$3,IF(ISNUMBER(SEARCH("QUART",$C709)),Assumptions!$B$5,IF(ISNUMBER(SEARCH("PINT",$C709)),Assumptions!$B$6,Assumptions!$B$7)))))</f>
        <v>4</v>
      </c>
      <c r="I709" s="27">
        <f t="shared" si="23"/>
        <v>8</v>
      </c>
    </row>
    <row r="710" spans="1:9" x14ac:dyDescent="0.2">
      <c r="A710" s="3" t="s">
        <v>66</v>
      </c>
      <c r="B710" s="3" t="s">
        <v>270</v>
      </c>
      <c r="C710" s="3" t="s">
        <v>242</v>
      </c>
      <c r="D710" s="3" t="s">
        <v>193</v>
      </c>
      <c r="E710" s="4">
        <v>4</v>
      </c>
      <c r="F710" s="5">
        <f>IFERROR(3958.8*ACOS(MIN(1,MAX(-1,SIN(RADIANS('ZIP Coordinates'!$C$2))*SIN(RADIANS(INDEX('ZIP Coordinates'!$C:$C,MATCH($A710,'ZIP Coordinates'!$A:$A,0))))+COS(RADIANS('ZIP Coordinates'!$C$2))*COS(RADIANS(INDEX('ZIP Coordinates'!$C:$C,MATCH($A710,'ZIP Coordinates'!$A:$A,0))))*COS(RADIANS(INDEX('ZIP Coordinates'!$D:$D,MATCH($A710,'ZIP Coordinates'!$A:$A,0))-'ZIP Coordinates'!$D$2))))),"N/A")</f>
        <v>79.693533145307541</v>
      </c>
      <c r="G710" s="3" t="str">
        <f t="shared" si="22"/>
        <v>50-99 mi</v>
      </c>
      <c r="H710" s="27">
        <f>IF(RIGHT($B710,1)="P",1,IF(ISNUMBER(SEARCH("HALF GALLON",$C710)),Assumptions!$B$4,IF(ISNUMBER(SEARCH("GALLON",$C710)),Assumptions!$B$3,IF(ISNUMBER(SEARCH("QUART",$C710)),Assumptions!$B$5,IF(ISNUMBER(SEARCH("PINT",$C710)),Assumptions!$B$6,Assumptions!$B$7)))))</f>
        <v>9</v>
      </c>
      <c r="I710" s="27">
        <f t="shared" si="23"/>
        <v>36</v>
      </c>
    </row>
    <row r="711" spans="1:9" x14ac:dyDescent="0.2">
      <c r="A711" s="3" t="s">
        <v>66</v>
      </c>
      <c r="B711" s="3" t="s">
        <v>271</v>
      </c>
      <c r="C711" s="3" t="s">
        <v>244</v>
      </c>
      <c r="D711" s="3" t="s">
        <v>193</v>
      </c>
      <c r="E711" s="4">
        <v>10</v>
      </c>
      <c r="F711" s="5">
        <f>IFERROR(3958.8*ACOS(MIN(1,MAX(-1,SIN(RADIANS('ZIP Coordinates'!$C$2))*SIN(RADIANS(INDEX('ZIP Coordinates'!$C:$C,MATCH($A711,'ZIP Coordinates'!$A:$A,0))))+COS(RADIANS('ZIP Coordinates'!$C$2))*COS(RADIANS(INDEX('ZIP Coordinates'!$C:$C,MATCH($A711,'ZIP Coordinates'!$A:$A,0))))*COS(RADIANS(INDEX('ZIP Coordinates'!$D:$D,MATCH($A711,'ZIP Coordinates'!$A:$A,0))-'ZIP Coordinates'!$D$2))))),"N/A")</f>
        <v>79.693533145307541</v>
      </c>
      <c r="G711" s="3" t="str">
        <f t="shared" si="22"/>
        <v>50-99 mi</v>
      </c>
      <c r="H711" s="27">
        <f>IF(RIGHT($B711,1)="P",1,IF(ISNUMBER(SEARCH("HALF GALLON",$C711)),Assumptions!$B$4,IF(ISNUMBER(SEARCH("GALLON",$C711)),Assumptions!$B$3,IF(ISNUMBER(SEARCH("QUART",$C711)),Assumptions!$B$5,IF(ISNUMBER(SEARCH("PINT",$C711)),Assumptions!$B$6,Assumptions!$B$7)))))</f>
        <v>9</v>
      </c>
      <c r="I711" s="27">
        <f t="shared" si="23"/>
        <v>90</v>
      </c>
    </row>
    <row r="712" spans="1:9" x14ac:dyDescent="0.2">
      <c r="A712" s="3" t="s">
        <v>67</v>
      </c>
      <c r="B712" s="3" t="s">
        <v>239</v>
      </c>
      <c r="C712" s="3" t="s">
        <v>240</v>
      </c>
      <c r="D712" s="3" t="s">
        <v>212</v>
      </c>
      <c r="E712" s="4">
        <v>2</v>
      </c>
      <c r="F712" s="5">
        <f>IFERROR(3958.8*ACOS(MIN(1,MAX(-1,SIN(RADIANS('ZIP Coordinates'!$C$2))*SIN(RADIANS(INDEX('ZIP Coordinates'!$C:$C,MATCH($A712,'ZIP Coordinates'!$A:$A,0))))+COS(RADIANS('ZIP Coordinates'!$C$2))*COS(RADIANS(INDEX('ZIP Coordinates'!$C:$C,MATCH($A712,'ZIP Coordinates'!$A:$A,0))))*COS(RADIANS(INDEX('ZIP Coordinates'!$D:$D,MATCH($A712,'ZIP Coordinates'!$A:$A,0))-'ZIP Coordinates'!$D$2))))),"N/A")</f>
        <v>111.07664671588832</v>
      </c>
      <c r="G712" s="3" t="str">
        <f t="shared" si="22"/>
        <v>100-149 mi</v>
      </c>
      <c r="H712" s="27">
        <f>IF(RIGHT($B712,1)="P",1,IF(ISNUMBER(SEARCH("HALF GALLON",$C712)),Assumptions!$B$4,IF(ISNUMBER(SEARCH("GALLON",$C712)),Assumptions!$B$3,IF(ISNUMBER(SEARCH("QUART",$C712)),Assumptions!$B$5,IF(ISNUMBER(SEARCH("PINT",$C712)),Assumptions!$B$6,Assumptions!$B$7)))))</f>
        <v>1</v>
      </c>
      <c r="I712" s="27">
        <f t="shared" si="23"/>
        <v>2</v>
      </c>
    </row>
    <row r="713" spans="1:9" x14ac:dyDescent="0.2">
      <c r="A713" s="3" t="s">
        <v>67</v>
      </c>
      <c r="B713" s="3" t="s">
        <v>253</v>
      </c>
      <c r="C713" s="3" t="s">
        <v>254</v>
      </c>
      <c r="D713" s="3" t="s">
        <v>212</v>
      </c>
      <c r="E713" s="4">
        <v>2</v>
      </c>
      <c r="F713" s="5">
        <f>IFERROR(3958.8*ACOS(MIN(1,MAX(-1,SIN(RADIANS('ZIP Coordinates'!$C$2))*SIN(RADIANS(INDEX('ZIP Coordinates'!$C:$C,MATCH($A713,'ZIP Coordinates'!$A:$A,0))))+COS(RADIANS('ZIP Coordinates'!$C$2))*COS(RADIANS(INDEX('ZIP Coordinates'!$C:$C,MATCH($A713,'ZIP Coordinates'!$A:$A,0))))*COS(RADIANS(INDEX('ZIP Coordinates'!$D:$D,MATCH($A713,'ZIP Coordinates'!$A:$A,0))-'ZIP Coordinates'!$D$2))))),"N/A")</f>
        <v>111.07664671588832</v>
      </c>
      <c r="G713" s="3" t="str">
        <f t="shared" si="22"/>
        <v>100-149 mi</v>
      </c>
      <c r="H713" s="27">
        <f>IF(RIGHT($B713,1)="P",1,IF(ISNUMBER(SEARCH("HALF GALLON",$C713)),Assumptions!$B$4,IF(ISNUMBER(SEARCH("GALLON",$C713)),Assumptions!$B$3,IF(ISNUMBER(SEARCH("QUART",$C713)),Assumptions!$B$5,IF(ISNUMBER(SEARCH("PINT",$C713)),Assumptions!$B$6,Assumptions!$B$7)))))</f>
        <v>1</v>
      </c>
      <c r="I713" s="27">
        <f t="shared" si="23"/>
        <v>2</v>
      </c>
    </row>
    <row r="714" spans="1:9" x14ac:dyDescent="0.2">
      <c r="A714" s="3" t="s">
        <v>68</v>
      </c>
      <c r="B714" s="3" t="s">
        <v>261</v>
      </c>
      <c r="C714" s="3" t="s">
        <v>260</v>
      </c>
      <c r="D714" s="3" t="s">
        <v>138</v>
      </c>
      <c r="E714" s="4">
        <v>2</v>
      </c>
      <c r="F714" s="5">
        <f>IFERROR(3958.8*ACOS(MIN(1,MAX(-1,SIN(RADIANS('ZIP Coordinates'!$C$2))*SIN(RADIANS(INDEX('ZIP Coordinates'!$C:$C,MATCH($A714,'ZIP Coordinates'!$A:$A,0))))+COS(RADIANS('ZIP Coordinates'!$C$2))*COS(RADIANS(INDEX('ZIP Coordinates'!$C:$C,MATCH($A714,'ZIP Coordinates'!$A:$A,0))))*COS(RADIANS(INDEX('ZIP Coordinates'!$D:$D,MATCH($A714,'ZIP Coordinates'!$A:$A,0))-'ZIP Coordinates'!$D$2))))),"N/A")</f>
        <v>132.56534466927377</v>
      </c>
      <c r="G714" s="3" t="str">
        <f t="shared" si="22"/>
        <v>100-149 mi</v>
      </c>
      <c r="H714" s="27">
        <f>IF(RIGHT($B714,1)="P",1,IF(ISNUMBER(SEARCH("HALF GALLON",$C714)),Assumptions!$B$4,IF(ISNUMBER(SEARCH("GALLON",$C714)),Assumptions!$B$3,IF(ISNUMBER(SEARCH("QUART",$C714)),Assumptions!$B$5,IF(ISNUMBER(SEARCH("PINT",$C714)),Assumptions!$B$6,Assumptions!$B$7)))))</f>
        <v>1</v>
      </c>
      <c r="I714" s="27">
        <f t="shared" si="23"/>
        <v>2</v>
      </c>
    </row>
    <row r="715" spans="1:9" x14ac:dyDescent="0.2">
      <c r="A715" s="3" t="s">
        <v>68</v>
      </c>
      <c r="B715" s="3" t="s">
        <v>243</v>
      </c>
      <c r="C715" s="3" t="s">
        <v>244</v>
      </c>
      <c r="D715" s="3" t="s">
        <v>138</v>
      </c>
      <c r="E715" s="4">
        <v>44</v>
      </c>
      <c r="F715" s="5">
        <f>IFERROR(3958.8*ACOS(MIN(1,MAX(-1,SIN(RADIANS('ZIP Coordinates'!$C$2))*SIN(RADIANS(INDEX('ZIP Coordinates'!$C:$C,MATCH($A715,'ZIP Coordinates'!$A:$A,0))))+COS(RADIANS('ZIP Coordinates'!$C$2))*COS(RADIANS(INDEX('ZIP Coordinates'!$C:$C,MATCH($A715,'ZIP Coordinates'!$A:$A,0))))*COS(RADIANS(INDEX('ZIP Coordinates'!$D:$D,MATCH($A715,'ZIP Coordinates'!$A:$A,0))-'ZIP Coordinates'!$D$2))))),"N/A")</f>
        <v>132.56534466927377</v>
      </c>
      <c r="G715" s="3" t="str">
        <f t="shared" si="22"/>
        <v>100-149 mi</v>
      </c>
      <c r="H715" s="27">
        <f>IF(RIGHT($B715,1)="P",1,IF(ISNUMBER(SEARCH("HALF GALLON",$C715)),Assumptions!$B$4,IF(ISNUMBER(SEARCH("GALLON",$C715)),Assumptions!$B$3,IF(ISNUMBER(SEARCH("QUART",$C715)),Assumptions!$B$5,IF(ISNUMBER(SEARCH("PINT",$C715)),Assumptions!$B$6,Assumptions!$B$7)))))</f>
        <v>1</v>
      </c>
      <c r="I715" s="27">
        <f t="shared" si="23"/>
        <v>44</v>
      </c>
    </row>
    <row r="716" spans="1:9" x14ac:dyDescent="0.2">
      <c r="A716" s="3" t="s">
        <v>68</v>
      </c>
      <c r="B716" s="3" t="s">
        <v>276</v>
      </c>
      <c r="C716" s="3" t="s">
        <v>275</v>
      </c>
      <c r="D716" s="3" t="s">
        <v>138</v>
      </c>
      <c r="E716" s="4">
        <v>117</v>
      </c>
      <c r="F716" s="5">
        <f>IFERROR(3958.8*ACOS(MIN(1,MAX(-1,SIN(RADIANS('ZIP Coordinates'!$C$2))*SIN(RADIANS(INDEX('ZIP Coordinates'!$C:$C,MATCH($A716,'ZIP Coordinates'!$A:$A,0))))+COS(RADIANS('ZIP Coordinates'!$C$2))*COS(RADIANS(INDEX('ZIP Coordinates'!$C:$C,MATCH($A716,'ZIP Coordinates'!$A:$A,0))))*COS(RADIANS(INDEX('ZIP Coordinates'!$D:$D,MATCH($A716,'ZIP Coordinates'!$A:$A,0))-'ZIP Coordinates'!$D$2))))),"N/A")</f>
        <v>132.56534466927377</v>
      </c>
      <c r="G716" s="3" t="str">
        <f t="shared" si="22"/>
        <v>100-149 mi</v>
      </c>
      <c r="H716" s="27">
        <f>IF(RIGHT($B716,1)="P",1,IF(ISNUMBER(SEARCH("HALF GALLON",$C716)),Assumptions!$B$4,IF(ISNUMBER(SEARCH("GALLON",$C716)),Assumptions!$B$3,IF(ISNUMBER(SEARCH("QUART",$C716)),Assumptions!$B$5,IF(ISNUMBER(SEARCH("PINT",$C716)),Assumptions!$B$6,Assumptions!$B$7)))))</f>
        <v>1</v>
      </c>
      <c r="I716" s="27">
        <f t="shared" si="23"/>
        <v>117</v>
      </c>
    </row>
    <row r="717" spans="1:9" x14ac:dyDescent="0.2">
      <c r="A717" s="3" t="s">
        <v>69</v>
      </c>
      <c r="B717" s="3" t="s">
        <v>294</v>
      </c>
      <c r="C717" s="3" t="s">
        <v>295</v>
      </c>
      <c r="D717" s="3" t="s">
        <v>203</v>
      </c>
      <c r="E717" s="4">
        <v>6</v>
      </c>
      <c r="F717" s="5">
        <f>IFERROR(3958.8*ACOS(MIN(1,MAX(-1,SIN(RADIANS('ZIP Coordinates'!$C$2))*SIN(RADIANS(INDEX('ZIP Coordinates'!$C:$C,MATCH($A717,'ZIP Coordinates'!$A:$A,0))))+COS(RADIANS('ZIP Coordinates'!$C$2))*COS(RADIANS(INDEX('ZIP Coordinates'!$C:$C,MATCH($A717,'ZIP Coordinates'!$A:$A,0))))*COS(RADIANS(INDEX('ZIP Coordinates'!$D:$D,MATCH($A717,'ZIP Coordinates'!$A:$A,0))-'ZIP Coordinates'!$D$2))))),"N/A")</f>
        <v>163.41175188277882</v>
      </c>
      <c r="G717" s="3" t="str">
        <f t="shared" si="22"/>
        <v>150-199 mi</v>
      </c>
      <c r="H717" s="27">
        <f>IF(RIGHT($B717,1)="P",1,IF(ISNUMBER(SEARCH("HALF GALLON",$C717)),Assumptions!$B$4,IF(ISNUMBER(SEARCH("GALLON",$C717)),Assumptions!$B$3,IF(ISNUMBER(SEARCH("QUART",$C717)),Assumptions!$B$5,IF(ISNUMBER(SEARCH("PINT",$C717)),Assumptions!$B$6,Assumptions!$B$7)))))</f>
        <v>1</v>
      </c>
      <c r="I717" s="27">
        <f t="shared" si="23"/>
        <v>6</v>
      </c>
    </row>
    <row r="718" spans="1:9" x14ac:dyDescent="0.2">
      <c r="A718" s="3" t="s">
        <v>69</v>
      </c>
      <c r="B718" s="3" t="s">
        <v>294</v>
      </c>
      <c r="C718" s="3" t="s">
        <v>295</v>
      </c>
      <c r="D718" s="3" t="s">
        <v>203</v>
      </c>
      <c r="E718" s="4">
        <v>2</v>
      </c>
      <c r="F718" s="5">
        <f>IFERROR(3958.8*ACOS(MIN(1,MAX(-1,SIN(RADIANS('ZIP Coordinates'!$C$2))*SIN(RADIANS(INDEX('ZIP Coordinates'!$C:$C,MATCH($A718,'ZIP Coordinates'!$A:$A,0))))+COS(RADIANS('ZIP Coordinates'!$C$2))*COS(RADIANS(INDEX('ZIP Coordinates'!$C:$C,MATCH($A718,'ZIP Coordinates'!$A:$A,0))))*COS(RADIANS(INDEX('ZIP Coordinates'!$D:$D,MATCH($A718,'ZIP Coordinates'!$A:$A,0))-'ZIP Coordinates'!$D$2))))),"N/A")</f>
        <v>163.41175188277882</v>
      </c>
      <c r="G718" s="3" t="str">
        <f t="shared" si="22"/>
        <v>150-199 mi</v>
      </c>
      <c r="H718" s="27">
        <f>IF(RIGHT($B718,1)="P",1,IF(ISNUMBER(SEARCH("HALF GALLON",$C718)),Assumptions!$B$4,IF(ISNUMBER(SEARCH("GALLON",$C718)),Assumptions!$B$3,IF(ISNUMBER(SEARCH("QUART",$C718)),Assumptions!$B$5,IF(ISNUMBER(SEARCH("PINT",$C718)),Assumptions!$B$6,Assumptions!$B$7)))))</f>
        <v>1</v>
      </c>
      <c r="I718" s="27">
        <f t="shared" si="23"/>
        <v>2</v>
      </c>
    </row>
    <row r="719" spans="1:9" x14ac:dyDescent="0.2">
      <c r="A719" s="3" t="s">
        <v>69</v>
      </c>
      <c r="B719" s="3" t="s">
        <v>259</v>
      </c>
      <c r="C719" s="3" t="s">
        <v>260</v>
      </c>
      <c r="D719" s="3" t="s">
        <v>176</v>
      </c>
      <c r="E719" s="4">
        <v>13</v>
      </c>
      <c r="F719" s="5">
        <f>IFERROR(3958.8*ACOS(MIN(1,MAX(-1,SIN(RADIANS('ZIP Coordinates'!$C$2))*SIN(RADIANS(INDEX('ZIP Coordinates'!$C:$C,MATCH($A719,'ZIP Coordinates'!$A:$A,0))))+COS(RADIANS('ZIP Coordinates'!$C$2))*COS(RADIANS(INDEX('ZIP Coordinates'!$C:$C,MATCH($A719,'ZIP Coordinates'!$A:$A,0))))*COS(RADIANS(INDEX('ZIP Coordinates'!$D:$D,MATCH($A719,'ZIP Coordinates'!$A:$A,0))-'ZIP Coordinates'!$D$2))))),"N/A")</f>
        <v>163.41175188277882</v>
      </c>
      <c r="G719" s="3" t="str">
        <f t="shared" si="22"/>
        <v>150-199 mi</v>
      </c>
      <c r="H719" s="27">
        <f>IF(RIGHT($B719,1)="P",1,IF(ISNUMBER(SEARCH("HALF GALLON",$C719)),Assumptions!$B$4,IF(ISNUMBER(SEARCH("GALLON",$C719)),Assumptions!$B$3,IF(ISNUMBER(SEARCH("QUART",$C719)),Assumptions!$B$5,IF(ISNUMBER(SEARCH("PINT",$C719)),Assumptions!$B$6,Assumptions!$B$7)))))</f>
        <v>4</v>
      </c>
      <c r="I719" s="27">
        <f t="shared" si="23"/>
        <v>52</v>
      </c>
    </row>
    <row r="720" spans="1:9" x14ac:dyDescent="0.2">
      <c r="A720" s="3" t="s">
        <v>69</v>
      </c>
      <c r="B720" s="3" t="s">
        <v>261</v>
      </c>
      <c r="C720" s="3" t="s">
        <v>260</v>
      </c>
      <c r="D720" s="3" t="s">
        <v>165</v>
      </c>
      <c r="E720" s="4">
        <v>61</v>
      </c>
      <c r="F720" s="5">
        <f>IFERROR(3958.8*ACOS(MIN(1,MAX(-1,SIN(RADIANS('ZIP Coordinates'!$C$2))*SIN(RADIANS(INDEX('ZIP Coordinates'!$C:$C,MATCH($A720,'ZIP Coordinates'!$A:$A,0))))+COS(RADIANS('ZIP Coordinates'!$C$2))*COS(RADIANS(INDEX('ZIP Coordinates'!$C:$C,MATCH($A720,'ZIP Coordinates'!$A:$A,0))))*COS(RADIANS(INDEX('ZIP Coordinates'!$D:$D,MATCH($A720,'ZIP Coordinates'!$A:$A,0))-'ZIP Coordinates'!$D$2))))),"N/A")</f>
        <v>163.41175188277882</v>
      </c>
      <c r="G720" s="3" t="str">
        <f t="shared" si="22"/>
        <v>150-199 mi</v>
      </c>
      <c r="H720" s="27">
        <f>IF(RIGHT($B720,1)="P",1,IF(ISNUMBER(SEARCH("HALF GALLON",$C720)),Assumptions!$B$4,IF(ISNUMBER(SEARCH("GALLON",$C720)),Assumptions!$B$3,IF(ISNUMBER(SEARCH("QUART",$C720)),Assumptions!$B$5,IF(ISNUMBER(SEARCH("PINT",$C720)),Assumptions!$B$6,Assumptions!$B$7)))))</f>
        <v>1</v>
      </c>
      <c r="I720" s="27">
        <f t="shared" si="23"/>
        <v>61</v>
      </c>
    </row>
    <row r="721" spans="1:9" x14ac:dyDescent="0.2">
      <c r="A721" s="3" t="s">
        <v>69</v>
      </c>
      <c r="B721" s="3" t="s">
        <v>299</v>
      </c>
      <c r="C721" s="3" t="s">
        <v>266</v>
      </c>
      <c r="D721" s="3" t="s">
        <v>161</v>
      </c>
      <c r="E721" s="4">
        <v>75</v>
      </c>
      <c r="F721" s="5">
        <f>IFERROR(3958.8*ACOS(MIN(1,MAX(-1,SIN(RADIANS('ZIP Coordinates'!$C$2))*SIN(RADIANS(INDEX('ZIP Coordinates'!$C:$C,MATCH($A721,'ZIP Coordinates'!$A:$A,0))))+COS(RADIANS('ZIP Coordinates'!$C$2))*COS(RADIANS(INDEX('ZIP Coordinates'!$C:$C,MATCH($A721,'ZIP Coordinates'!$A:$A,0))))*COS(RADIANS(INDEX('ZIP Coordinates'!$D:$D,MATCH($A721,'ZIP Coordinates'!$A:$A,0))-'ZIP Coordinates'!$D$2))))),"N/A")</f>
        <v>163.41175188277882</v>
      </c>
      <c r="G721" s="3" t="str">
        <f t="shared" si="22"/>
        <v>150-199 mi</v>
      </c>
      <c r="H721" s="27">
        <f>IF(RIGHT($B721,1)="P",1,IF(ISNUMBER(SEARCH("HALF GALLON",$C721)),Assumptions!$B$4,IF(ISNUMBER(SEARCH("GALLON",$C721)),Assumptions!$B$3,IF(ISNUMBER(SEARCH("QUART",$C721)),Assumptions!$B$5,IF(ISNUMBER(SEARCH("PINT",$C721)),Assumptions!$B$6,Assumptions!$B$7)))))</f>
        <v>4</v>
      </c>
      <c r="I721" s="27">
        <f t="shared" si="23"/>
        <v>300</v>
      </c>
    </row>
    <row r="722" spans="1:9" x14ac:dyDescent="0.2">
      <c r="A722" s="3" t="s">
        <v>69</v>
      </c>
      <c r="B722" s="3" t="s">
        <v>265</v>
      </c>
      <c r="C722" s="3" t="s">
        <v>266</v>
      </c>
      <c r="D722" s="3" t="s">
        <v>161</v>
      </c>
      <c r="E722" s="4">
        <v>-6</v>
      </c>
      <c r="F722" s="5">
        <f>IFERROR(3958.8*ACOS(MIN(1,MAX(-1,SIN(RADIANS('ZIP Coordinates'!$C$2))*SIN(RADIANS(INDEX('ZIP Coordinates'!$C:$C,MATCH($A722,'ZIP Coordinates'!$A:$A,0))))+COS(RADIANS('ZIP Coordinates'!$C$2))*COS(RADIANS(INDEX('ZIP Coordinates'!$C:$C,MATCH($A722,'ZIP Coordinates'!$A:$A,0))))*COS(RADIANS(INDEX('ZIP Coordinates'!$D:$D,MATCH($A722,'ZIP Coordinates'!$A:$A,0))-'ZIP Coordinates'!$D$2))))),"N/A")</f>
        <v>163.41175188277882</v>
      </c>
      <c r="G722" s="3" t="str">
        <f t="shared" si="22"/>
        <v>150-199 mi</v>
      </c>
      <c r="H722" s="27">
        <f>IF(RIGHT($B722,1)="P",1,IF(ISNUMBER(SEARCH("HALF GALLON",$C722)),Assumptions!$B$4,IF(ISNUMBER(SEARCH("GALLON",$C722)),Assumptions!$B$3,IF(ISNUMBER(SEARCH("QUART",$C722)),Assumptions!$B$5,IF(ISNUMBER(SEARCH("PINT",$C722)),Assumptions!$B$6,Assumptions!$B$7)))))</f>
        <v>1</v>
      </c>
      <c r="I722" s="27">
        <f t="shared" si="23"/>
        <v>-6</v>
      </c>
    </row>
    <row r="723" spans="1:9" x14ac:dyDescent="0.2">
      <c r="A723" s="3" t="s">
        <v>69</v>
      </c>
      <c r="B723" s="3" t="s">
        <v>267</v>
      </c>
      <c r="C723" s="3" t="s">
        <v>268</v>
      </c>
      <c r="D723" s="3" t="s">
        <v>161</v>
      </c>
      <c r="E723" s="4">
        <v>3</v>
      </c>
      <c r="F723" s="5">
        <f>IFERROR(3958.8*ACOS(MIN(1,MAX(-1,SIN(RADIANS('ZIP Coordinates'!$C$2))*SIN(RADIANS(INDEX('ZIP Coordinates'!$C:$C,MATCH($A723,'ZIP Coordinates'!$A:$A,0))))+COS(RADIANS('ZIP Coordinates'!$C$2))*COS(RADIANS(INDEX('ZIP Coordinates'!$C:$C,MATCH($A723,'ZIP Coordinates'!$A:$A,0))))*COS(RADIANS(INDEX('ZIP Coordinates'!$D:$D,MATCH($A723,'ZIP Coordinates'!$A:$A,0))-'ZIP Coordinates'!$D$2))))),"N/A")</f>
        <v>163.41175188277882</v>
      </c>
      <c r="G723" s="3" t="str">
        <f t="shared" si="22"/>
        <v>150-199 mi</v>
      </c>
      <c r="H723" s="27">
        <f>IF(RIGHT($B723,1)="P",1,IF(ISNUMBER(SEARCH("HALF GALLON",$C723)),Assumptions!$B$4,IF(ISNUMBER(SEARCH("GALLON",$C723)),Assumptions!$B$3,IF(ISNUMBER(SEARCH("QUART",$C723)),Assumptions!$B$5,IF(ISNUMBER(SEARCH("PINT",$C723)),Assumptions!$B$6,Assumptions!$B$7)))))</f>
        <v>4</v>
      </c>
      <c r="I723" s="27">
        <f t="shared" si="23"/>
        <v>12</v>
      </c>
    </row>
    <row r="724" spans="1:9" x14ac:dyDescent="0.2">
      <c r="A724" s="3" t="s">
        <v>69</v>
      </c>
      <c r="B724" s="3" t="s">
        <v>269</v>
      </c>
      <c r="C724" s="3" t="s">
        <v>268</v>
      </c>
      <c r="D724" s="3" t="s">
        <v>176</v>
      </c>
      <c r="E724" s="4">
        <v>21</v>
      </c>
      <c r="F724" s="5">
        <f>IFERROR(3958.8*ACOS(MIN(1,MAX(-1,SIN(RADIANS('ZIP Coordinates'!$C$2))*SIN(RADIANS(INDEX('ZIP Coordinates'!$C:$C,MATCH($A724,'ZIP Coordinates'!$A:$A,0))))+COS(RADIANS('ZIP Coordinates'!$C$2))*COS(RADIANS(INDEX('ZIP Coordinates'!$C:$C,MATCH($A724,'ZIP Coordinates'!$A:$A,0))))*COS(RADIANS(INDEX('ZIP Coordinates'!$D:$D,MATCH($A724,'ZIP Coordinates'!$A:$A,0))-'ZIP Coordinates'!$D$2))))),"N/A")</f>
        <v>163.41175188277882</v>
      </c>
      <c r="G724" s="3" t="str">
        <f t="shared" si="22"/>
        <v>150-199 mi</v>
      </c>
      <c r="H724" s="27">
        <f>IF(RIGHT($B724,1)="P",1,IF(ISNUMBER(SEARCH("HALF GALLON",$C724)),Assumptions!$B$4,IF(ISNUMBER(SEARCH("GALLON",$C724)),Assumptions!$B$3,IF(ISNUMBER(SEARCH("QUART",$C724)),Assumptions!$B$5,IF(ISNUMBER(SEARCH("PINT",$C724)),Assumptions!$B$6,Assumptions!$B$7)))))</f>
        <v>1</v>
      </c>
      <c r="I724" s="27">
        <f t="shared" si="23"/>
        <v>21</v>
      </c>
    </row>
    <row r="725" spans="1:9" x14ac:dyDescent="0.2">
      <c r="A725" s="3" t="s">
        <v>69</v>
      </c>
      <c r="B725" s="3" t="s">
        <v>241</v>
      </c>
      <c r="C725" s="3" t="s">
        <v>242</v>
      </c>
      <c r="D725" s="3" t="s">
        <v>161</v>
      </c>
      <c r="E725" s="4">
        <v>4</v>
      </c>
      <c r="F725" s="5">
        <f>IFERROR(3958.8*ACOS(MIN(1,MAX(-1,SIN(RADIANS('ZIP Coordinates'!$C$2))*SIN(RADIANS(INDEX('ZIP Coordinates'!$C:$C,MATCH($A725,'ZIP Coordinates'!$A:$A,0))))+COS(RADIANS('ZIP Coordinates'!$C$2))*COS(RADIANS(INDEX('ZIP Coordinates'!$C:$C,MATCH($A725,'ZIP Coordinates'!$A:$A,0))))*COS(RADIANS(INDEX('ZIP Coordinates'!$D:$D,MATCH($A725,'ZIP Coordinates'!$A:$A,0))-'ZIP Coordinates'!$D$2))))),"N/A")</f>
        <v>163.41175188277882</v>
      </c>
      <c r="G725" s="3" t="str">
        <f t="shared" si="22"/>
        <v>150-199 mi</v>
      </c>
      <c r="H725" s="27">
        <f>IF(RIGHT($B725,1)="P",1,IF(ISNUMBER(SEARCH("HALF GALLON",$C725)),Assumptions!$B$4,IF(ISNUMBER(SEARCH("GALLON",$C725)),Assumptions!$B$3,IF(ISNUMBER(SEARCH("QUART",$C725)),Assumptions!$B$5,IF(ISNUMBER(SEARCH("PINT",$C725)),Assumptions!$B$6,Assumptions!$B$7)))))</f>
        <v>1</v>
      </c>
      <c r="I725" s="27">
        <f t="shared" si="23"/>
        <v>4</v>
      </c>
    </row>
    <row r="726" spans="1:9" x14ac:dyDescent="0.2">
      <c r="A726" s="3" t="s">
        <v>69</v>
      </c>
      <c r="B726" s="3" t="s">
        <v>274</v>
      </c>
      <c r="C726" s="3" t="s">
        <v>275</v>
      </c>
      <c r="D726" s="3" t="s">
        <v>137</v>
      </c>
      <c r="E726" s="4">
        <v>10</v>
      </c>
      <c r="F726" s="5">
        <f>IFERROR(3958.8*ACOS(MIN(1,MAX(-1,SIN(RADIANS('ZIP Coordinates'!$C$2))*SIN(RADIANS(INDEX('ZIP Coordinates'!$C:$C,MATCH($A726,'ZIP Coordinates'!$A:$A,0))))+COS(RADIANS('ZIP Coordinates'!$C$2))*COS(RADIANS(INDEX('ZIP Coordinates'!$C:$C,MATCH($A726,'ZIP Coordinates'!$A:$A,0))))*COS(RADIANS(INDEX('ZIP Coordinates'!$D:$D,MATCH($A726,'ZIP Coordinates'!$A:$A,0))-'ZIP Coordinates'!$D$2))))),"N/A")</f>
        <v>163.41175188277882</v>
      </c>
      <c r="G726" s="3" t="str">
        <f t="shared" si="22"/>
        <v>150-199 mi</v>
      </c>
      <c r="H726" s="27">
        <f>IF(RIGHT($B726,1)="P",1,IF(ISNUMBER(SEARCH("HALF GALLON",$C726)),Assumptions!$B$4,IF(ISNUMBER(SEARCH("GALLON",$C726)),Assumptions!$B$3,IF(ISNUMBER(SEARCH("QUART",$C726)),Assumptions!$B$5,IF(ISNUMBER(SEARCH("PINT",$C726)),Assumptions!$B$6,Assumptions!$B$7)))))</f>
        <v>9</v>
      </c>
      <c r="I726" s="27">
        <f t="shared" si="23"/>
        <v>90</v>
      </c>
    </row>
    <row r="727" spans="1:9" x14ac:dyDescent="0.2">
      <c r="A727" s="3" t="s">
        <v>69</v>
      </c>
      <c r="B727" s="3" t="s">
        <v>276</v>
      </c>
      <c r="C727" s="3" t="s">
        <v>275</v>
      </c>
      <c r="D727" s="3" t="s">
        <v>162</v>
      </c>
      <c r="E727" s="4">
        <v>5</v>
      </c>
      <c r="F727" s="5">
        <f>IFERROR(3958.8*ACOS(MIN(1,MAX(-1,SIN(RADIANS('ZIP Coordinates'!$C$2))*SIN(RADIANS(INDEX('ZIP Coordinates'!$C:$C,MATCH($A727,'ZIP Coordinates'!$A:$A,0))))+COS(RADIANS('ZIP Coordinates'!$C$2))*COS(RADIANS(INDEX('ZIP Coordinates'!$C:$C,MATCH($A727,'ZIP Coordinates'!$A:$A,0))))*COS(RADIANS(INDEX('ZIP Coordinates'!$D:$D,MATCH($A727,'ZIP Coordinates'!$A:$A,0))-'ZIP Coordinates'!$D$2))))),"N/A")</f>
        <v>163.41175188277882</v>
      </c>
      <c r="G727" s="3" t="str">
        <f t="shared" si="22"/>
        <v>150-199 mi</v>
      </c>
      <c r="H727" s="27">
        <f>IF(RIGHT($B727,1)="P",1,IF(ISNUMBER(SEARCH("HALF GALLON",$C727)),Assumptions!$B$4,IF(ISNUMBER(SEARCH("GALLON",$C727)),Assumptions!$B$3,IF(ISNUMBER(SEARCH("QUART",$C727)),Assumptions!$B$5,IF(ISNUMBER(SEARCH("PINT",$C727)),Assumptions!$B$6,Assumptions!$B$7)))))</f>
        <v>1</v>
      </c>
      <c r="I727" s="27">
        <f t="shared" si="23"/>
        <v>5</v>
      </c>
    </row>
    <row r="728" spans="1:9" x14ac:dyDescent="0.2">
      <c r="A728" s="3" t="s">
        <v>69</v>
      </c>
      <c r="B728" s="3" t="s">
        <v>248</v>
      </c>
      <c r="C728" s="3" t="s">
        <v>249</v>
      </c>
      <c r="D728" s="3" t="s">
        <v>162</v>
      </c>
      <c r="E728" s="4">
        <v>27</v>
      </c>
      <c r="F728" s="5">
        <f>IFERROR(3958.8*ACOS(MIN(1,MAX(-1,SIN(RADIANS('ZIP Coordinates'!$C$2))*SIN(RADIANS(INDEX('ZIP Coordinates'!$C:$C,MATCH($A728,'ZIP Coordinates'!$A:$A,0))))+COS(RADIANS('ZIP Coordinates'!$C$2))*COS(RADIANS(INDEX('ZIP Coordinates'!$C:$C,MATCH($A728,'ZIP Coordinates'!$A:$A,0))))*COS(RADIANS(INDEX('ZIP Coordinates'!$D:$D,MATCH($A728,'ZIP Coordinates'!$A:$A,0))-'ZIP Coordinates'!$D$2))))),"N/A")</f>
        <v>163.41175188277882</v>
      </c>
      <c r="G728" s="3" t="str">
        <f t="shared" si="22"/>
        <v>150-199 mi</v>
      </c>
      <c r="H728" s="27">
        <f>IF(RIGHT($B728,1)="P",1,IF(ISNUMBER(SEARCH("HALF GALLON",$C728)),Assumptions!$B$4,IF(ISNUMBER(SEARCH("GALLON",$C728)),Assumptions!$B$3,IF(ISNUMBER(SEARCH("QUART",$C728)),Assumptions!$B$5,IF(ISNUMBER(SEARCH("PINT",$C728)),Assumptions!$B$6,Assumptions!$B$7)))))</f>
        <v>20</v>
      </c>
      <c r="I728" s="27">
        <f t="shared" si="23"/>
        <v>540</v>
      </c>
    </row>
    <row r="729" spans="1:9" x14ac:dyDescent="0.2">
      <c r="A729" s="3" t="s">
        <v>69</v>
      </c>
      <c r="B729" s="3" t="s">
        <v>250</v>
      </c>
      <c r="C729" s="3" t="s">
        <v>249</v>
      </c>
      <c r="D729" s="3" t="s">
        <v>137</v>
      </c>
      <c r="E729" s="4">
        <v>8</v>
      </c>
      <c r="F729" s="5">
        <f>IFERROR(3958.8*ACOS(MIN(1,MAX(-1,SIN(RADIANS('ZIP Coordinates'!$C$2))*SIN(RADIANS(INDEX('ZIP Coordinates'!$C:$C,MATCH($A729,'ZIP Coordinates'!$A:$A,0))))+COS(RADIANS('ZIP Coordinates'!$C$2))*COS(RADIANS(INDEX('ZIP Coordinates'!$C:$C,MATCH($A729,'ZIP Coordinates'!$A:$A,0))))*COS(RADIANS(INDEX('ZIP Coordinates'!$D:$D,MATCH($A729,'ZIP Coordinates'!$A:$A,0))-'ZIP Coordinates'!$D$2))))),"N/A")</f>
        <v>163.41175188277882</v>
      </c>
      <c r="G729" s="3" t="str">
        <f t="shared" si="22"/>
        <v>150-199 mi</v>
      </c>
      <c r="H729" s="27">
        <f>IF(RIGHT($B729,1)="P",1,IF(ISNUMBER(SEARCH("HALF GALLON",$C729)),Assumptions!$B$4,IF(ISNUMBER(SEARCH("GALLON",$C729)),Assumptions!$B$3,IF(ISNUMBER(SEARCH("QUART",$C729)),Assumptions!$B$5,IF(ISNUMBER(SEARCH("PINT",$C729)),Assumptions!$B$6,Assumptions!$B$7)))))</f>
        <v>1</v>
      </c>
      <c r="I729" s="27">
        <f t="shared" si="23"/>
        <v>8</v>
      </c>
    </row>
    <row r="730" spans="1:9" x14ac:dyDescent="0.2">
      <c r="A730" s="3" t="s">
        <v>69</v>
      </c>
      <c r="B730" s="3" t="s">
        <v>281</v>
      </c>
      <c r="C730" s="3" t="s">
        <v>252</v>
      </c>
      <c r="D730" s="3" t="s">
        <v>137</v>
      </c>
      <c r="E730" s="4">
        <v>19</v>
      </c>
      <c r="F730" s="5">
        <f>IFERROR(3958.8*ACOS(MIN(1,MAX(-1,SIN(RADIANS('ZIP Coordinates'!$C$2))*SIN(RADIANS(INDEX('ZIP Coordinates'!$C:$C,MATCH($A730,'ZIP Coordinates'!$A:$A,0))))+COS(RADIANS('ZIP Coordinates'!$C$2))*COS(RADIANS(INDEX('ZIP Coordinates'!$C:$C,MATCH($A730,'ZIP Coordinates'!$A:$A,0))))*COS(RADIANS(INDEX('ZIP Coordinates'!$D:$D,MATCH($A730,'ZIP Coordinates'!$A:$A,0))-'ZIP Coordinates'!$D$2))))),"N/A")</f>
        <v>163.41175188277882</v>
      </c>
      <c r="G730" s="3" t="str">
        <f t="shared" si="22"/>
        <v>150-199 mi</v>
      </c>
      <c r="H730" s="27">
        <f>IF(RIGHT($B730,1)="P",1,IF(ISNUMBER(SEARCH("HALF GALLON",$C730)),Assumptions!$B$4,IF(ISNUMBER(SEARCH("GALLON",$C730)),Assumptions!$B$3,IF(ISNUMBER(SEARCH("QUART",$C730)),Assumptions!$B$5,IF(ISNUMBER(SEARCH("PINT",$C730)),Assumptions!$B$6,Assumptions!$B$7)))))</f>
        <v>20</v>
      </c>
      <c r="I730" s="27">
        <f t="shared" si="23"/>
        <v>380</v>
      </c>
    </row>
    <row r="731" spans="1:9" x14ac:dyDescent="0.2">
      <c r="A731" s="3" t="s">
        <v>69</v>
      </c>
      <c r="B731" s="3" t="s">
        <v>251</v>
      </c>
      <c r="C731" s="3" t="s">
        <v>252</v>
      </c>
      <c r="D731" s="3" t="s">
        <v>162</v>
      </c>
      <c r="E731" s="4">
        <v>40</v>
      </c>
      <c r="F731" s="5">
        <f>IFERROR(3958.8*ACOS(MIN(1,MAX(-1,SIN(RADIANS('ZIP Coordinates'!$C$2))*SIN(RADIANS(INDEX('ZIP Coordinates'!$C:$C,MATCH($A731,'ZIP Coordinates'!$A:$A,0))))+COS(RADIANS('ZIP Coordinates'!$C$2))*COS(RADIANS(INDEX('ZIP Coordinates'!$C:$C,MATCH($A731,'ZIP Coordinates'!$A:$A,0))))*COS(RADIANS(INDEX('ZIP Coordinates'!$D:$D,MATCH($A731,'ZIP Coordinates'!$A:$A,0))-'ZIP Coordinates'!$D$2))))),"N/A")</f>
        <v>163.41175188277882</v>
      </c>
      <c r="G731" s="3" t="str">
        <f t="shared" si="22"/>
        <v>150-199 mi</v>
      </c>
      <c r="H731" s="27">
        <f>IF(RIGHT($B731,1)="P",1,IF(ISNUMBER(SEARCH("HALF GALLON",$C731)),Assumptions!$B$4,IF(ISNUMBER(SEARCH("GALLON",$C731)),Assumptions!$B$3,IF(ISNUMBER(SEARCH("QUART",$C731)),Assumptions!$B$5,IF(ISNUMBER(SEARCH("PINT",$C731)),Assumptions!$B$6,Assumptions!$B$7)))))</f>
        <v>1</v>
      </c>
      <c r="I731" s="27">
        <f t="shared" si="23"/>
        <v>40</v>
      </c>
    </row>
    <row r="732" spans="1:9" x14ac:dyDescent="0.2">
      <c r="A732" s="3" t="s">
        <v>69</v>
      </c>
      <c r="B732" s="3" t="s">
        <v>284</v>
      </c>
      <c r="C732" s="3" t="s">
        <v>285</v>
      </c>
      <c r="D732" s="3" t="s">
        <v>162</v>
      </c>
      <c r="E732" s="4">
        <v>2</v>
      </c>
      <c r="F732" s="5">
        <f>IFERROR(3958.8*ACOS(MIN(1,MAX(-1,SIN(RADIANS('ZIP Coordinates'!$C$2))*SIN(RADIANS(INDEX('ZIP Coordinates'!$C:$C,MATCH($A732,'ZIP Coordinates'!$A:$A,0))))+COS(RADIANS('ZIP Coordinates'!$C$2))*COS(RADIANS(INDEX('ZIP Coordinates'!$C:$C,MATCH($A732,'ZIP Coordinates'!$A:$A,0))))*COS(RADIANS(INDEX('ZIP Coordinates'!$D:$D,MATCH($A732,'ZIP Coordinates'!$A:$A,0))-'ZIP Coordinates'!$D$2))))),"N/A")</f>
        <v>163.41175188277882</v>
      </c>
      <c r="G732" s="3" t="str">
        <f t="shared" si="22"/>
        <v>150-199 mi</v>
      </c>
      <c r="H732" s="27">
        <f>IF(RIGHT($B732,1)="P",1,IF(ISNUMBER(SEARCH("HALF GALLON",$C732)),Assumptions!$B$4,IF(ISNUMBER(SEARCH("GALLON",$C732)),Assumptions!$B$3,IF(ISNUMBER(SEARCH("QUART",$C732)),Assumptions!$B$5,IF(ISNUMBER(SEARCH("PINT",$C732)),Assumptions!$B$6,Assumptions!$B$7)))))</f>
        <v>1</v>
      </c>
      <c r="I732" s="27">
        <f t="shared" si="23"/>
        <v>2</v>
      </c>
    </row>
    <row r="733" spans="1:9" x14ac:dyDescent="0.2">
      <c r="A733" s="3" t="s">
        <v>69</v>
      </c>
      <c r="B733" s="3" t="s">
        <v>255</v>
      </c>
      <c r="C733" s="3" t="s">
        <v>256</v>
      </c>
      <c r="D733" s="3" t="s">
        <v>137</v>
      </c>
      <c r="E733" s="4">
        <v>130</v>
      </c>
      <c r="F733" s="5">
        <f>IFERROR(3958.8*ACOS(MIN(1,MAX(-1,SIN(RADIANS('ZIP Coordinates'!$C$2))*SIN(RADIANS(INDEX('ZIP Coordinates'!$C:$C,MATCH($A733,'ZIP Coordinates'!$A:$A,0))))+COS(RADIANS('ZIP Coordinates'!$C$2))*COS(RADIANS(INDEX('ZIP Coordinates'!$C:$C,MATCH($A733,'ZIP Coordinates'!$A:$A,0))))*COS(RADIANS(INDEX('ZIP Coordinates'!$D:$D,MATCH($A733,'ZIP Coordinates'!$A:$A,0))-'ZIP Coordinates'!$D$2))))),"N/A")</f>
        <v>163.41175188277882</v>
      </c>
      <c r="G733" s="3" t="str">
        <f t="shared" si="22"/>
        <v>150-199 mi</v>
      </c>
      <c r="H733" s="27">
        <f>IF(RIGHT($B733,1)="P",1,IF(ISNUMBER(SEARCH("HALF GALLON",$C733)),Assumptions!$B$4,IF(ISNUMBER(SEARCH("GALLON",$C733)),Assumptions!$B$3,IF(ISNUMBER(SEARCH("QUART",$C733)),Assumptions!$B$5,IF(ISNUMBER(SEARCH("PINT",$C733)),Assumptions!$B$6,Assumptions!$B$7)))))</f>
        <v>20</v>
      </c>
      <c r="I733" s="27">
        <f t="shared" si="23"/>
        <v>2600</v>
      </c>
    </row>
    <row r="734" spans="1:9" x14ac:dyDescent="0.2">
      <c r="A734" s="3" t="s">
        <v>70</v>
      </c>
      <c r="B734" s="3" t="s">
        <v>258</v>
      </c>
      <c r="C734" s="3" t="s">
        <v>240</v>
      </c>
      <c r="D734" s="3" t="s">
        <v>181</v>
      </c>
      <c r="E734" s="4">
        <v>14</v>
      </c>
      <c r="F734" s="5">
        <f>IFERROR(3958.8*ACOS(MIN(1,MAX(-1,SIN(RADIANS('ZIP Coordinates'!$C$2))*SIN(RADIANS(INDEX('ZIP Coordinates'!$C:$C,MATCH($A734,'ZIP Coordinates'!$A:$A,0))))+COS(RADIANS('ZIP Coordinates'!$C$2))*COS(RADIANS(INDEX('ZIP Coordinates'!$C:$C,MATCH($A734,'ZIP Coordinates'!$A:$A,0))))*COS(RADIANS(INDEX('ZIP Coordinates'!$D:$D,MATCH($A734,'ZIP Coordinates'!$A:$A,0))-'ZIP Coordinates'!$D$2))))),"N/A")</f>
        <v>146.32544314254309</v>
      </c>
      <c r="G734" s="3" t="str">
        <f t="shared" si="22"/>
        <v>100-149 mi</v>
      </c>
      <c r="H734" s="27">
        <f>IF(RIGHT($B734,1)="P",1,IF(ISNUMBER(SEARCH("HALF GALLON",$C734)),Assumptions!$B$4,IF(ISNUMBER(SEARCH("GALLON",$C734)),Assumptions!$B$3,IF(ISNUMBER(SEARCH("QUART",$C734)),Assumptions!$B$5,IF(ISNUMBER(SEARCH("PINT",$C734)),Assumptions!$B$6,Assumptions!$B$7)))))</f>
        <v>4</v>
      </c>
      <c r="I734" s="27">
        <f t="shared" si="23"/>
        <v>56</v>
      </c>
    </row>
    <row r="735" spans="1:9" x14ac:dyDescent="0.2">
      <c r="A735" s="3" t="s">
        <v>70</v>
      </c>
      <c r="B735" s="3" t="s">
        <v>267</v>
      </c>
      <c r="C735" s="3" t="s">
        <v>268</v>
      </c>
      <c r="D735" s="3" t="s">
        <v>181</v>
      </c>
      <c r="E735" s="4">
        <v>15</v>
      </c>
      <c r="F735" s="5">
        <f>IFERROR(3958.8*ACOS(MIN(1,MAX(-1,SIN(RADIANS('ZIP Coordinates'!$C$2))*SIN(RADIANS(INDEX('ZIP Coordinates'!$C:$C,MATCH($A735,'ZIP Coordinates'!$A:$A,0))))+COS(RADIANS('ZIP Coordinates'!$C$2))*COS(RADIANS(INDEX('ZIP Coordinates'!$C:$C,MATCH($A735,'ZIP Coordinates'!$A:$A,0))))*COS(RADIANS(INDEX('ZIP Coordinates'!$D:$D,MATCH($A735,'ZIP Coordinates'!$A:$A,0))-'ZIP Coordinates'!$D$2))))),"N/A")</f>
        <v>146.32544314254309</v>
      </c>
      <c r="G735" s="3" t="str">
        <f t="shared" si="22"/>
        <v>100-149 mi</v>
      </c>
      <c r="H735" s="27">
        <f>IF(RIGHT($B735,1)="P",1,IF(ISNUMBER(SEARCH("HALF GALLON",$C735)),Assumptions!$B$4,IF(ISNUMBER(SEARCH("GALLON",$C735)),Assumptions!$B$3,IF(ISNUMBER(SEARCH("QUART",$C735)),Assumptions!$B$5,IF(ISNUMBER(SEARCH("PINT",$C735)),Assumptions!$B$6,Assumptions!$B$7)))))</f>
        <v>4</v>
      </c>
      <c r="I735" s="27">
        <f t="shared" si="23"/>
        <v>60</v>
      </c>
    </row>
    <row r="736" spans="1:9" x14ac:dyDescent="0.2">
      <c r="A736" s="3" t="s">
        <v>71</v>
      </c>
      <c r="B736" s="3" t="s">
        <v>258</v>
      </c>
      <c r="C736" s="3" t="s">
        <v>240</v>
      </c>
      <c r="D736" s="3" t="s">
        <v>124</v>
      </c>
      <c r="E736" s="4">
        <v>19</v>
      </c>
      <c r="F736" s="5">
        <f>IFERROR(3958.8*ACOS(MIN(1,MAX(-1,SIN(RADIANS('ZIP Coordinates'!$C$2))*SIN(RADIANS(INDEX('ZIP Coordinates'!$C:$C,MATCH($A736,'ZIP Coordinates'!$A:$A,0))))+COS(RADIANS('ZIP Coordinates'!$C$2))*COS(RADIANS(INDEX('ZIP Coordinates'!$C:$C,MATCH($A736,'ZIP Coordinates'!$A:$A,0))))*COS(RADIANS(INDEX('ZIP Coordinates'!$D:$D,MATCH($A736,'ZIP Coordinates'!$A:$A,0))-'ZIP Coordinates'!$D$2))))),"N/A")</f>
        <v>150.27844379053917</v>
      </c>
      <c r="G736" s="3" t="str">
        <f t="shared" si="22"/>
        <v>150-199 mi</v>
      </c>
      <c r="H736" s="27">
        <f>IF(RIGHT($B736,1)="P",1,IF(ISNUMBER(SEARCH("HALF GALLON",$C736)),Assumptions!$B$4,IF(ISNUMBER(SEARCH("GALLON",$C736)),Assumptions!$B$3,IF(ISNUMBER(SEARCH("QUART",$C736)),Assumptions!$B$5,IF(ISNUMBER(SEARCH("PINT",$C736)),Assumptions!$B$6,Assumptions!$B$7)))))</f>
        <v>4</v>
      </c>
      <c r="I736" s="27">
        <f t="shared" si="23"/>
        <v>76</v>
      </c>
    </row>
    <row r="737" spans="1:9" x14ac:dyDescent="0.2">
      <c r="A737" s="3" t="s">
        <v>71</v>
      </c>
      <c r="B737" s="3" t="s">
        <v>239</v>
      </c>
      <c r="C737" s="3" t="s">
        <v>240</v>
      </c>
      <c r="D737" s="3" t="s">
        <v>177</v>
      </c>
      <c r="E737" s="4">
        <v>14</v>
      </c>
      <c r="F737" s="5">
        <f>IFERROR(3958.8*ACOS(MIN(1,MAX(-1,SIN(RADIANS('ZIP Coordinates'!$C$2))*SIN(RADIANS(INDEX('ZIP Coordinates'!$C:$C,MATCH($A737,'ZIP Coordinates'!$A:$A,0))))+COS(RADIANS('ZIP Coordinates'!$C$2))*COS(RADIANS(INDEX('ZIP Coordinates'!$C:$C,MATCH($A737,'ZIP Coordinates'!$A:$A,0))))*COS(RADIANS(INDEX('ZIP Coordinates'!$D:$D,MATCH($A737,'ZIP Coordinates'!$A:$A,0))-'ZIP Coordinates'!$D$2))))),"N/A")</f>
        <v>150.27844379053917</v>
      </c>
      <c r="G737" s="3" t="str">
        <f t="shared" si="22"/>
        <v>150-199 mi</v>
      </c>
      <c r="H737" s="27">
        <f>IF(RIGHT($B737,1)="P",1,IF(ISNUMBER(SEARCH("HALF GALLON",$C737)),Assumptions!$B$4,IF(ISNUMBER(SEARCH("GALLON",$C737)),Assumptions!$B$3,IF(ISNUMBER(SEARCH("QUART",$C737)),Assumptions!$B$5,IF(ISNUMBER(SEARCH("PINT",$C737)),Assumptions!$B$6,Assumptions!$B$7)))))</f>
        <v>1</v>
      </c>
      <c r="I737" s="27">
        <f t="shared" si="23"/>
        <v>14</v>
      </c>
    </row>
    <row r="738" spans="1:9" x14ac:dyDescent="0.2">
      <c r="A738" s="3" t="s">
        <v>71</v>
      </c>
      <c r="B738" s="3" t="s">
        <v>259</v>
      </c>
      <c r="C738" s="3" t="s">
        <v>260</v>
      </c>
      <c r="D738" s="3" t="s">
        <v>124</v>
      </c>
      <c r="E738" s="4">
        <v>17</v>
      </c>
      <c r="F738" s="5">
        <f>IFERROR(3958.8*ACOS(MIN(1,MAX(-1,SIN(RADIANS('ZIP Coordinates'!$C$2))*SIN(RADIANS(INDEX('ZIP Coordinates'!$C:$C,MATCH($A738,'ZIP Coordinates'!$A:$A,0))))+COS(RADIANS('ZIP Coordinates'!$C$2))*COS(RADIANS(INDEX('ZIP Coordinates'!$C:$C,MATCH($A738,'ZIP Coordinates'!$A:$A,0))))*COS(RADIANS(INDEX('ZIP Coordinates'!$D:$D,MATCH($A738,'ZIP Coordinates'!$A:$A,0))-'ZIP Coordinates'!$D$2))))),"N/A")</f>
        <v>150.27844379053917</v>
      </c>
      <c r="G738" s="3" t="str">
        <f t="shared" si="22"/>
        <v>150-199 mi</v>
      </c>
      <c r="H738" s="27">
        <f>IF(RIGHT($B738,1)="P",1,IF(ISNUMBER(SEARCH("HALF GALLON",$C738)),Assumptions!$B$4,IF(ISNUMBER(SEARCH("GALLON",$C738)),Assumptions!$B$3,IF(ISNUMBER(SEARCH("QUART",$C738)),Assumptions!$B$5,IF(ISNUMBER(SEARCH("PINT",$C738)),Assumptions!$B$6,Assumptions!$B$7)))))</f>
        <v>4</v>
      </c>
      <c r="I738" s="27">
        <f t="shared" si="23"/>
        <v>68</v>
      </c>
    </row>
    <row r="739" spans="1:9" x14ac:dyDescent="0.2">
      <c r="A739" s="3" t="s">
        <v>71</v>
      </c>
      <c r="B739" s="3" t="s">
        <v>261</v>
      </c>
      <c r="C739" s="3" t="s">
        <v>260</v>
      </c>
      <c r="D739" s="3" t="s">
        <v>177</v>
      </c>
      <c r="E739" s="4">
        <v>20</v>
      </c>
      <c r="F739" s="5">
        <f>IFERROR(3958.8*ACOS(MIN(1,MAX(-1,SIN(RADIANS('ZIP Coordinates'!$C$2))*SIN(RADIANS(INDEX('ZIP Coordinates'!$C:$C,MATCH($A739,'ZIP Coordinates'!$A:$A,0))))+COS(RADIANS('ZIP Coordinates'!$C$2))*COS(RADIANS(INDEX('ZIP Coordinates'!$C:$C,MATCH($A739,'ZIP Coordinates'!$A:$A,0))))*COS(RADIANS(INDEX('ZIP Coordinates'!$D:$D,MATCH($A739,'ZIP Coordinates'!$A:$A,0))-'ZIP Coordinates'!$D$2))))),"N/A")</f>
        <v>150.27844379053917</v>
      </c>
      <c r="G739" s="3" t="str">
        <f t="shared" si="22"/>
        <v>150-199 mi</v>
      </c>
      <c r="H739" s="27">
        <f>IF(RIGHT($B739,1)="P",1,IF(ISNUMBER(SEARCH("HALF GALLON",$C739)),Assumptions!$B$4,IF(ISNUMBER(SEARCH("GALLON",$C739)),Assumptions!$B$3,IF(ISNUMBER(SEARCH("QUART",$C739)),Assumptions!$B$5,IF(ISNUMBER(SEARCH("PINT",$C739)),Assumptions!$B$6,Assumptions!$B$7)))))</f>
        <v>1</v>
      </c>
      <c r="I739" s="27">
        <f t="shared" si="23"/>
        <v>20</v>
      </c>
    </row>
    <row r="740" spans="1:9" x14ac:dyDescent="0.2">
      <c r="A740" s="3" t="s">
        <v>71</v>
      </c>
      <c r="B740" s="3" t="s">
        <v>269</v>
      </c>
      <c r="C740" s="3" t="s">
        <v>268</v>
      </c>
      <c r="D740" s="3" t="s">
        <v>101</v>
      </c>
      <c r="E740" s="4">
        <v>12</v>
      </c>
      <c r="F740" s="5">
        <f>IFERROR(3958.8*ACOS(MIN(1,MAX(-1,SIN(RADIANS('ZIP Coordinates'!$C$2))*SIN(RADIANS(INDEX('ZIP Coordinates'!$C:$C,MATCH($A740,'ZIP Coordinates'!$A:$A,0))))+COS(RADIANS('ZIP Coordinates'!$C$2))*COS(RADIANS(INDEX('ZIP Coordinates'!$C:$C,MATCH($A740,'ZIP Coordinates'!$A:$A,0))))*COS(RADIANS(INDEX('ZIP Coordinates'!$D:$D,MATCH($A740,'ZIP Coordinates'!$A:$A,0))-'ZIP Coordinates'!$D$2))))),"N/A")</f>
        <v>150.27844379053917</v>
      </c>
      <c r="G740" s="3" t="str">
        <f t="shared" si="22"/>
        <v>150-199 mi</v>
      </c>
      <c r="H740" s="27">
        <f>IF(RIGHT($B740,1)="P",1,IF(ISNUMBER(SEARCH("HALF GALLON",$C740)),Assumptions!$B$4,IF(ISNUMBER(SEARCH("GALLON",$C740)),Assumptions!$B$3,IF(ISNUMBER(SEARCH("QUART",$C740)),Assumptions!$B$5,IF(ISNUMBER(SEARCH("PINT",$C740)),Assumptions!$B$6,Assumptions!$B$7)))))</f>
        <v>1</v>
      </c>
      <c r="I740" s="27">
        <f t="shared" si="23"/>
        <v>12</v>
      </c>
    </row>
    <row r="741" spans="1:9" x14ac:dyDescent="0.2">
      <c r="A741" s="3" t="s">
        <v>71</v>
      </c>
      <c r="B741" s="3" t="s">
        <v>241</v>
      </c>
      <c r="C741" s="3" t="s">
        <v>242</v>
      </c>
      <c r="D741" s="3" t="s">
        <v>124</v>
      </c>
      <c r="E741" s="4">
        <v>22</v>
      </c>
      <c r="F741" s="5">
        <f>IFERROR(3958.8*ACOS(MIN(1,MAX(-1,SIN(RADIANS('ZIP Coordinates'!$C$2))*SIN(RADIANS(INDEX('ZIP Coordinates'!$C:$C,MATCH($A741,'ZIP Coordinates'!$A:$A,0))))+COS(RADIANS('ZIP Coordinates'!$C$2))*COS(RADIANS(INDEX('ZIP Coordinates'!$C:$C,MATCH($A741,'ZIP Coordinates'!$A:$A,0))))*COS(RADIANS(INDEX('ZIP Coordinates'!$D:$D,MATCH($A741,'ZIP Coordinates'!$A:$A,0))-'ZIP Coordinates'!$D$2))))),"N/A")</f>
        <v>150.27844379053917</v>
      </c>
      <c r="G741" s="3" t="str">
        <f t="shared" si="22"/>
        <v>150-199 mi</v>
      </c>
      <c r="H741" s="27">
        <f>IF(RIGHT($B741,1)="P",1,IF(ISNUMBER(SEARCH("HALF GALLON",$C741)),Assumptions!$B$4,IF(ISNUMBER(SEARCH("GALLON",$C741)),Assumptions!$B$3,IF(ISNUMBER(SEARCH("QUART",$C741)),Assumptions!$B$5,IF(ISNUMBER(SEARCH("PINT",$C741)),Assumptions!$B$6,Assumptions!$B$7)))))</f>
        <v>1</v>
      </c>
      <c r="I741" s="27">
        <f t="shared" si="23"/>
        <v>22</v>
      </c>
    </row>
    <row r="742" spans="1:9" x14ac:dyDescent="0.2">
      <c r="A742" s="3" t="s">
        <v>71</v>
      </c>
      <c r="B742" s="3" t="s">
        <v>243</v>
      </c>
      <c r="C742" s="3" t="s">
        <v>244</v>
      </c>
      <c r="D742" s="3" t="s">
        <v>124</v>
      </c>
      <c r="E742" s="4">
        <v>24</v>
      </c>
      <c r="F742" s="5">
        <f>IFERROR(3958.8*ACOS(MIN(1,MAX(-1,SIN(RADIANS('ZIP Coordinates'!$C$2))*SIN(RADIANS(INDEX('ZIP Coordinates'!$C:$C,MATCH($A742,'ZIP Coordinates'!$A:$A,0))))+COS(RADIANS('ZIP Coordinates'!$C$2))*COS(RADIANS(INDEX('ZIP Coordinates'!$C:$C,MATCH($A742,'ZIP Coordinates'!$A:$A,0))))*COS(RADIANS(INDEX('ZIP Coordinates'!$D:$D,MATCH($A742,'ZIP Coordinates'!$A:$A,0))-'ZIP Coordinates'!$D$2))))),"N/A")</f>
        <v>150.27844379053917</v>
      </c>
      <c r="G742" s="3" t="str">
        <f t="shared" si="22"/>
        <v>150-199 mi</v>
      </c>
      <c r="H742" s="27">
        <f>IF(RIGHT($B742,1)="P",1,IF(ISNUMBER(SEARCH("HALF GALLON",$C742)),Assumptions!$B$4,IF(ISNUMBER(SEARCH("GALLON",$C742)),Assumptions!$B$3,IF(ISNUMBER(SEARCH("QUART",$C742)),Assumptions!$B$5,IF(ISNUMBER(SEARCH("PINT",$C742)),Assumptions!$B$6,Assumptions!$B$7)))))</f>
        <v>1</v>
      </c>
      <c r="I742" s="27">
        <f t="shared" si="23"/>
        <v>24</v>
      </c>
    </row>
    <row r="743" spans="1:9" x14ac:dyDescent="0.2">
      <c r="A743" s="3" t="s">
        <v>71</v>
      </c>
      <c r="B743" s="3" t="s">
        <v>274</v>
      </c>
      <c r="C743" s="3" t="s">
        <v>275</v>
      </c>
      <c r="D743" s="3" t="s">
        <v>101</v>
      </c>
      <c r="E743" s="4">
        <v>14</v>
      </c>
      <c r="F743" s="5">
        <f>IFERROR(3958.8*ACOS(MIN(1,MAX(-1,SIN(RADIANS('ZIP Coordinates'!$C$2))*SIN(RADIANS(INDEX('ZIP Coordinates'!$C:$C,MATCH($A743,'ZIP Coordinates'!$A:$A,0))))+COS(RADIANS('ZIP Coordinates'!$C$2))*COS(RADIANS(INDEX('ZIP Coordinates'!$C:$C,MATCH($A743,'ZIP Coordinates'!$A:$A,0))))*COS(RADIANS(INDEX('ZIP Coordinates'!$D:$D,MATCH($A743,'ZIP Coordinates'!$A:$A,0))-'ZIP Coordinates'!$D$2))))),"N/A")</f>
        <v>150.27844379053917</v>
      </c>
      <c r="G743" s="3" t="str">
        <f t="shared" si="22"/>
        <v>150-199 mi</v>
      </c>
      <c r="H743" s="27">
        <f>IF(RIGHT($B743,1)="P",1,IF(ISNUMBER(SEARCH("HALF GALLON",$C743)),Assumptions!$B$4,IF(ISNUMBER(SEARCH("GALLON",$C743)),Assumptions!$B$3,IF(ISNUMBER(SEARCH("QUART",$C743)),Assumptions!$B$5,IF(ISNUMBER(SEARCH("PINT",$C743)),Assumptions!$B$6,Assumptions!$B$7)))))</f>
        <v>9</v>
      </c>
      <c r="I743" s="27">
        <f t="shared" si="23"/>
        <v>126</v>
      </c>
    </row>
    <row r="744" spans="1:9" x14ac:dyDescent="0.2">
      <c r="A744" s="3" t="s">
        <v>71</v>
      </c>
      <c r="B744" s="3" t="s">
        <v>276</v>
      </c>
      <c r="C744" s="3" t="s">
        <v>275</v>
      </c>
      <c r="D744" s="3" t="s">
        <v>124</v>
      </c>
      <c r="E744" s="4">
        <v>26</v>
      </c>
      <c r="F744" s="5">
        <f>IFERROR(3958.8*ACOS(MIN(1,MAX(-1,SIN(RADIANS('ZIP Coordinates'!$C$2))*SIN(RADIANS(INDEX('ZIP Coordinates'!$C:$C,MATCH($A744,'ZIP Coordinates'!$A:$A,0))))+COS(RADIANS('ZIP Coordinates'!$C$2))*COS(RADIANS(INDEX('ZIP Coordinates'!$C:$C,MATCH($A744,'ZIP Coordinates'!$A:$A,0))))*COS(RADIANS(INDEX('ZIP Coordinates'!$D:$D,MATCH($A744,'ZIP Coordinates'!$A:$A,0))-'ZIP Coordinates'!$D$2))))),"N/A")</f>
        <v>150.27844379053917</v>
      </c>
      <c r="G744" s="3" t="str">
        <f t="shared" si="22"/>
        <v>150-199 mi</v>
      </c>
      <c r="H744" s="27">
        <f>IF(RIGHT($B744,1)="P",1,IF(ISNUMBER(SEARCH("HALF GALLON",$C744)),Assumptions!$B$4,IF(ISNUMBER(SEARCH("GALLON",$C744)),Assumptions!$B$3,IF(ISNUMBER(SEARCH("QUART",$C744)),Assumptions!$B$5,IF(ISNUMBER(SEARCH("PINT",$C744)),Assumptions!$B$6,Assumptions!$B$7)))))</f>
        <v>1</v>
      </c>
      <c r="I744" s="27">
        <f t="shared" si="23"/>
        <v>26</v>
      </c>
    </row>
    <row r="745" spans="1:9" x14ac:dyDescent="0.2">
      <c r="A745" s="3" t="s">
        <v>71</v>
      </c>
      <c r="B745" s="3" t="s">
        <v>247</v>
      </c>
      <c r="C745" s="3" t="s">
        <v>246</v>
      </c>
      <c r="D745" s="3" t="s">
        <v>124</v>
      </c>
      <c r="E745" s="4">
        <v>63</v>
      </c>
      <c r="F745" s="5">
        <f>IFERROR(3958.8*ACOS(MIN(1,MAX(-1,SIN(RADIANS('ZIP Coordinates'!$C$2))*SIN(RADIANS(INDEX('ZIP Coordinates'!$C:$C,MATCH($A745,'ZIP Coordinates'!$A:$A,0))))+COS(RADIANS('ZIP Coordinates'!$C$2))*COS(RADIANS(INDEX('ZIP Coordinates'!$C:$C,MATCH($A745,'ZIP Coordinates'!$A:$A,0))))*COS(RADIANS(INDEX('ZIP Coordinates'!$D:$D,MATCH($A745,'ZIP Coordinates'!$A:$A,0))-'ZIP Coordinates'!$D$2))))),"N/A")</f>
        <v>150.27844379053917</v>
      </c>
      <c r="G745" s="3" t="str">
        <f t="shared" si="22"/>
        <v>150-199 mi</v>
      </c>
      <c r="H745" s="27">
        <f>IF(RIGHT($B745,1)="P",1,IF(ISNUMBER(SEARCH("HALF GALLON",$C745)),Assumptions!$B$4,IF(ISNUMBER(SEARCH("GALLON",$C745)),Assumptions!$B$3,IF(ISNUMBER(SEARCH("QUART",$C745)),Assumptions!$B$5,IF(ISNUMBER(SEARCH("PINT",$C745)),Assumptions!$B$6,Assumptions!$B$7)))))</f>
        <v>1</v>
      </c>
      <c r="I745" s="27">
        <f t="shared" si="23"/>
        <v>63</v>
      </c>
    </row>
    <row r="746" spans="1:9" x14ac:dyDescent="0.2">
      <c r="A746" s="3" t="s">
        <v>71</v>
      </c>
      <c r="B746" s="3" t="s">
        <v>250</v>
      </c>
      <c r="C746" s="3" t="s">
        <v>249</v>
      </c>
      <c r="D746" s="3" t="s">
        <v>124</v>
      </c>
      <c r="E746" s="4">
        <v>11</v>
      </c>
      <c r="F746" s="5">
        <f>IFERROR(3958.8*ACOS(MIN(1,MAX(-1,SIN(RADIANS('ZIP Coordinates'!$C$2))*SIN(RADIANS(INDEX('ZIP Coordinates'!$C:$C,MATCH($A746,'ZIP Coordinates'!$A:$A,0))))+COS(RADIANS('ZIP Coordinates'!$C$2))*COS(RADIANS(INDEX('ZIP Coordinates'!$C:$C,MATCH($A746,'ZIP Coordinates'!$A:$A,0))))*COS(RADIANS(INDEX('ZIP Coordinates'!$D:$D,MATCH($A746,'ZIP Coordinates'!$A:$A,0))-'ZIP Coordinates'!$D$2))))),"N/A")</f>
        <v>150.27844379053917</v>
      </c>
      <c r="G746" s="3" t="str">
        <f t="shared" si="22"/>
        <v>150-199 mi</v>
      </c>
      <c r="H746" s="27">
        <f>IF(RIGHT($B746,1)="P",1,IF(ISNUMBER(SEARCH("HALF GALLON",$C746)),Assumptions!$B$4,IF(ISNUMBER(SEARCH("GALLON",$C746)),Assumptions!$B$3,IF(ISNUMBER(SEARCH("QUART",$C746)),Assumptions!$B$5,IF(ISNUMBER(SEARCH("PINT",$C746)),Assumptions!$B$6,Assumptions!$B$7)))))</f>
        <v>1</v>
      </c>
      <c r="I746" s="27">
        <f t="shared" si="23"/>
        <v>11</v>
      </c>
    </row>
    <row r="747" spans="1:9" x14ac:dyDescent="0.2">
      <c r="A747" s="3" t="s">
        <v>71</v>
      </c>
      <c r="B747" s="3" t="s">
        <v>281</v>
      </c>
      <c r="C747" s="3" t="s">
        <v>252</v>
      </c>
      <c r="D747" s="3" t="s">
        <v>124</v>
      </c>
      <c r="E747" s="4">
        <v>4</v>
      </c>
      <c r="F747" s="5">
        <f>IFERROR(3958.8*ACOS(MIN(1,MAX(-1,SIN(RADIANS('ZIP Coordinates'!$C$2))*SIN(RADIANS(INDEX('ZIP Coordinates'!$C:$C,MATCH($A747,'ZIP Coordinates'!$A:$A,0))))+COS(RADIANS('ZIP Coordinates'!$C$2))*COS(RADIANS(INDEX('ZIP Coordinates'!$C:$C,MATCH($A747,'ZIP Coordinates'!$A:$A,0))))*COS(RADIANS(INDEX('ZIP Coordinates'!$D:$D,MATCH($A747,'ZIP Coordinates'!$A:$A,0))-'ZIP Coordinates'!$D$2))))),"N/A")</f>
        <v>150.27844379053917</v>
      </c>
      <c r="G747" s="3" t="str">
        <f t="shared" si="22"/>
        <v>150-199 mi</v>
      </c>
      <c r="H747" s="27">
        <f>IF(RIGHT($B747,1)="P",1,IF(ISNUMBER(SEARCH("HALF GALLON",$C747)),Assumptions!$B$4,IF(ISNUMBER(SEARCH("GALLON",$C747)),Assumptions!$B$3,IF(ISNUMBER(SEARCH("QUART",$C747)),Assumptions!$B$5,IF(ISNUMBER(SEARCH("PINT",$C747)),Assumptions!$B$6,Assumptions!$B$7)))))</f>
        <v>20</v>
      </c>
      <c r="I747" s="27">
        <f t="shared" si="23"/>
        <v>80</v>
      </c>
    </row>
    <row r="748" spans="1:9" x14ac:dyDescent="0.2">
      <c r="A748" s="3" t="s">
        <v>71</v>
      </c>
      <c r="B748" s="3" t="s">
        <v>251</v>
      </c>
      <c r="C748" s="3" t="s">
        <v>252</v>
      </c>
      <c r="D748" s="3" t="s">
        <v>124</v>
      </c>
      <c r="E748" s="4">
        <v>55</v>
      </c>
      <c r="F748" s="5">
        <f>IFERROR(3958.8*ACOS(MIN(1,MAX(-1,SIN(RADIANS('ZIP Coordinates'!$C$2))*SIN(RADIANS(INDEX('ZIP Coordinates'!$C:$C,MATCH($A748,'ZIP Coordinates'!$A:$A,0))))+COS(RADIANS('ZIP Coordinates'!$C$2))*COS(RADIANS(INDEX('ZIP Coordinates'!$C:$C,MATCH($A748,'ZIP Coordinates'!$A:$A,0))))*COS(RADIANS(INDEX('ZIP Coordinates'!$D:$D,MATCH($A748,'ZIP Coordinates'!$A:$A,0))-'ZIP Coordinates'!$D$2))))),"N/A")</f>
        <v>150.27844379053917</v>
      </c>
      <c r="G748" s="3" t="str">
        <f t="shared" si="22"/>
        <v>150-199 mi</v>
      </c>
      <c r="H748" s="27">
        <f>IF(RIGHT($B748,1)="P",1,IF(ISNUMBER(SEARCH("HALF GALLON",$C748)),Assumptions!$B$4,IF(ISNUMBER(SEARCH("GALLON",$C748)),Assumptions!$B$3,IF(ISNUMBER(SEARCH("QUART",$C748)),Assumptions!$B$5,IF(ISNUMBER(SEARCH("PINT",$C748)),Assumptions!$B$6,Assumptions!$B$7)))))</f>
        <v>1</v>
      </c>
      <c r="I748" s="27">
        <f t="shared" si="23"/>
        <v>55</v>
      </c>
    </row>
    <row r="749" spans="1:9" x14ac:dyDescent="0.2">
      <c r="A749" s="3" t="s">
        <v>71</v>
      </c>
      <c r="B749" s="3" t="s">
        <v>284</v>
      </c>
      <c r="C749" s="3" t="s">
        <v>285</v>
      </c>
      <c r="D749" s="3" t="s">
        <v>124</v>
      </c>
      <c r="E749" s="4">
        <v>9</v>
      </c>
      <c r="F749" s="5">
        <f>IFERROR(3958.8*ACOS(MIN(1,MAX(-1,SIN(RADIANS('ZIP Coordinates'!$C$2))*SIN(RADIANS(INDEX('ZIP Coordinates'!$C:$C,MATCH($A749,'ZIP Coordinates'!$A:$A,0))))+COS(RADIANS('ZIP Coordinates'!$C$2))*COS(RADIANS(INDEX('ZIP Coordinates'!$C:$C,MATCH($A749,'ZIP Coordinates'!$A:$A,0))))*COS(RADIANS(INDEX('ZIP Coordinates'!$D:$D,MATCH($A749,'ZIP Coordinates'!$A:$A,0))-'ZIP Coordinates'!$D$2))))),"N/A")</f>
        <v>150.27844379053917</v>
      </c>
      <c r="G749" s="3" t="str">
        <f t="shared" si="22"/>
        <v>150-199 mi</v>
      </c>
      <c r="H749" s="27">
        <f>IF(RIGHT($B749,1)="P",1,IF(ISNUMBER(SEARCH("HALF GALLON",$C749)),Assumptions!$B$4,IF(ISNUMBER(SEARCH("GALLON",$C749)),Assumptions!$B$3,IF(ISNUMBER(SEARCH("QUART",$C749)),Assumptions!$B$5,IF(ISNUMBER(SEARCH("PINT",$C749)),Assumptions!$B$6,Assumptions!$B$7)))))</f>
        <v>1</v>
      </c>
      <c r="I749" s="27">
        <f t="shared" si="23"/>
        <v>9</v>
      </c>
    </row>
    <row r="750" spans="1:9" x14ac:dyDescent="0.2">
      <c r="A750" s="3" t="s">
        <v>71</v>
      </c>
      <c r="B750" s="3" t="s">
        <v>253</v>
      </c>
      <c r="C750" s="3" t="s">
        <v>254</v>
      </c>
      <c r="D750" s="3" t="s">
        <v>216</v>
      </c>
      <c r="E750" s="4">
        <v>3</v>
      </c>
      <c r="F750" s="5">
        <f>IFERROR(3958.8*ACOS(MIN(1,MAX(-1,SIN(RADIANS('ZIP Coordinates'!$C$2))*SIN(RADIANS(INDEX('ZIP Coordinates'!$C:$C,MATCH($A750,'ZIP Coordinates'!$A:$A,0))))+COS(RADIANS('ZIP Coordinates'!$C$2))*COS(RADIANS(INDEX('ZIP Coordinates'!$C:$C,MATCH($A750,'ZIP Coordinates'!$A:$A,0))))*COS(RADIANS(INDEX('ZIP Coordinates'!$D:$D,MATCH($A750,'ZIP Coordinates'!$A:$A,0))-'ZIP Coordinates'!$D$2))))),"N/A")</f>
        <v>150.27844379053917</v>
      </c>
      <c r="G750" s="3" t="str">
        <f t="shared" si="22"/>
        <v>150-199 mi</v>
      </c>
      <c r="H750" s="27">
        <f>IF(RIGHT($B750,1)="P",1,IF(ISNUMBER(SEARCH("HALF GALLON",$C750)),Assumptions!$B$4,IF(ISNUMBER(SEARCH("GALLON",$C750)),Assumptions!$B$3,IF(ISNUMBER(SEARCH("QUART",$C750)),Assumptions!$B$5,IF(ISNUMBER(SEARCH("PINT",$C750)),Assumptions!$B$6,Assumptions!$B$7)))))</f>
        <v>1</v>
      </c>
      <c r="I750" s="27">
        <f t="shared" si="23"/>
        <v>3</v>
      </c>
    </row>
    <row r="751" spans="1:9" x14ac:dyDescent="0.2">
      <c r="A751" s="3" t="s">
        <v>71</v>
      </c>
      <c r="B751" s="3" t="s">
        <v>286</v>
      </c>
      <c r="C751" s="3" t="s">
        <v>287</v>
      </c>
      <c r="D751" s="3" t="s">
        <v>124</v>
      </c>
      <c r="E751" s="4">
        <v>23</v>
      </c>
      <c r="F751" s="5">
        <f>IFERROR(3958.8*ACOS(MIN(1,MAX(-1,SIN(RADIANS('ZIP Coordinates'!$C$2))*SIN(RADIANS(INDEX('ZIP Coordinates'!$C:$C,MATCH($A751,'ZIP Coordinates'!$A:$A,0))))+COS(RADIANS('ZIP Coordinates'!$C$2))*COS(RADIANS(INDEX('ZIP Coordinates'!$C:$C,MATCH($A751,'ZIP Coordinates'!$A:$A,0))))*COS(RADIANS(INDEX('ZIP Coordinates'!$D:$D,MATCH($A751,'ZIP Coordinates'!$A:$A,0))-'ZIP Coordinates'!$D$2))))),"N/A")</f>
        <v>150.27844379053917</v>
      </c>
      <c r="G751" s="3" t="str">
        <f t="shared" si="22"/>
        <v>150-199 mi</v>
      </c>
      <c r="H751" s="27">
        <f>IF(RIGHT($B751,1)="P",1,IF(ISNUMBER(SEARCH("HALF GALLON",$C751)),Assumptions!$B$4,IF(ISNUMBER(SEARCH("GALLON",$C751)),Assumptions!$B$3,IF(ISNUMBER(SEARCH("QUART",$C751)),Assumptions!$B$5,IF(ISNUMBER(SEARCH("PINT",$C751)),Assumptions!$B$6,Assumptions!$B$7)))))</f>
        <v>9</v>
      </c>
      <c r="I751" s="27">
        <f t="shared" si="23"/>
        <v>207</v>
      </c>
    </row>
    <row r="752" spans="1:9" x14ac:dyDescent="0.2">
      <c r="A752" s="3" t="s">
        <v>71</v>
      </c>
      <c r="B752" s="3" t="s">
        <v>288</v>
      </c>
      <c r="C752" s="3" t="s">
        <v>287</v>
      </c>
      <c r="D752" s="3" t="s">
        <v>124</v>
      </c>
      <c r="E752" s="4">
        <v>16</v>
      </c>
      <c r="F752" s="5">
        <f>IFERROR(3958.8*ACOS(MIN(1,MAX(-1,SIN(RADIANS('ZIP Coordinates'!$C$2))*SIN(RADIANS(INDEX('ZIP Coordinates'!$C:$C,MATCH($A752,'ZIP Coordinates'!$A:$A,0))))+COS(RADIANS('ZIP Coordinates'!$C$2))*COS(RADIANS(INDEX('ZIP Coordinates'!$C:$C,MATCH($A752,'ZIP Coordinates'!$A:$A,0))))*COS(RADIANS(INDEX('ZIP Coordinates'!$D:$D,MATCH($A752,'ZIP Coordinates'!$A:$A,0))-'ZIP Coordinates'!$D$2))))),"N/A")</f>
        <v>150.27844379053917</v>
      </c>
      <c r="G752" s="3" t="str">
        <f t="shared" si="22"/>
        <v>150-199 mi</v>
      </c>
      <c r="H752" s="27">
        <f>IF(RIGHT($B752,1)="P",1,IF(ISNUMBER(SEARCH("HALF GALLON",$C752)),Assumptions!$B$4,IF(ISNUMBER(SEARCH("GALLON",$C752)),Assumptions!$B$3,IF(ISNUMBER(SEARCH("QUART",$C752)),Assumptions!$B$5,IF(ISNUMBER(SEARCH("PINT",$C752)),Assumptions!$B$6,Assumptions!$B$7)))))</f>
        <v>1</v>
      </c>
      <c r="I752" s="27">
        <f t="shared" si="23"/>
        <v>16</v>
      </c>
    </row>
    <row r="753" spans="1:9" x14ac:dyDescent="0.2">
      <c r="A753" s="3" t="s">
        <v>71</v>
      </c>
      <c r="B753" s="3" t="s">
        <v>255</v>
      </c>
      <c r="C753" s="3" t="s">
        <v>256</v>
      </c>
      <c r="D753" s="3" t="s">
        <v>124</v>
      </c>
      <c r="E753" s="4">
        <v>17</v>
      </c>
      <c r="F753" s="5">
        <f>IFERROR(3958.8*ACOS(MIN(1,MAX(-1,SIN(RADIANS('ZIP Coordinates'!$C$2))*SIN(RADIANS(INDEX('ZIP Coordinates'!$C:$C,MATCH($A753,'ZIP Coordinates'!$A:$A,0))))+COS(RADIANS('ZIP Coordinates'!$C$2))*COS(RADIANS(INDEX('ZIP Coordinates'!$C:$C,MATCH($A753,'ZIP Coordinates'!$A:$A,0))))*COS(RADIANS(INDEX('ZIP Coordinates'!$D:$D,MATCH($A753,'ZIP Coordinates'!$A:$A,0))-'ZIP Coordinates'!$D$2))))),"N/A")</f>
        <v>150.27844379053917</v>
      </c>
      <c r="G753" s="3" t="str">
        <f t="shared" si="22"/>
        <v>150-199 mi</v>
      </c>
      <c r="H753" s="27">
        <f>IF(RIGHT($B753,1)="P",1,IF(ISNUMBER(SEARCH("HALF GALLON",$C753)),Assumptions!$B$4,IF(ISNUMBER(SEARCH("GALLON",$C753)),Assumptions!$B$3,IF(ISNUMBER(SEARCH("QUART",$C753)),Assumptions!$B$5,IF(ISNUMBER(SEARCH("PINT",$C753)),Assumptions!$B$6,Assumptions!$B$7)))))</f>
        <v>20</v>
      </c>
      <c r="I753" s="27">
        <f t="shared" si="23"/>
        <v>340</v>
      </c>
    </row>
    <row r="754" spans="1:9" x14ac:dyDescent="0.2">
      <c r="A754" s="3" t="s">
        <v>71</v>
      </c>
      <c r="B754" s="3" t="s">
        <v>257</v>
      </c>
      <c r="C754" s="3" t="s">
        <v>256</v>
      </c>
      <c r="D754" s="3" t="s">
        <v>124</v>
      </c>
      <c r="E754" s="4">
        <v>10</v>
      </c>
      <c r="F754" s="5">
        <f>IFERROR(3958.8*ACOS(MIN(1,MAX(-1,SIN(RADIANS('ZIP Coordinates'!$C$2))*SIN(RADIANS(INDEX('ZIP Coordinates'!$C:$C,MATCH($A754,'ZIP Coordinates'!$A:$A,0))))+COS(RADIANS('ZIP Coordinates'!$C$2))*COS(RADIANS(INDEX('ZIP Coordinates'!$C:$C,MATCH($A754,'ZIP Coordinates'!$A:$A,0))))*COS(RADIANS(INDEX('ZIP Coordinates'!$D:$D,MATCH($A754,'ZIP Coordinates'!$A:$A,0))-'ZIP Coordinates'!$D$2))))),"N/A")</f>
        <v>150.27844379053917</v>
      </c>
      <c r="G754" s="3" t="str">
        <f t="shared" si="22"/>
        <v>150-199 mi</v>
      </c>
      <c r="H754" s="27">
        <f>IF(RIGHT($B754,1)="P",1,IF(ISNUMBER(SEARCH("HALF GALLON",$C754)),Assumptions!$B$4,IF(ISNUMBER(SEARCH("GALLON",$C754)),Assumptions!$B$3,IF(ISNUMBER(SEARCH("QUART",$C754)),Assumptions!$B$5,IF(ISNUMBER(SEARCH("PINT",$C754)),Assumptions!$B$6,Assumptions!$B$7)))))</f>
        <v>1</v>
      </c>
      <c r="I754" s="27">
        <f t="shared" si="23"/>
        <v>10</v>
      </c>
    </row>
    <row r="755" spans="1:9" x14ac:dyDescent="0.2">
      <c r="A755" s="3" t="s">
        <v>72</v>
      </c>
      <c r="B755" s="3" t="s">
        <v>243</v>
      </c>
      <c r="C755" s="3" t="s">
        <v>244</v>
      </c>
      <c r="D755" s="3" t="s">
        <v>210</v>
      </c>
      <c r="E755" s="4">
        <v>1</v>
      </c>
      <c r="F755" s="5">
        <f>IFERROR(3958.8*ACOS(MIN(1,MAX(-1,SIN(RADIANS('ZIP Coordinates'!$C$2))*SIN(RADIANS(INDEX('ZIP Coordinates'!$C:$C,MATCH($A755,'ZIP Coordinates'!$A:$A,0))))+COS(RADIANS('ZIP Coordinates'!$C$2))*COS(RADIANS(INDEX('ZIP Coordinates'!$C:$C,MATCH($A755,'ZIP Coordinates'!$A:$A,0))))*COS(RADIANS(INDEX('ZIP Coordinates'!$D:$D,MATCH($A755,'ZIP Coordinates'!$A:$A,0))-'ZIP Coordinates'!$D$2))))),"N/A")</f>
        <v>145.42497486930591</v>
      </c>
      <c r="G755" s="3" t="str">
        <f t="shared" si="22"/>
        <v>100-149 mi</v>
      </c>
      <c r="H755" s="27">
        <f>IF(RIGHT($B755,1)="P",1,IF(ISNUMBER(SEARCH("HALF GALLON",$C755)),Assumptions!$B$4,IF(ISNUMBER(SEARCH("GALLON",$C755)),Assumptions!$B$3,IF(ISNUMBER(SEARCH("QUART",$C755)),Assumptions!$B$5,IF(ISNUMBER(SEARCH("PINT",$C755)),Assumptions!$B$6,Assumptions!$B$7)))))</f>
        <v>1</v>
      </c>
      <c r="I755" s="27">
        <f t="shared" si="23"/>
        <v>1</v>
      </c>
    </row>
    <row r="756" spans="1:9" x14ac:dyDescent="0.2">
      <c r="A756" s="3" t="s">
        <v>72</v>
      </c>
      <c r="B756" s="3" t="s">
        <v>272</v>
      </c>
      <c r="C756" s="3" t="s">
        <v>273</v>
      </c>
      <c r="D756" s="3" t="s">
        <v>210</v>
      </c>
      <c r="E756" s="4">
        <v>1</v>
      </c>
      <c r="F756" s="5">
        <f>IFERROR(3958.8*ACOS(MIN(1,MAX(-1,SIN(RADIANS('ZIP Coordinates'!$C$2))*SIN(RADIANS(INDEX('ZIP Coordinates'!$C:$C,MATCH($A756,'ZIP Coordinates'!$A:$A,0))))+COS(RADIANS('ZIP Coordinates'!$C$2))*COS(RADIANS(INDEX('ZIP Coordinates'!$C:$C,MATCH($A756,'ZIP Coordinates'!$A:$A,0))))*COS(RADIANS(INDEX('ZIP Coordinates'!$D:$D,MATCH($A756,'ZIP Coordinates'!$A:$A,0))-'ZIP Coordinates'!$D$2))))),"N/A")</f>
        <v>145.42497486930591</v>
      </c>
      <c r="G756" s="3" t="str">
        <f t="shared" si="22"/>
        <v>100-149 mi</v>
      </c>
      <c r="H756" s="27">
        <f>IF(RIGHT($B756,1)="P",1,IF(ISNUMBER(SEARCH("HALF GALLON",$C756)),Assumptions!$B$4,IF(ISNUMBER(SEARCH("GALLON",$C756)),Assumptions!$B$3,IF(ISNUMBER(SEARCH("QUART",$C756)),Assumptions!$B$5,IF(ISNUMBER(SEARCH("PINT",$C756)),Assumptions!$B$6,Assumptions!$B$7)))))</f>
        <v>1</v>
      </c>
      <c r="I756" s="27">
        <f t="shared" si="23"/>
        <v>1</v>
      </c>
    </row>
    <row r="757" spans="1:9" x14ac:dyDescent="0.2">
      <c r="A757" s="3" t="s">
        <v>72</v>
      </c>
      <c r="B757" s="3" t="s">
        <v>272</v>
      </c>
      <c r="C757" s="3" t="s">
        <v>273</v>
      </c>
      <c r="D757" s="3" t="s">
        <v>210</v>
      </c>
      <c r="E757" s="4">
        <v>1</v>
      </c>
      <c r="F757" s="5">
        <f>IFERROR(3958.8*ACOS(MIN(1,MAX(-1,SIN(RADIANS('ZIP Coordinates'!$C$2))*SIN(RADIANS(INDEX('ZIP Coordinates'!$C:$C,MATCH($A757,'ZIP Coordinates'!$A:$A,0))))+COS(RADIANS('ZIP Coordinates'!$C$2))*COS(RADIANS(INDEX('ZIP Coordinates'!$C:$C,MATCH($A757,'ZIP Coordinates'!$A:$A,0))))*COS(RADIANS(INDEX('ZIP Coordinates'!$D:$D,MATCH($A757,'ZIP Coordinates'!$A:$A,0))-'ZIP Coordinates'!$D$2))))),"N/A")</f>
        <v>145.42497486930591</v>
      </c>
      <c r="G757" s="3" t="str">
        <f t="shared" si="22"/>
        <v>100-149 mi</v>
      </c>
      <c r="H757" s="27">
        <f>IF(RIGHT($B757,1)="P",1,IF(ISNUMBER(SEARCH("HALF GALLON",$C757)),Assumptions!$B$4,IF(ISNUMBER(SEARCH("GALLON",$C757)),Assumptions!$B$3,IF(ISNUMBER(SEARCH("QUART",$C757)),Assumptions!$B$5,IF(ISNUMBER(SEARCH("PINT",$C757)),Assumptions!$B$6,Assumptions!$B$7)))))</f>
        <v>1</v>
      </c>
      <c r="I757" s="27">
        <f t="shared" si="23"/>
        <v>1</v>
      </c>
    </row>
    <row r="758" spans="1:9" x14ac:dyDescent="0.2">
      <c r="A758" s="3" t="s">
        <v>72</v>
      </c>
      <c r="B758" s="3" t="s">
        <v>272</v>
      </c>
      <c r="C758" s="3" t="s">
        <v>273</v>
      </c>
      <c r="D758" s="3" t="s">
        <v>210</v>
      </c>
      <c r="E758" s="4">
        <v>1</v>
      </c>
      <c r="F758" s="5">
        <f>IFERROR(3958.8*ACOS(MIN(1,MAX(-1,SIN(RADIANS('ZIP Coordinates'!$C$2))*SIN(RADIANS(INDEX('ZIP Coordinates'!$C:$C,MATCH($A758,'ZIP Coordinates'!$A:$A,0))))+COS(RADIANS('ZIP Coordinates'!$C$2))*COS(RADIANS(INDEX('ZIP Coordinates'!$C:$C,MATCH($A758,'ZIP Coordinates'!$A:$A,0))))*COS(RADIANS(INDEX('ZIP Coordinates'!$D:$D,MATCH($A758,'ZIP Coordinates'!$A:$A,0))-'ZIP Coordinates'!$D$2))))),"N/A")</f>
        <v>145.42497486930591</v>
      </c>
      <c r="G758" s="3" t="str">
        <f t="shared" si="22"/>
        <v>100-149 mi</v>
      </c>
      <c r="H758" s="27">
        <f>IF(RIGHT($B758,1)="P",1,IF(ISNUMBER(SEARCH("HALF GALLON",$C758)),Assumptions!$B$4,IF(ISNUMBER(SEARCH("GALLON",$C758)),Assumptions!$B$3,IF(ISNUMBER(SEARCH("QUART",$C758)),Assumptions!$B$5,IF(ISNUMBER(SEARCH("PINT",$C758)),Assumptions!$B$6,Assumptions!$B$7)))))</f>
        <v>1</v>
      </c>
      <c r="I758" s="27">
        <f t="shared" si="23"/>
        <v>1</v>
      </c>
    </row>
    <row r="759" spans="1:9" x14ac:dyDescent="0.2">
      <c r="A759" s="3" t="s">
        <v>72</v>
      </c>
      <c r="B759" s="3" t="s">
        <v>272</v>
      </c>
      <c r="C759" s="3" t="s">
        <v>273</v>
      </c>
      <c r="D759" s="3" t="s">
        <v>210</v>
      </c>
      <c r="E759" s="4">
        <v>0</v>
      </c>
      <c r="F759" s="5">
        <f>IFERROR(3958.8*ACOS(MIN(1,MAX(-1,SIN(RADIANS('ZIP Coordinates'!$C$2))*SIN(RADIANS(INDEX('ZIP Coordinates'!$C:$C,MATCH($A759,'ZIP Coordinates'!$A:$A,0))))+COS(RADIANS('ZIP Coordinates'!$C$2))*COS(RADIANS(INDEX('ZIP Coordinates'!$C:$C,MATCH($A759,'ZIP Coordinates'!$A:$A,0))))*COS(RADIANS(INDEX('ZIP Coordinates'!$D:$D,MATCH($A759,'ZIP Coordinates'!$A:$A,0))-'ZIP Coordinates'!$D$2))))),"N/A")</f>
        <v>145.42497486930591</v>
      </c>
      <c r="G759" s="3" t="str">
        <f t="shared" si="22"/>
        <v>100-149 mi</v>
      </c>
      <c r="H759" s="27">
        <f>IF(RIGHT($B759,1)="P",1,IF(ISNUMBER(SEARCH("HALF GALLON",$C759)),Assumptions!$B$4,IF(ISNUMBER(SEARCH("GALLON",$C759)),Assumptions!$B$3,IF(ISNUMBER(SEARCH("QUART",$C759)),Assumptions!$B$5,IF(ISNUMBER(SEARCH("PINT",$C759)),Assumptions!$B$6,Assumptions!$B$7)))))</f>
        <v>1</v>
      </c>
      <c r="I759" s="27">
        <f t="shared" si="23"/>
        <v>0</v>
      </c>
    </row>
    <row r="760" spans="1:9" x14ac:dyDescent="0.2">
      <c r="A760" s="3" t="s">
        <v>72</v>
      </c>
      <c r="B760" s="3" t="s">
        <v>272</v>
      </c>
      <c r="C760" s="3" t="s">
        <v>273</v>
      </c>
      <c r="D760" s="3" t="s">
        <v>210</v>
      </c>
      <c r="E760" s="4">
        <v>1</v>
      </c>
      <c r="F760" s="5">
        <f>IFERROR(3958.8*ACOS(MIN(1,MAX(-1,SIN(RADIANS('ZIP Coordinates'!$C$2))*SIN(RADIANS(INDEX('ZIP Coordinates'!$C:$C,MATCH($A760,'ZIP Coordinates'!$A:$A,0))))+COS(RADIANS('ZIP Coordinates'!$C$2))*COS(RADIANS(INDEX('ZIP Coordinates'!$C:$C,MATCH($A760,'ZIP Coordinates'!$A:$A,0))))*COS(RADIANS(INDEX('ZIP Coordinates'!$D:$D,MATCH($A760,'ZIP Coordinates'!$A:$A,0))-'ZIP Coordinates'!$D$2))))),"N/A")</f>
        <v>145.42497486930591</v>
      </c>
      <c r="G760" s="3" t="str">
        <f t="shared" si="22"/>
        <v>100-149 mi</v>
      </c>
      <c r="H760" s="27">
        <f>IF(RIGHT($B760,1)="P",1,IF(ISNUMBER(SEARCH("HALF GALLON",$C760)),Assumptions!$B$4,IF(ISNUMBER(SEARCH("GALLON",$C760)),Assumptions!$B$3,IF(ISNUMBER(SEARCH("QUART",$C760)),Assumptions!$B$5,IF(ISNUMBER(SEARCH("PINT",$C760)),Assumptions!$B$6,Assumptions!$B$7)))))</f>
        <v>1</v>
      </c>
      <c r="I760" s="27">
        <f t="shared" si="23"/>
        <v>1</v>
      </c>
    </row>
    <row r="761" spans="1:9" x14ac:dyDescent="0.2">
      <c r="A761" s="3" t="s">
        <v>73</v>
      </c>
      <c r="B761" s="3" t="s">
        <v>270</v>
      </c>
      <c r="C761" s="3" t="s">
        <v>242</v>
      </c>
      <c r="D761" s="3" t="s">
        <v>131</v>
      </c>
      <c r="E761" s="4">
        <v>106</v>
      </c>
      <c r="F761" s="5">
        <f>IFERROR(3958.8*ACOS(MIN(1,MAX(-1,SIN(RADIANS('ZIP Coordinates'!$C$2))*SIN(RADIANS(INDEX('ZIP Coordinates'!$C:$C,MATCH($A761,'ZIP Coordinates'!$A:$A,0))))+COS(RADIANS('ZIP Coordinates'!$C$2))*COS(RADIANS(INDEX('ZIP Coordinates'!$C:$C,MATCH($A761,'ZIP Coordinates'!$A:$A,0))))*COS(RADIANS(INDEX('ZIP Coordinates'!$D:$D,MATCH($A761,'ZIP Coordinates'!$A:$A,0))-'ZIP Coordinates'!$D$2))))),"N/A")</f>
        <v>142.69042239079656</v>
      </c>
      <c r="G761" s="3" t="str">
        <f t="shared" si="22"/>
        <v>100-149 mi</v>
      </c>
      <c r="H761" s="27">
        <f>IF(RIGHT($B761,1)="P",1,IF(ISNUMBER(SEARCH("HALF GALLON",$C761)),Assumptions!$B$4,IF(ISNUMBER(SEARCH("GALLON",$C761)),Assumptions!$B$3,IF(ISNUMBER(SEARCH("QUART",$C761)),Assumptions!$B$5,IF(ISNUMBER(SEARCH("PINT",$C761)),Assumptions!$B$6,Assumptions!$B$7)))))</f>
        <v>9</v>
      </c>
      <c r="I761" s="27">
        <f t="shared" si="23"/>
        <v>954</v>
      </c>
    </row>
    <row r="762" spans="1:9" x14ac:dyDescent="0.2">
      <c r="A762" s="3" t="s">
        <v>73</v>
      </c>
      <c r="B762" s="3" t="s">
        <v>274</v>
      </c>
      <c r="C762" s="3" t="s">
        <v>275</v>
      </c>
      <c r="D762" s="3" t="s">
        <v>131</v>
      </c>
      <c r="E762" s="4">
        <v>75</v>
      </c>
      <c r="F762" s="5">
        <f>IFERROR(3958.8*ACOS(MIN(1,MAX(-1,SIN(RADIANS('ZIP Coordinates'!$C$2))*SIN(RADIANS(INDEX('ZIP Coordinates'!$C:$C,MATCH($A762,'ZIP Coordinates'!$A:$A,0))))+COS(RADIANS('ZIP Coordinates'!$C$2))*COS(RADIANS(INDEX('ZIP Coordinates'!$C:$C,MATCH($A762,'ZIP Coordinates'!$A:$A,0))))*COS(RADIANS(INDEX('ZIP Coordinates'!$D:$D,MATCH($A762,'ZIP Coordinates'!$A:$A,0))-'ZIP Coordinates'!$D$2))))),"N/A")</f>
        <v>142.69042239079656</v>
      </c>
      <c r="G762" s="3" t="str">
        <f t="shared" si="22"/>
        <v>100-149 mi</v>
      </c>
      <c r="H762" s="27">
        <f>IF(RIGHT($B762,1)="P",1,IF(ISNUMBER(SEARCH("HALF GALLON",$C762)),Assumptions!$B$4,IF(ISNUMBER(SEARCH("GALLON",$C762)),Assumptions!$B$3,IF(ISNUMBER(SEARCH("QUART",$C762)),Assumptions!$B$5,IF(ISNUMBER(SEARCH("PINT",$C762)),Assumptions!$B$6,Assumptions!$B$7)))))</f>
        <v>9</v>
      </c>
      <c r="I762" s="27">
        <f t="shared" si="23"/>
        <v>675</v>
      </c>
    </row>
    <row r="763" spans="1:9" x14ac:dyDescent="0.2">
      <c r="A763" s="3" t="s">
        <v>73</v>
      </c>
      <c r="B763" s="3" t="s">
        <v>276</v>
      </c>
      <c r="C763" s="3" t="s">
        <v>275</v>
      </c>
      <c r="D763" s="3" t="s">
        <v>131</v>
      </c>
      <c r="E763" s="4">
        <v>8</v>
      </c>
      <c r="F763" s="5">
        <f>IFERROR(3958.8*ACOS(MIN(1,MAX(-1,SIN(RADIANS('ZIP Coordinates'!$C$2))*SIN(RADIANS(INDEX('ZIP Coordinates'!$C:$C,MATCH($A763,'ZIP Coordinates'!$A:$A,0))))+COS(RADIANS('ZIP Coordinates'!$C$2))*COS(RADIANS(INDEX('ZIP Coordinates'!$C:$C,MATCH($A763,'ZIP Coordinates'!$A:$A,0))))*COS(RADIANS(INDEX('ZIP Coordinates'!$D:$D,MATCH($A763,'ZIP Coordinates'!$A:$A,0))-'ZIP Coordinates'!$D$2))))),"N/A")</f>
        <v>142.69042239079656</v>
      </c>
      <c r="G763" s="3" t="str">
        <f t="shared" si="22"/>
        <v>100-149 mi</v>
      </c>
      <c r="H763" s="27">
        <f>IF(RIGHT($B763,1)="P",1,IF(ISNUMBER(SEARCH("HALF GALLON",$C763)),Assumptions!$B$4,IF(ISNUMBER(SEARCH("GALLON",$C763)),Assumptions!$B$3,IF(ISNUMBER(SEARCH("QUART",$C763)),Assumptions!$B$5,IF(ISNUMBER(SEARCH("PINT",$C763)),Assumptions!$B$6,Assumptions!$B$7)))))</f>
        <v>1</v>
      </c>
      <c r="I763" s="27">
        <f t="shared" si="23"/>
        <v>8</v>
      </c>
    </row>
    <row r="764" spans="1:9" x14ac:dyDescent="0.2">
      <c r="A764" s="3" t="s">
        <v>73</v>
      </c>
      <c r="B764" s="3" t="s">
        <v>290</v>
      </c>
      <c r="C764" s="3" t="s">
        <v>278</v>
      </c>
      <c r="D764" s="3" t="s">
        <v>226</v>
      </c>
      <c r="E764" s="4">
        <v>0</v>
      </c>
      <c r="F764" s="5">
        <f>IFERROR(3958.8*ACOS(MIN(1,MAX(-1,SIN(RADIANS('ZIP Coordinates'!$C$2))*SIN(RADIANS(INDEX('ZIP Coordinates'!$C:$C,MATCH($A764,'ZIP Coordinates'!$A:$A,0))))+COS(RADIANS('ZIP Coordinates'!$C$2))*COS(RADIANS(INDEX('ZIP Coordinates'!$C:$C,MATCH($A764,'ZIP Coordinates'!$A:$A,0))))*COS(RADIANS(INDEX('ZIP Coordinates'!$D:$D,MATCH($A764,'ZIP Coordinates'!$A:$A,0))-'ZIP Coordinates'!$D$2))))),"N/A")</f>
        <v>142.69042239079656</v>
      </c>
      <c r="G764" s="3" t="str">
        <f t="shared" si="22"/>
        <v>100-149 mi</v>
      </c>
      <c r="H764" s="27">
        <f>IF(RIGHT($B764,1)="P",1,IF(ISNUMBER(SEARCH("HALF GALLON",$C764)),Assumptions!$B$4,IF(ISNUMBER(SEARCH("GALLON",$C764)),Assumptions!$B$3,IF(ISNUMBER(SEARCH("QUART",$C764)),Assumptions!$B$5,IF(ISNUMBER(SEARCH("PINT",$C764)),Assumptions!$B$6,Assumptions!$B$7)))))</f>
        <v>9</v>
      </c>
      <c r="I764" s="27">
        <f t="shared" si="23"/>
        <v>0</v>
      </c>
    </row>
    <row r="765" spans="1:9" x14ac:dyDescent="0.2">
      <c r="A765" s="3" t="s">
        <v>73</v>
      </c>
      <c r="B765" s="3" t="s">
        <v>277</v>
      </c>
      <c r="C765" s="3" t="s">
        <v>278</v>
      </c>
      <c r="D765" s="3" t="s">
        <v>226</v>
      </c>
      <c r="E765" s="4">
        <v>0</v>
      </c>
      <c r="F765" s="5">
        <f>IFERROR(3958.8*ACOS(MIN(1,MAX(-1,SIN(RADIANS('ZIP Coordinates'!$C$2))*SIN(RADIANS(INDEX('ZIP Coordinates'!$C:$C,MATCH($A765,'ZIP Coordinates'!$A:$A,0))))+COS(RADIANS('ZIP Coordinates'!$C$2))*COS(RADIANS(INDEX('ZIP Coordinates'!$C:$C,MATCH($A765,'ZIP Coordinates'!$A:$A,0))))*COS(RADIANS(INDEX('ZIP Coordinates'!$D:$D,MATCH($A765,'ZIP Coordinates'!$A:$A,0))-'ZIP Coordinates'!$D$2))))),"N/A")</f>
        <v>142.69042239079656</v>
      </c>
      <c r="G765" s="3" t="str">
        <f t="shared" si="22"/>
        <v>100-149 mi</v>
      </c>
      <c r="H765" s="27">
        <f>IF(RIGHT($B765,1)="P",1,IF(ISNUMBER(SEARCH("HALF GALLON",$C765)),Assumptions!$B$4,IF(ISNUMBER(SEARCH("GALLON",$C765)),Assumptions!$B$3,IF(ISNUMBER(SEARCH("QUART",$C765)),Assumptions!$B$5,IF(ISNUMBER(SEARCH("PINT",$C765)),Assumptions!$B$6,Assumptions!$B$7)))))</f>
        <v>1</v>
      </c>
      <c r="I765" s="27">
        <f t="shared" si="23"/>
        <v>0</v>
      </c>
    </row>
    <row r="766" spans="1:9" x14ac:dyDescent="0.2">
      <c r="A766" s="3" t="s">
        <v>73</v>
      </c>
      <c r="B766" s="3" t="s">
        <v>279</v>
      </c>
      <c r="C766" s="3" t="s">
        <v>280</v>
      </c>
      <c r="D766" s="3" t="s">
        <v>120</v>
      </c>
      <c r="E766" s="4">
        <v>378</v>
      </c>
      <c r="F766" s="5">
        <f>IFERROR(3958.8*ACOS(MIN(1,MAX(-1,SIN(RADIANS('ZIP Coordinates'!$C$2))*SIN(RADIANS(INDEX('ZIP Coordinates'!$C:$C,MATCH($A766,'ZIP Coordinates'!$A:$A,0))))+COS(RADIANS('ZIP Coordinates'!$C$2))*COS(RADIANS(INDEX('ZIP Coordinates'!$C:$C,MATCH($A766,'ZIP Coordinates'!$A:$A,0))))*COS(RADIANS(INDEX('ZIP Coordinates'!$D:$D,MATCH($A766,'ZIP Coordinates'!$A:$A,0))-'ZIP Coordinates'!$D$2))))),"N/A")</f>
        <v>142.69042239079656</v>
      </c>
      <c r="G766" s="3" t="str">
        <f t="shared" si="22"/>
        <v>100-149 mi</v>
      </c>
      <c r="H766" s="27">
        <f>IF(RIGHT($B766,1)="P",1,IF(ISNUMBER(SEARCH("HALF GALLON",$C766)),Assumptions!$B$4,IF(ISNUMBER(SEARCH("GALLON",$C766)),Assumptions!$B$3,IF(ISNUMBER(SEARCH("QUART",$C766)),Assumptions!$B$5,IF(ISNUMBER(SEARCH("PINT",$C766)),Assumptions!$B$6,Assumptions!$B$7)))))</f>
        <v>1</v>
      </c>
      <c r="I766" s="27">
        <f t="shared" si="23"/>
        <v>378</v>
      </c>
    </row>
    <row r="767" spans="1:9" x14ac:dyDescent="0.2">
      <c r="A767" s="3" t="s">
        <v>73</v>
      </c>
      <c r="B767" s="3" t="s">
        <v>245</v>
      </c>
      <c r="C767" s="3" t="s">
        <v>246</v>
      </c>
      <c r="D767" s="3" t="s">
        <v>224</v>
      </c>
      <c r="E767" s="4">
        <v>1</v>
      </c>
      <c r="F767" s="5">
        <f>IFERROR(3958.8*ACOS(MIN(1,MAX(-1,SIN(RADIANS('ZIP Coordinates'!$C$2))*SIN(RADIANS(INDEX('ZIP Coordinates'!$C:$C,MATCH($A767,'ZIP Coordinates'!$A:$A,0))))+COS(RADIANS('ZIP Coordinates'!$C$2))*COS(RADIANS(INDEX('ZIP Coordinates'!$C:$C,MATCH($A767,'ZIP Coordinates'!$A:$A,0))))*COS(RADIANS(INDEX('ZIP Coordinates'!$D:$D,MATCH($A767,'ZIP Coordinates'!$A:$A,0))-'ZIP Coordinates'!$D$2))))),"N/A")</f>
        <v>142.69042239079656</v>
      </c>
      <c r="G767" s="3" t="str">
        <f t="shared" si="22"/>
        <v>100-149 mi</v>
      </c>
      <c r="H767" s="27">
        <f>IF(RIGHT($B767,1)="P",1,IF(ISNUMBER(SEARCH("HALF GALLON",$C767)),Assumptions!$B$4,IF(ISNUMBER(SEARCH("GALLON",$C767)),Assumptions!$B$3,IF(ISNUMBER(SEARCH("QUART",$C767)),Assumptions!$B$5,IF(ISNUMBER(SEARCH("PINT",$C767)),Assumptions!$B$6,Assumptions!$B$7)))))</f>
        <v>20</v>
      </c>
      <c r="I767" s="27">
        <f t="shared" si="23"/>
        <v>20</v>
      </c>
    </row>
    <row r="768" spans="1:9" x14ac:dyDescent="0.2">
      <c r="A768" s="3" t="s">
        <v>73</v>
      </c>
      <c r="B768" s="3" t="s">
        <v>247</v>
      </c>
      <c r="C768" s="3" t="s">
        <v>246</v>
      </c>
      <c r="D768" s="3" t="s">
        <v>200</v>
      </c>
      <c r="E768" s="4">
        <v>10</v>
      </c>
      <c r="F768" s="5">
        <f>IFERROR(3958.8*ACOS(MIN(1,MAX(-1,SIN(RADIANS('ZIP Coordinates'!$C$2))*SIN(RADIANS(INDEX('ZIP Coordinates'!$C:$C,MATCH($A768,'ZIP Coordinates'!$A:$A,0))))+COS(RADIANS('ZIP Coordinates'!$C$2))*COS(RADIANS(INDEX('ZIP Coordinates'!$C:$C,MATCH($A768,'ZIP Coordinates'!$A:$A,0))))*COS(RADIANS(INDEX('ZIP Coordinates'!$D:$D,MATCH($A768,'ZIP Coordinates'!$A:$A,0))-'ZIP Coordinates'!$D$2))))),"N/A")</f>
        <v>142.69042239079656</v>
      </c>
      <c r="G768" s="3" t="str">
        <f t="shared" si="22"/>
        <v>100-149 mi</v>
      </c>
      <c r="H768" s="27">
        <f>IF(RIGHT($B768,1)="P",1,IF(ISNUMBER(SEARCH("HALF GALLON",$C768)),Assumptions!$B$4,IF(ISNUMBER(SEARCH("GALLON",$C768)),Assumptions!$B$3,IF(ISNUMBER(SEARCH("QUART",$C768)),Assumptions!$B$5,IF(ISNUMBER(SEARCH("PINT",$C768)),Assumptions!$B$6,Assumptions!$B$7)))))</f>
        <v>1</v>
      </c>
      <c r="I768" s="27">
        <f t="shared" si="23"/>
        <v>10</v>
      </c>
    </row>
    <row r="769" spans="1:9" x14ac:dyDescent="0.2">
      <c r="A769" s="3" t="s">
        <v>73</v>
      </c>
      <c r="B769" s="3" t="s">
        <v>251</v>
      </c>
      <c r="C769" s="3" t="s">
        <v>252</v>
      </c>
      <c r="D769" s="3" t="s">
        <v>199</v>
      </c>
      <c r="E769" s="4">
        <v>10</v>
      </c>
      <c r="F769" s="5">
        <f>IFERROR(3958.8*ACOS(MIN(1,MAX(-1,SIN(RADIANS('ZIP Coordinates'!$C$2))*SIN(RADIANS(INDEX('ZIP Coordinates'!$C:$C,MATCH($A769,'ZIP Coordinates'!$A:$A,0))))+COS(RADIANS('ZIP Coordinates'!$C$2))*COS(RADIANS(INDEX('ZIP Coordinates'!$C:$C,MATCH($A769,'ZIP Coordinates'!$A:$A,0))))*COS(RADIANS(INDEX('ZIP Coordinates'!$D:$D,MATCH($A769,'ZIP Coordinates'!$A:$A,0))-'ZIP Coordinates'!$D$2))))),"N/A")</f>
        <v>142.69042239079656</v>
      </c>
      <c r="G769" s="3" t="str">
        <f t="shared" si="22"/>
        <v>100-149 mi</v>
      </c>
      <c r="H769" s="27">
        <f>IF(RIGHT($B769,1)="P",1,IF(ISNUMBER(SEARCH("HALF GALLON",$C769)),Assumptions!$B$4,IF(ISNUMBER(SEARCH("GALLON",$C769)),Assumptions!$B$3,IF(ISNUMBER(SEARCH("QUART",$C769)),Assumptions!$B$5,IF(ISNUMBER(SEARCH("PINT",$C769)),Assumptions!$B$6,Assumptions!$B$7)))))</f>
        <v>1</v>
      </c>
      <c r="I769" s="27">
        <f t="shared" si="23"/>
        <v>10</v>
      </c>
    </row>
    <row r="770" spans="1:9" x14ac:dyDescent="0.2">
      <c r="A770" s="3" t="s">
        <v>73</v>
      </c>
      <c r="B770" s="3" t="s">
        <v>286</v>
      </c>
      <c r="C770" s="3" t="s">
        <v>287</v>
      </c>
      <c r="D770" s="3" t="s">
        <v>199</v>
      </c>
      <c r="E770" s="4">
        <v>1</v>
      </c>
      <c r="F770" s="5">
        <f>IFERROR(3958.8*ACOS(MIN(1,MAX(-1,SIN(RADIANS('ZIP Coordinates'!$C$2))*SIN(RADIANS(INDEX('ZIP Coordinates'!$C:$C,MATCH($A770,'ZIP Coordinates'!$A:$A,0))))+COS(RADIANS('ZIP Coordinates'!$C$2))*COS(RADIANS(INDEX('ZIP Coordinates'!$C:$C,MATCH($A770,'ZIP Coordinates'!$A:$A,0))))*COS(RADIANS(INDEX('ZIP Coordinates'!$D:$D,MATCH($A770,'ZIP Coordinates'!$A:$A,0))-'ZIP Coordinates'!$D$2))))),"N/A")</f>
        <v>142.69042239079656</v>
      </c>
      <c r="G770" s="3" t="str">
        <f t="shared" ref="G770:G833" si="24">IF($F770="N/A","Unknown",IF($F770&lt;50,"0-49 mi",IF($F770&lt;100,"50-99 mi",IF($F770&lt;150,"100-149 mi",IF($F770&lt;200,"150-199 mi","200+ mi")))))</f>
        <v>100-149 mi</v>
      </c>
      <c r="H770" s="27">
        <f>IF(RIGHT($B770,1)="P",1,IF(ISNUMBER(SEARCH("HALF GALLON",$C770)),Assumptions!$B$4,IF(ISNUMBER(SEARCH("GALLON",$C770)),Assumptions!$B$3,IF(ISNUMBER(SEARCH("QUART",$C770)),Assumptions!$B$5,IF(ISNUMBER(SEARCH("PINT",$C770)),Assumptions!$B$6,Assumptions!$B$7)))))</f>
        <v>9</v>
      </c>
      <c r="I770" s="27">
        <f t="shared" si="23"/>
        <v>9</v>
      </c>
    </row>
    <row r="771" spans="1:9" x14ac:dyDescent="0.2">
      <c r="A771" s="3" t="s">
        <v>73</v>
      </c>
      <c r="B771" s="3" t="s">
        <v>257</v>
      </c>
      <c r="C771" s="3" t="s">
        <v>256</v>
      </c>
      <c r="D771" s="3" t="s">
        <v>157</v>
      </c>
      <c r="E771" s="4">
        <v>93</v>
      </c>
      <c r="F771" s="5">
        <f>IFERROR(3958.8*ACOS(MIN(1,MAX(-1,SIN(RADIANS('ZIP Coordinates'!$C$2))*SIN(RADIANS(INDEX('ZIP Coordinates'!$C:$C,MATCH($A771,'ZIP Coordinates'!$A:$A,0))))+COS(RADIANS('ZIP Coordinates'!$C$2))*COS(RADIANS(INDEX('ZIP Coordinates'!$C:$C,MATCH($A771,'ZIP Coordinates'!$A:$A,0))))*COS(RADIANS(INDEX('ZIP Coordinates'!$D:$D,MATCH($A771,'ZIP Coordinates'!$A:$A,0))-'ZIP Coordinates'!$D$2))))),"N/A")</f>
        <v>142.69042239079656</v>
      </c>
      <c r="G771" s="3" t="str">
        <f t="shared" si="24"/>
        <v>100-149 mi</v>
      </c>
      <c r="H771" s="27">
        <f>IF(RIGHT($B771,1)="P",1,IF(ISNUMBER(SEARCH("HALF GALLON",$C771)),Assumptions!$B$4,IF(ISNUMBER(SEARCH("GALLON",$C771)),Assumptions!$B$3,IF(ISNUMBER(SEARCH("QUART",$C771)),Assumptions!$B$5,IF(ISNUMBER(SEARCH("PINT",$C771)),Assumptions!$B$6,Assumptions!$B$7)))))</f>
        <v>1</v>
      </c>
      <c r="I771" s="27">
        <f t="shared" ref="I771:I834" si="25">$E771*$H771</f>
        <v>93</v>
      </c>
    </row>
    <row r="772" spans="1:9" x14ac:dyDescent="0.2">
      <c r="A772" s="3" t="s">
        <v>74</v>
      </c>
      <c r="B772" s="3" t="s">
        <v>297</v>
      </c>
      <c r="C772" s="3" t="s">
        <v>254</v>
      </c>
      <c r="D772" s="3" t="s">
        <v>188</v>
      </c>
      <c r="E772" s="4">
        <v>18</v>
      </c>
      <c r="F772" s="5">
        <f>IFERROR(3958.8*ACOS(MIN(1,MAX(-1,SIN(RADIANS('ZIP Coordinates'!$C$2))*SIN(RADIANS(INDEX('ZIP Coordinates'!$C:$C,MATCH($A772,'ZIP Coordinates'!$A:$A,0))))+COS(RADIANS('ZIP Coordinates'!$C$2))*COS(RADIANS(INDEX('ZIP Coordinates'!$C:$C,MATCH($A772,'ZIP Coordinates'!$A:$A,0))))*COS(RADIANS(INDEX('ZIP Coordinates'!$D:$D,MATCH($A772,'ZIP Coordinates'!$A:$A,0))-'ZIP Coordinates'!$D$2))))),"N/A")</f>
        <v>155.35376445370031</v>
      </c>
      <c r="G772" s="3" t="str">
        <f t="shared" si="24"/>
        <v>150-199 mi</v>
      </c>
      <c r="H772" s="27">
        <f>IF(RIGHT($B772,1)="P",1,IF(ISNUMBER(SEARCH("HALF GALLON",$C772)),Assumptions!$B$4,IF(ISNUMBER(SEARCH("GALLON",$C772)),Assumptions!$B$3,IF(ISNUMBER(SEARCH("QUART",$C772)),Assumptions!$B$5,IF(ISNUMBER(SEARCH("PINT",$C772)),Assumptions!$B$6,Assumptions!$B$7)))))</f>
        <v>9</v>
      </c>
      <c r="I772" s="27">
        <f t="shared" si="25"/>
        <v>162</v>
      </c>
    </row>
    <row r="773" spans="1:9" x14ac:dyDescent="0.2">
      <c r="A773" s="3" t="s">
        <v>74</v>
      </c>
      <c r="B773" s="3" t="s">
        <v>253</v>
      </c>
      <c r="C773" s="3" t="s">
        <v>254</v>
      </c>
      <c r="D773" s="3" t="s">
        <v>196</v>
      </c>
      <c r="E773" s="4">
        <v>13</v>
      </c>
      <c r="F773" s="5">
        <f>IFERROR(3958.8*ACOS(MIN(1,MAX(-1,SIN(RADIANS('ZIP Coordinates'!$C$2))*SIN(RADIANS(INDEX('ZIP Coordinates'!$C:$C,MATCH($A773,'ZIP Coordinates'!$A:$A,0))))+COS(RADIANS('ZIP Coordinates'!$C$2))*COS(RADIANS(INDEX('ZIP Coordinates'!$C:$C,MATCH($A773,'ZIP Coordinates'!$A:$A,0))))*COS(RADIANS(INDEX('ZIP Coordinates'!$D:$D,MATCH($A773,'ZIP Coordinates'!$A:$A,0))-'ZIP Coordinates'!$D$2))))),"N/A")</f>
        <v>155.35376445370031</v>
      </c>
      <c r="G773" s="3" t="str">
        <f t="shared" si="24"/>
        <v>150-199 mi</v>
      </c>
      <c r="H773" s="27">
        <f>IF(RIGHT($B773,1)="P",1,IF(ISNUMBER(SEARCH("HALF GALLON",$C773)),Assumptions!$B$4,IF(ISNUMBER(SEARCH("GALLON",$C773)),Assumptions!$B$3,IF(ISNUMBER(SEARCH("QUART",$C773)),Assumptions!$B$5,IF(ISNUMBER(SEARCH("PINT",$C773)),Assumptions!$B$6,Assumptions!$B$7)))))</f>
        <v>1</v>
      </c>
      <c r="I773" s="27">
        <f t="shared" si="25"/>
        <v>13</v>
      </c>
    </row>
    <row r="774" spans="1:9" x14ac:dyDescent="0.2">
      <c r="A774" s="3" t="s">
        <v>75</v>
      </c>
      <c r="B774" s="3" t="s">
        <v>250</v>
      </c>
      <c r="C774" s="3" t="s">
        <v>249</v>
      </c>
      <c r="D774" s="3" t="s">
        <v>148</v>
      </c>
      <c r="E774" s="4">
        <v>6</v>
      </c>
      <c r="F774" s="5">
        <f>IFERROR(3958.8*ACOS(MIN(1,MAX(-1,SIN(RADIANS('ZIP Coordinates'!$C$2))*SIN(RADIANS(INDEX('ZIP Coordinates'!$C:$C,MATCH($A774,'ZIP Coordinates'!$A:$A,0))))+COS(RADIANS('ZIP Coordinates'!$C$2))*COS(RADIANS(INDEX('ZIP Coordinates'!$C:$C,MATCH($A774,'ZIP Coordinates'!$A:$A,0))))*COS(RADIANS(INDEX('ZIP Coordinates'!$D:$D,MATCH($A774,'ZIP Coordinates'!$A:$A,0))-'ZIP Coordinates'!$D$2))))),"N/A")</f>
        <v>138.87185285994119</v>
      </c>
      <c r="G774" s="3" t="str">
        <f t="shared" si="24"/>
        <v>100-149 mi</v>
      </c>
      <c r="H774" s="27">
        <f>IF(RIGHT($B774,1)="P",1,IF(ISNUMBER(SEARCH("HALF GALLON",$C774)),Assumptions!$B$4,IF(ISNUMBER(SEARCH("GALLON",$C774)),Assumptions!$B$3,IF(ISNUMBER(SEARCH("QUART",$C774)),Assumptions!$B$5,IF(ISNUMBER(SEARCH("PINT",$C774)),Assumptions!$B$6,Assumptions!$B$7)))))</f>
        <v>1</v>
      </c>
      <c r="I774" s="27">
        <f t="shared" si="25"/>
        <v>6</v>
      </c>
    </row>
    <row r="775" spans="1:9" x14ac:dyDescent="0.2">
      <c r="A775" s="3" t="s">
        <v>75</v>
      </c>
      <c r="B775" s="3" t="s">
        <v>250</v>
      </c>
      <c r="C775" s="3" t="s">
        <v>249</v>
      </c>
      <c r="D775" s="3" t="s">
        <v>148</v>
      </c>
      <c r="E775" s="4">
        <v>12</v>
      </c>
      <c r="F775" s="5">
        <f>IFERROR(3958.8*ACOS(MIN(1,MAX(-1,SIN(RADIANS('ZIP Coordinates'!$C$2))*SIN(RADIANS(INDEX('ZIP Coordinates'!$C:$C,MATCH($A775,'ZIP Coordinates'!$A:$A,0))))+COS(RADIANS('ZIP Coordinates'!$C$2))*COS(RADIANS(INDEX('ZIP Coordinates'!$C:$C,MATCH($A775,'ZIP Coordinates'!$A:$A,0))))*COS(RADIANS(INDEX('ZIP Coordinates'!$D:$D,MATCH($A775,'ZIP Coordinates'!$A:$A,0))-'ZIP Coordinates'!$D$2))))),"N/A")</f>
        <v>138.87185285994119</v>
      </c>
      <c r="G775" s="3" t="str">
        <f t="shared" si="24"/>
        <v>100-149 mi</v>
      </c>
      <c r="H775" s="27">
        <f>IF(RIGHT($B775,1)="P",1,IF(ISNUMBER(SEARCH("HALF GALLON",$C775)),Assumptions!$B$4,IF(ISNUMBER(SEARCH("GALLON",$C775)),Assumptions!$B$3,IF(ISNUMBER(SEARCH("QUART",$C775)),Assumptions!$B$5,IF(ISNUMBER(SEARCH("PINT",$C775)),Assumptions!$B$6,Assumptions!$B$7)))))</f>
        <v>1</v>
      </c>
      <c r="I775" s="27">
        <f t="shared" si="25"/>
        <v>12</v>
      </c>
    </row>
    <row r="776" spans="1:9" x14ac:dyDescent="0.2">
      <c r="A776" s="3" t="s">
        <v>75</v>
      </c>
      <c r="B776" s="3" t="s">
        <v>250</v>
      </c>
      <c r="C776" s="3" t="s">
        <v>249</v>
      </c>
      <c r="D776" s="3" t="s">
        <v>148</v>
      </c>
      <c r="E776" s="4">
        <v>6</v>
      </c>
      <c r="F776" s="5">
        <f>IFERROR(3958.8*ACOS(MIN(1,MAX(-1,SIN(RADIANS('ZIP Coordinates'!$C$2))*SIN(RADIANS(INDEX('ZIP Coordinates'!$C:$C,MATCH($A776,'ZIP Coordinates'!$A:$A,0))))+COS(RADIANS('ZIP Coordinates'!$C$2))*COS(RADIANS(INDEX('ZIP Coordinates'!$C:$C,MATCH($A776,'ZIP Coordinates'!$A:$A,0))))*COS(RADIANS(INDEX('ZIP Coordinates'!$D:$D,MATCH($A776,'ZIP Coordinates'!$A:$A,0))-'ZIP Coordinates'!$D$2))))),"N/A")</f>
        <v>138.87185285994119</v>
      </c>
      <c r="G776" s="3" t="str">
        <f t="shared" si="24"/>
        <v>100-149 mi</v>
      </c>
      <c r="H776" s="27">
        <f>IF(RIGHT($B776,1)="P",1,IF(ISNUMBER(SEARCH("HALF GALLON",$C776)),Assumptions!$B$4,IF(ISNUMBER(SEARCH("GALLON",$C776)),Assumptions!$B$3,IF(ISNUMBER(SEARCH("QUART",$C776)),Assumptions!$B$5,IF(ISNUMBER(SEARCH("PINT",$C776)),Assumptions!$B$6,Assumptions!$B$7)))))</f>
        <v>1</v>
      </c>
      <c r="I776" s="27">
        <f t="shared" si="25"/>
        <v>6</v>
      </c>
    </row>
    <row r="777" spans="1:9" x14ac:dyDescent="0.2">
      <c r="A777" s="3" t="s">
        <v>75</v>
      </c>
      <c r="B777" s="3" t="s">
        <v>250</v>
      </c>
      <c r="C777" s="3" t="s">
        <v>249</v>
      </c>
      <c r="D777" s="3" t="s">
        <v>148</v>
      </c>
      <c r="E777" s="4">
        <v>6</v>
      </c>
      <c r="F777" s="5">
        <f>IFERROR(3958.8*ACOS(MIN(1,MAX(-1,SIN(RADIANS('ZIP Coordinates'!$C$2))*SIN(RADIANS(INDEX('ZIP Coordinates'!$C:$C,MATCH($A777,'ZIP Coordinates'!$A:$A,0))))+COS(RADIANS('ZIP Coordinates'!$C$2))*COS(RADIANS(INDEX('ZIP Coordinates'!$C:$C,MATCH($A777,'ZIP Coordinates'!$A:$A,0))))*COS(RADIANS(INDEX('ZIP Coordinates'!$D:$D,MATCH($A777,'ZIP Coordinates'!$A:$A,0))-'ZIP Coordinates'!$D$2))))),"N/A")</f>
        <v>138.87185285994119</v>
      </c>
      <c r="G777" s="3" t="str">
        <f t="shared" si="24"/>
        <v>100-149 mi</v>
      </c>
      <c r="H777" s="27">
        <f>IF(RIGHT($B777,1)="P",1,IF(ISNUMBER(SEARCH("HALF GALLON",$C777)),Assumptions!$B$4,IF(ISNUMBER(SEARCH("GALLON",$C777)),Assumptions!$B$3,IF(ISNUMBER(SEARCH("QUART",$C777)),Assumptions!$B$5,IF(ISNUMBER(SEARCH("PINT",$C777)),Assumptions!$B$6,Assumptions!$B$7)))))</f>
        <v>1</v>
      </c>
      <c r="I777" s="27">
        <f t="shared" si="25"/>
        <v>6</v>
      </c>
    </row>
    <row r="778" spans="1:9" x14ac:dyDescent="0.2">
      <c r="A778" s="3" t="s">
        <v>75</v>
      </c>
      <c r="B778" s="3" t="s">
        <v>250</v>
      </c>
      <c r="C778" s="3" t="s">
        <v>249</v>
      </c>
      <c r="D778" s="3" t="s">
        <v>148</v>
      </c>
      <c r="E778" s="4">
        <v>12</v>
      </c>
      <c r="F778" s="5">
        <f>IFERROR(3958.8*ACOS(MIN(1,MAX(-1,SIN(RADIANS('ZIP Coordinates'!$C$2))*SIN(RADIANS(INDEX('ZIP Coordinates'!$C:$C,MATCH($A778,'ZIP Coordinates'!$A:$A,0))))+COS(RADIANS('ZIP Coordinates'!$C$2))*COS(RADIANS(INDEX('ZIP Coordinates'!$C:$C,MATCH($A778,'ZIP Coordinates'!$A:$A,0))))*COS(RADIANS(INDEX('ZIP Coordinates'!$D:$D,MATCH($A778,'ZIP Coordinates'!$A:$A,0))-'ZIP Coordinates'!$D$2))))),"N/A")</f>
        <v>138.87185285994119</v>
      </c>
      <c r="G778" s="3" t="str">
        <f t="shared" si="24"/>
        <v>100-149 mi</v>
      </c>
      <c r="H778" s="27">
        <f>IF(RIGHT($B778,1)="P",1,IF(ISNUMBER(SEARCH("HALF GALLON",$C778)),Assumptions!$B$4,IF(ISNUMBER(SEARCH("GALLON",$C778)),Assumptions!$B$3,IF(ISNUMBER(SEARCH("QUART",$C778)),Assumptions!$B$5,IF(ISNUMBER(SEARCH("PINT",$C778)),Assumptions!$B$6,Assumptions!$B$7)))))</f>
        <v>1</v>
      </c>
      <c r="I778" s="27">
        <f t="shared" si="25"/>
        <v>12</v>
      </c>
    </row>
    <row r="779" spans="1:9" x14ac:dyDescent="0.2">
      <c r="A779" s="3" t="s">
        <v>75</v>
      </c>
      <c r="B779" s="3" t="s">
        <v>250</v>
      </c>
      <c r="C779" s="3" t="s">
        <v>249</v>
      </c>
      <c r="D779" s="3" t="s">
        <v>148</v>
      </c>
      <c r="E779" s="4">
        <v>12</v>
      </c>
      <c r="F779" s="5">
        <f>IFERROR(3958.8*ACOS(MIN(1,MAX(-1,SIN(RADIANS('ZIP Coordinates'!$C$2))*SIN(RADIANS(INDEX('ZIP Coordinates'!$C:$C,MATCH($A779,'ZIP Coordinates'!$A:$A,0))))+COS(RADIANS('ZIP Coordinates'!$C$2))*COS(RADIANS(INDEX('ZIP Coordinates'!$C:$C,MATCH($A779,'ZIP Coordinates'!$A:$A,0))))*COS(RADIANS(INDEX('ZIP Coordinates'!$D:$D,MATCH($A779,'ZIP Coordinates'!$A:$A,0))-'ZIP Coordinates'!$D$2))))),"N/A")</f>
        <v>138.87185285994119</v>
      </c>
      <c r="G779" s="3" t="str">
        <f t="shared" si="24"/>
        <v>100-149 mi</v>
      </c>
      <c r="H779" s="27">
        <f>IF(RIGHT($B779,1)="P",1,IF(ISNUMBER(SEARCH("HALF GALLON",$C779)),Assumptions!$B$4,IF(ISNUMBER(SEARCH("GALLON",$C779)),Assumptions!$B$3,IF(ISNUMBER(SEARCH("QUART",$C779)),Assumptions!$B$5,IF(ISNUMBER(SEARCH("PINT",$C779)),Assumptions!$B$6,Assumptions!$B$7)))))</f>
        <v>1</v>
      </c>
      <c r="I779" s="27">
        <f t="shared" si="25"/>
        <v>12</v>
      </c>
    </row>
    <row r="780" spans="1:9" x14ac:dyDescent="0.2">
      <c r="A780" s="3" t="s">
        <v>75</v>
      </c>
      <c r="B780" s="3" t="s">
        <v>250</v>
      </c>
      <c r="C780" s="3" t="s">
        <v>249</v>
      </c>
      <c r="D780" s="3" t="s">
        <v>148</v>
      </c>
      <c r="E780" s="4">
        <v>32</v>
      </c>
      <c r="F780" s="5">
        <f>IFERROR(3958.8*ACOS(MIN(1,MAX(-1,SIN(RADIANS('ZIP Coordinates'!$C$2))*SIN(RADIANS(INDEX('ZIP Coordinates'!$C:$C,MATCH($A780,'ZIP Coordinates'!$A:$A,0))))+COS(RADIANS('ZIP Coordinates'!$C$2))*COS(RADIANS(INDEX('ZIP Coordinates'!$C:$C,MATCH($A780,'ZIP Coordinates'!$A:$A,0))))*COS(RADIANS(INDEX('ZIP Coordinates'!$D:$D,MATCH($A780,'ZIP Coordinates'!$A:$A,0))-'ZIP Coordinates'!$D$2))))),"N/A")</f>
        <v>138.87185285994119</v>
      </c>
      <c r="G780" s="3" t="str">
        <f t="shared" si="24"/>
        <v>100-149 mi</v>
      </c>
      <c r="H780" s="27">
        <f>IF(RIGHT($B780,1)="P",1,IF(ISNUMBER(SEARCH("HALF GALLON",$C780)),Assumptions!$B$4,IF(ISNUMBER(SEARCH("GALLON",$C780)),Assumptions!$B$3,IF(ISNUMBER(SEARCH("QUART",$C780)),Assumptions!$B$5,IF(ISNUMBER(SEARCH("PINT",$C780)),Assumptions!$B$6,Assumptions!$B$7)))))</f>
        <v>1</v>
      </c>
      <c r="I780" s="27">
        <f t="shared" si="25"/>
        <v>32</v>
      </c>
    </row>
    <row r="781" spans="1:9" x14ac:dyDescent="0.2">
      <c r="A781" s="3" t="s">
        <v>75</v>
      </c>
      <c r="B781" s="3" t="s">
        <v>284</v>
      </c>
      <c r="C781" s="3" t="s">
        <v>285</v>
      </c>
      <c r="D781" s="3" t="s">
        <v>208</v>
      </c>
      <c r="E781" s="4">
        <v>6</v>
      </c>
      <c r="F781" s="5">
        <f>IFERROR(3958.8*ACOS(MIN(1,MAX(-1,SIN(RADIANS('ZIP Coordinates'!$C$2))*SIN(RADIANS(INDEX('ZIP Coordinates'!$C:$C,MATCH($A781,'ZIP Coordinates'!$A:$A,0))))+COS(RADIANS('ZIP Coordinates'!$C$2))*COS(RADIANS(INDEX('ZIP Coordinates'!$C:$C,MATCH($A781,'ZIP Coordinates'!$A:$A,0))))*COS(RADIANS(INDEX('ZIP Coordinates'!$D:$D,MATCH($A781,'ZIP Coordinates'!$A:$A,0))-'ZIP Coordinates'!$D$2))))),"N/A")</f>
        <v>138.87185285994119</v>
      </c>
      <c r="G781" s="3" t="str">
        <f t="shared" si="24"/>
        <v>100-149 mi</v>
      </c>
      <c r="H781" s="27">
        <f>IF(RIGHT($B781,1)="P",1,IF(ISNUMBER(SEARCH("HALF GALLON",$C781)),Assumptions!$B$4,IF(ISNUMBER(SEARCH("GALLON",$C781)),Assumptions!$B$3,IF(ISNUMBER(SEARCH("QUART",$C781)),Assumptions!$B$5,IF(ISNUMBER(SEARCH("PINT",$C781)),Assumptions!$B$6,Assumptions!$B$7)))))</f>
        <v>1</v>
      </c>
      <c r="I781" s="27">
        <f t="shared" si="25"/>
        <v>6</v>
      </c>
    </row>
    <row r="782" spans="1:9" x14ac:dyDescent="0.2">
      <c r="A782" s="3" t="s">
        <v>75</v>
      </c>
      <c r="B782" s="3" t="s">
        <v>255</v>
      </c>
      <c r="C782" s="3" t="s">
        <v>256</v>
      </c>
      <c r="D782" s="3" t="s">
        <v>148</v>
      </c>
      <c r="E782" s="4">
        <v>11</v>
      </c>
      <c r="F782" s="5">
        <f>IFERROR(3958.8*ACOS(MIN(1,MAX(-1,SIN(RADIANS('ZIP Coordinates'!$C$2))*SIN(RADIANS(INDEX('ZIP Coordinates'!$C:$C,MATCH($A782,'ZIP Coordinates'!$A:$A,0))))+COS(RADIANS('ZIP Coordinates'!$C$2))*COS(RADIANS(INDEX('ZIP Coordinates'!$C:$C,MATCH($A782,'ZIP Coordinates'!$A:$A,0))))*COS(RADIANS(INDEX('ZIP Coordinates'!$D:$D,MATCH($A782,'ZIP Coordinates'!$A:$A,0))-'ZIP Coordinates'!$D$2))))),"N/A")</f>
        <v>138.87185285994119</v>
      </c>
      <c r="G782" s="3" t="str">
        <f t="shared" si="24"/>
        <v>100-149 mi</v>
      </c>
      <c r="H782" s="27">
        <f>IF(RIGHT($B782,1)="P",1,IF(ISNUMBER(SEARCH("HALF GALLON",$C782)),Assumptions!$B$4,IF(ISNUMBER(SEARCH("GALLON",$C782)),Assumptions!$B$3,IF(ISNUMBER(SEARCH("QUART",$C782)),Assumptions!$B$5,IF(ISNUMBER(SEARCH("PINT",$C782)),Assumptions!$B$6,Assumptions!$B$7)))))</f>
        <v>20</v>
      </c>
      <c r="I782" s="27">
        <f t="shared" si="25"/>
        <v>220</v>
      </c>
    </row>
    <row r="783" spans="1:9" x14ac:dyDescent="0.2">
      <c r="A783" s="3" t="s">
        <v>75</v>
      </c>
      <c r="B783" s="3" t="s">
        <v>255</v>
      </c>
      <c r="C783" s="3" t="s">
        <v>256</v>
      </c>
      <c r="D783" s="3" t="s">
        <v>148</v>
      </c>
      <c r="E783" s="4">
        <v>3</v>
      </c>
      <c r="F783" s="5">
        <f>IFERROR(3958.8*ACOS(MIN(1,MAX(-1,SIN(RADIANS('ZIP Coordinates'!$C$2))*SIN(RADIANS(INDEX('ZIP Coordinates'!$C:$C,MATCH($A783,'ZIP Coordinates'!$A:$A,0))))+COS(RADIANS('ZIP Coordinates'!$C$2))*COS(RADIANS(INDEX('ZIP Coordinates'!$C:$C,MATCH($A783,'ZIP Coordinates'!$A:$A,0))))*COS(RADIANS(INDEX('ZIP Coordinates'!$D:$D,MATCH($A783,'ZIP Coordinates'!$A:$A,0))-'ZIP Coordinates'!$D$2))))),"N/A")</f>
        <v>138.87185285994119</v>
      </c>
      <c r="G783" s="3" t="str">
        <f t="shared" si="24"/>
        <v>100-149 mi</v>
      </c>
      <c r="H783" s="27">
        <f>IF(RIGHT($B783,1)="P",1,IF(ISNUMBER(SEARCH("HALF GALLON",$C783)),Assumptions!$B$4,IF(ISNUMBER(SEARCH("GALLON",$C783)),Assumptions!$B$3,IF(ISNUMBER(SEARCH("QUART",$C783)),Assumptions!$B$5,IF(ISNUMBER(SEARCH("PINT",$C783)),Assumptions!$B$6,Assumptions!$B$7)))))</f>
        <v>20</v>
      </c>
      <c r="I783" s="27">
        <f t="shared" si="25"/>
        <v>60</v>
      </c>
    </row>
    <row r="784" spans="1:9" x14ac:dyDescent="0.2">
      <c r="A784" s="3" t="s">
        <v>75</v>
      </c>
      <c r="B784" s="3" t="s">
        <v>255</v>
      </c>
      <c r="C784" s="3" t="s">
        <v>256</v>
      </c>
      <c r="D784" s="3" t="s">
        <v>148</v>
      </c>
      <c r="E784" s="4">
        <v>2</v>
      </c>
      <c r="F784" s="5">
        <f>IFERROR(3958.8*ACOS(MIN(1,MAX(-1,SIN(RADIANS('ZIP Coordinates'!$C$2))*SIN(RADIANS(INDEX('ZIP Coordinates'!$C:$C,MATCH($A784,'ZIP Coordinates'!$A:$A,0))))+COS(RADIANS('ZIP Coordinates'!$C$2))*COS(RADIANS(INDEX('ZIP Coordinates'!$C:$C,MATCH($A784,'ZIP Coordinates'!$A:$A,0))))*COS(RADIANS(INDEX('ZIP Coordinates'!$D:$D,MATCH($A784,'ZIP Coordinates'!$A:$A,0))-'ZIP Coordinates'!$D$2))))),"N/A")</f>
        <v>138.87185285994119</v>
      </c>
      <c r="G784" s="3" t="str">
        <f t="shared" si="24"/>
        <v>100-149 mi</v>
      </c>
      <c r="H784" s="27">
        <f>IF(RIGHT($B784,1)="P",1,IF(ISNUMBER(SEARCH("HALF GALLON",$C784)),Assumptions!$B$4,IF(ISNUMBER(SEARCH("GALLON",$C784)),Assumptions!$B$3,IF(ISNUMBER(SEARCH("QUART",$C784)),Assumptions!$B$5,IF(ISNUMBER(SEARCH("PINT",$C784)),Assumptions!$B$6,Assumptions!$B$7)))))</f>
        <v>20</v>
      </c>
      <c r="I784" s="27">
        <f t="shared" si="25"/>
        <v>40</v>
      </c>
    </row>
    <row r="785" spans="1:9" x14ac:dyDescent="0.2">
      <c r="A785" s="3" t="s">
        <v>75</v>
      </c>
      <c r="B785" s="3" t="s">
        <v>255</v>
      </c>
      <c r="C785" s="3" t="s">
        <v>256</v>
      </c>
      <c r="D785" s="3" t="s">
        <v>148</v>
      </c>
      <c r="E785" s="4">
        <v>1</v>
      </c>
      <c r="F785" s="5">
        <f>IFERROR(3958.8*ACOS(MIN(1,MAX(-1,SIN(RADIANS('ZIP Coordinates'!$C$2))*SIN(RADIANS(INDEX('ZIP Coordinates'!$C:$C,MATCH($A785,'ZIP Coordinates'!$A:$A,0))))+COS(RADIANS('ZIP Coordinates'!$C$2))*COS(RADIANS(INDEX('ZIP Coordinates'!$C:$C,MATCH($A785,'ZIP Coordinates'!$A:$A,0))))*COS(RADIANS(INDEX('ZIP Coordinates'!$D:$D,MATCH($A785,'ZIP Coordinates'!$A:$A,0))-'ZIP Coordinates'!$D$2))))),"N/A")</f>
        <v>138.87185285994119</v>
      </c>
      <c r="G785" s="3" t="str">
        <f t="shared" si="24"/>
        <v>100-149 mi</v>
      </c>
      <c r="H785" s="27">
        <f>IF(RIGHT($B785,1)="P",1,IF(ISNUMBER(SEARCH("HALF GALLON",$C785)),Assumptions!$B$4,IF(ISNUMBER(SEARCH("GALLON",$C785)),Assumptions!$B$3,IF(ISNUMBER(SEARCH("QUART",$C785)),Assumptions!$B$5,IF(ISNUMBER(SEARCH("PINT",$C785)),Assumptions!$B$6,Assumptions!$B$7)))))</f>
        <v>20</v>
      </c>
      <c r="I785" s="27">
        <f t="shared" si="25"/>
        <v>20</v>
      </c>
    </row>
    <row r="786" spans="1:9" x14ac:dyDescent="0.2">
      <c r="A786" s="3" t="s">
        <v>75</v>
      </c>
      <c r="B786" s="3" t="s">
        <v>255</v>
      </c>
      <c r="C786" s="3" t="s">
        <v>256</v>
      </c>
      <c r="D786" s="3" t="s">
        <v>148</v>
      </c>
      <c r="E786" s="4">
        <v>2</v>
      </c>
      <c r="F786" s="5">
        <f>IFERROR(3958.8*ACOS(MIN(1,MAX(-1,SIN(RADIANS('ZIP Coordinates'!$C$2))*SIN(RADIANS(INDEX('ZIP Coordinates'!$C:$C,MATCH($A786,'ZIP Coordinates'!$A:$A,0))))+COS(RADIANS('ZIP Coordinates'!$C$2))*COS(RADIANS(INDEX('ZIP Coordinates'!$C:$C,MATCH($A786,'ZIP Coordinates'!$A:$A,0))))*COS(RADIANS(INDEX('ZIP Coordinates'!$D:$D,MATCH($A786,'ZIP Coordinates'!$A:$A,0))-'ZIP Coordinates'!$D$2))))),"N/A")</f>
        <v>138.87185285994119</v>
      </c>
      <c r="G786" s="3" t="str">
        <f t="shared" si="24"/>
        <v>100-149 mi</v>
      </c>
      <c r="H786" s="27">
        <f>IF(RIGHT($B786,1)="P",1,IF(ISNUMBER(SEARCH("HALF GALLON",$C786)),Assumptions!$B$4,IF(ISNUMBER(SEARCH("GALLON",$C786)),Assumptions!$B$3,IF(ISNUMBER(SEARCH("QUART",$C786)),Assumptions!$B$5,IF(ISNUMBER(SEARCH("PINT",$C786)),Assumptions!$B$6,Assumptions!$B$7)))))</f>
        <v>20</v>
      </c>
      <c r="I786" s="27">
        <f t="shared" si="25"/>
        <v>40</v>
      </c>
    </row>
    <row r="787" spans="1:9" x14ac:dyDescent="0.2">
      <c r="A787" s="3" t="s">
        <v>75</v>
      </c>
      <c r="B787" s="3" t="s">
        <v>255</v>
      </c>
      <c r="C787" s="3" t="s">
        <v>256</v>
      </c>
      <c r="D787" s="3" t="s">
        <v>148</v>
      </c>
      <c r="E787" s="4">
        <v>1</v>
      </c>
      <c r="F787" s="5">
        <f>IFERROR(3958.8*ACOS(MIN(1,MAX(-1,SIN(RADIANS('ZIP Coordinates'!$C$2))*SIN(RADIANS(INDEX('ZIP Coordinates'!$C:$C,MATCH($A787,'ZIP Coordinates'!$A:$A,0))))+COS(RADIANS('ZIP Coordinates'!$C$2))*COS(RADIANS(INDEX('ZIP Coordinates'!$C:$C,MATCH($A787,'ZIP Coordinates'!$A:$A,0))))*COS(RADIANS(INDEX('ZIP Coordinates'!$D:$D,MATCH($A787,'ZIP Coordinates'!$A:$A,0))-'ZIP Coordinates'!$D$2))))),"N/A")</f>
        <v>138.87185285994119</v>
      </c>
      <c r="G787" s="3" t="str">
        <f t="shared" si="24"/>
        <v>100-149 mi</v>
      </c>
      <c r="H787" s="27">
        <f>IF(RIGHT($B787,1)="P",1,IF(ISNUMBER(SEARCH("HALF GALLON",$C787)),Assumptions!$B$4,IF(ISNUMBER(SEARCH("GALLON",$C787)),Assumptions!$B$3,IF(ISNUMBER(SEARCH("QUART",$C787)),Assumptions!$B$5,IF(ISNUMBER(SEARCH("PINT",$C787)),Assumptions!$B$6,Assumptions!$B$7)))))</f>
        <v>20</v>
      </c>
      <c r="I787" s="27">
        <f t="shared" si="25"/>
        <v>20</v>
      </c>
    </row>
    <row r="788" spans="1:9" x14ac:dyDescent="0.2">
      <c r="A788" s="3" t="s">
        <v>75</v>
      </c>
      <c r="B788" s="3" t="s">
        <v>255</v>
      </c>
      <c r="C788" s="3" t="s">
        <v>256</v>
      </c>
      <c r="D788" s="3" t="s">
        <v>148</v>
      </c>
      <c r="E788" s="4">
        <v>1</v>
      </c>
      <c r="F788" s="5">
        <f>IFERROR(3958.8*ACOS(MIN(1,MAX(-1,SIN(RADIANS('ZIP Coordinates'!$C$2))*SIN(RADIANS(INDEX('ZIP Coordinates'!$C:$C,MATCH($A788,'ZIP Coordinates'!$A:$A,0))))+COS(RADIANS('ZIP Coordinates'!$C$2))*COS(RADIANS(INDEX('ZIP Coordinates'!$C:$C,MATCH($A788,'ZIP Coordinates'!$A:$A,0))))*COS(RADIANS(INDEX('ZIP Coordinates'!$D:$D,MATCH($A788,'ZIP Coordinates'!$A:$A,0))-'ZIP Coordinates'!$D$2))))),"N/A")</f>
        <v>138.87185285994119</v>
      </c>
      <c r="G788" s="3" t="str">
        <f t="shared" si="24"/>
        <v>100-149 mi</v>
      </c>
      <c r="H788" s="27">
        <f>IF(RIGHT($B788,1)="P",1,IF(ISNUMBER(SEARCH("HALF GALLON",$C788)),Assumptions!$B$4,IF(ISNUMBER(SEARCH("GALLON",$C788)),Assumptions!$B$3,IF(ISNUMBER(SEARCH("QUART",$C788)),Assumptions!$B$5,IF(ISNUMBER(SEARCH("PINT",$C788)),Assumptions!$B$6,Assumptions!$B$7)))))</f>
        <v>20</v>
      </c>
      <c r="I788" s="27">
        <f t="shared" si="25"/>
        <v>20</v>
      </c>
    </row>
    <row r="789" spans="1:9" x14ac:dyDescent="0.2">
      <c r="A789" s="3" t="s">
        <v>75</v>
      </c>
      <c r="B789" s="3" t="s">
        <v>255</v>
      </c>
      <c r="C789" s="3" t="s">
        <v>256</v>
      </c>
      <c r="D789" s="3" t="s">
        <v>148</v>
      </c>
      <c r="E789" s="4">
        <v>2</v>
      </c>
      <c r="F789" s="5">
        <f>IFERROR(3958.8*ACOS(MIN(1,MAX(-1,SIN(RADIANS('ZIP Coordinates'!$C$2))*SIN(RADIANS(INDEX('ZIP Coordinates'!$C:$C,MATCH($A789,'ZIP Coordinates'!$A:$A,0))))+COS(RADIANS('ZIP Coordinates'!$C$2))*COS(RADIANS(INDEX('ZIP Coordinates'!$C:$C,MATCH($A789,'ZIP Coordinates'!$A:$A,0))))*COS(RADIANS(INDEX('ZIP Coordinates'!$D:$D,MATCH($A789,'ZIP Coordinates'!$A:$A,0))-'ZIP Coordinates'!$D$2))))),"N/A")</f>
        <v>138.87185285994119</v>
      </c>
      <c r="G789" s="3" t="str">
        <f t="shared" si="24"/>
        <v>100-149 mi</v>
      </c>
      <c r="H789" s="27">
        <f>IF(RIGHT($B789,1)="P",1,IF(ISNUMBER(SEARCH("HALF GALLON",$C789)),Assumptions!$B$4,IF(ISNUMBER(SEARCH("GALLON",$C789)),Assumptions!$B$3,IF(ISNUMBER(SEARCH("QUART",$C789)),Assumptions!$B$5,IF(ISNUMBER(SEARCH("PINT",$C789)),Assumptions!$B$6,Assumptions!$B$7)))))</f>
        <v>20</v>
      </c>
      <c r="I789" s="27">
        <f t="shared" si="25"/>
        <v>40</v>
      </c>
    </row>
    <row r="790" spans="1:9" x14ac:dyDescent="0.2">
      <c r="A790" s="3" t="s">
        <v>75</v>
      </c>
      <c r="B790" s="3" t="s">
        <v>255</v>
      </c>
      <c r="C790" s="3" t="s">
        <v>256</v>
      </c>
      <c r="D790" s="3" t="s">
        <v>148</v>
      </c>
      <c r="E790" s="4">
        <v>1</v>
      </c>
      <c r="F790" s="5">
        <f>IFERROR(3958.8*ACOS(MIN(1,MAX(-1,SIN(RADIANS('ZIP Coordinates'!$C$2))*SIN(RADIANS(INDEX('ZIP Coordinates'!$C:$C,MATCH($A790,'ZIP Coordinates'!$A:$A,0))))+COS(RADIANS('ZIP Coordinates'!$C$2))*COS(RADIANS(INDEX('ZIP Coordinates'!$C:$C,MATCH($A790,'ZIP Coordinates'!$A:$A,0))))*COS(RADIANS(INDEX('ZIP Coordinates'!$D:$D,MATCH($A790,'ZIP Coordinates'!$A:$A,0))-'ZIP Coordinates'!$D$2))))),"N/A")</f>
        <v>138.87185285994119</v>
      </c>
      <c r="G790" s="3" t="str">
        <f t="shared" si="24"/>
        <v>100-149 mi</v>
      </c>
      <c r="H790" s="27">
        <f>IF(RIGHT($B790,1)="P",1,IF(ISNUMBER(SEARCH("HALF GALLON",$C790)),Assumptions!$B$4,IF(ISNUMBER(SEARCH("GALLON",$C790)),Assumptions!$B$3,IF(ISNUMBER(SEARCH("QUART",$C790)),Assumptions!$B$5,IF(ISNUMBER(SEARCH("PINT",$C790)),Assumptions!$B$6,Assumptions!$B$7)))))</f>
        <v>20</v>
      </c>
      <c r="I790" s="27">
        <f t="shared" si="25"/>
        <v>20</v>
      </c>
    </row>
    <row r="791" spans="1:9" x14ac:dyDescent="0.2">
      <c r="A791" s="3" t="s">
        <v>76</v>
      </c>
      <c r="B791" s="3" t="s">
        <v>241</v>
      </c>
      <c r="C791" s="3" t="s">
        <v>242</v>
      </c>
      <c r="D791" s="3" t="s">
        <v>127</v>
      </c>
      <c r="E791" s="4">
        <v>25</v>
      </c>
      <c r="F791" s="5">
        <f>IFERROR(3958.8*ACOS(MIN(1,MAX(-1,SIN(RADIANS('ZIP Coordinates'!$C$2))*SIN(RADIANS(INDEX('ZIP Coordinates'!$C:$C,MATCH($A791,'ZIP Coordinates'!$A:$A,0))))+COS(RADIANS('ZIP Coordinates'!$C$2))*COS(RADIANS(INDEX('ZIP Coordinates'!$C:$C,MATCH($A791,'ZIP Coordinates'!$A:$A,0))))*COS(RADIANS(INDEX('ZIP Coordinates'!$D:$D,MATCH($A791,'ZIP Coordinates'!$A:$A,0))-'ZIP Coordinates'!$D$2))))),"N/A")</f>
        <v>143.5354957173447</v>
      </c>
      <c r="G791" s="3" t="str">
        <f t="shared" si="24"/>
        <v>100-149 mi</v>
      </c>
      <c r="H791" s="27">
        <f>IF(RIGHT($B791,1)="P",1,IF(ISNUMBER(SEARCH("HALF GALLON",$C791)),Assumptions!$B$4,IF(ISNUMBER(SEARCH("GALLON",$C791)),Assumptions!$B$3,IF(ISNUMBER(SEARCH("QUART",$C791)),Assumptions!$B$5,IF(ISNUMBER(SEARCH("PINT",$C791)),Assumptions!$B$6,Assumptions!$B$7)))))</f>
        <v>1</v>
      </c>
      <c r="I791" s="27">
        <f t="shared" si="25"/>
        <v>25</v>
      </c>
    </row>
    <row r="792" spans="1:9" x14ac:dyDescent="0.2">
      <c r="A792" s="3" t="s">
        <v>76</v>
      </c>
      <c r="B792" s="3" t="s">
        <v>243</v>
      </c>
      <c r="C792" s="3" t="s">
        <v>244</v>
      </c>
      <c r="D792" s="3" t="s">
        <v>127</v>
      </c>
      <c r="E792" s="4">
        <v>3</v>
      </c>
      <c r="F792" s="5">
        <f>IFERROR(3958.8*ACOS(MIN(1,MAX(-1,SIN(RADIANS('ZIP Coordinates'!$C$2))*SIN(RADIANS(INDEX('ZIP Coordinates'!$C:$C,MATCH($A792,'ZIP Coordinates'!$A:$A,0))))+COS(RADIANS('ZIP Coordinates'!$C$2))*COS(RADIANS(INDEX('ZIP Coordinates'!$C:$C,MATCH($A792,'ZIP Coordinates'!$A:$A,0))))*COS(RADIANS(INDEX('ZIP Coordinates'!$D:$D,MATCH($A792,'ZIP Coordinates'!$A:$A,0))-'ZIP Coordinates'!$D$2))))),"N/A")</f>
        <v>143.5354957173447</v>
      </c>
      <c r="G792" s="3" t="str">
        <f t="shared" si="24"/>
        <v>100-149 mi</v>
      </c>
      <c r="H792" s="27">
        <f>IF(RIGHT($B792,1)="P",1,IF(ISNUMBER(SEARCH("HALF GALLON",$C792)),Assumptions!$B$4,IF(ISNUMBER(SEARCH("GALLON",$C792)),Assumptions!$B$3,IF(ISNUMBER(SEARCH("QUART",$C792)),Assumptions!$B$5,IF(ISNUMBER(SEARCH("PINT",$C792)),Assumptions!$B$6,Assumptions!$B$7)))))</f>
        <v>1</v>
      </c>
      <c r="I792" s="27">
        <f t="shared" si="25"/>
        <v>3</v>
      </c>
    </row>
    <row r="793" spans="1:9" x14ac:dyDescent="0.2">
      <c r="A793" s="3" t="s">
        <v>76</v>
      </c>
      <c r="B793" s="3" t="s">
        <v>276</v>
      </c>
      <c r="C793" s="3" t="s">
        <v>275</v>
      </c>
      <c r="D793" s="3" t="s">
        <v>127</v>
      </c>
      <c r="E793" s="4">
        <v>35</v>
      </c>
      <c r="F793" s="5">
        <f>IFERROR(3958.8*ACOS(MIN(1,MAX(-1,SIN(RADIANS('ZIP Coordinates'!$C$2))*SIN(RADIANS(INDEX('ZIP Coordinates'!$C:$C,MATCH($A793,'ZIP Coordinates'!$A:$A,0))))+COS(RADIANS('ZIP Coordinates'!$C$2))*COS(RADIANS(INDEX('ZIP Coordinates'!$C:$C,MATCH($A793,'ZIP Coordinates'!$A:$A,0))))*COS(RADIANS(INDEX('ZIP Coordinates'!$D:$D,MATCH($A793,'ZIP Coordinates'!$A:$A,0))-'ZIP Coordinates'!$D$2))))),"N/A")</f>
        <v>143.5354957173447</v>
      </c>
      <c r="G793" s="3" t="str">
        <f t="shared" si="24"/>
        <v>100-149 mi</v>
      </c>
      <c r="H793" s="27">
        <f>IF(RIGHT($B793,1)="P",1,IF(ISNUMBER(SEARCH("HALF GALLON",$C793)),Assumptions!$B$4,IF(ISNUMBER(SEARCH("GALLON",$C793)),Assumptions!$B$3,IF(ISNUMBER(SEARCH("QUART",$C793)),Assumptions!$B$5,IF(ISNUMBER(SEARCH("PINT",$C793)),Assumptions!$B$6,Assumptions!$B$7)))))</f>
        <v>1</v>
      </c>
      <c r="I793" s="27">
        <f t="shared" si="25"/>
        <v>35</v>
      </c>
    </row>
    <row r="794" spans="1:9" x14ac:dyDescent="0.2">
      <c r="A794" s="3" t="s">
        <v>76</v>
      </c>
      <c r="B794" s="3" t="s">
        <v>247</v>
      </c>
      <c r="C794" s="3" t="s">
        <v>246</v>
      </c>
      <c r="D794" s="3" t="s">
        <v>127</v>
      </c>
      <c r="E794" s="4">
        <v>49</v>
      </c>
      <c r="F794" s="5">
        <f>IFERROR(3958.8*ACOS(MIN(1,MAX(-1,SIN(RADIANS('ZIP Coordinates'!$C$2))*SIN(RADIANS(INDEX('ZIP Coordinates'!$C:$C,MATCH($A794,'ZIP Coordinates'!$A:$A,0))))+COS(RADIANS('ZIP Coordinates'!$C$2))*COS(RADIANS(INDEX('ZIP Coordinates'!$C:$C,MATCH($A794,'ZIP Coordinates'!$A:$A,0))))*COS(RADIANS(INDEX('ZIP Coordinates'!$D:$D,MATCH($A794,'ZIP Coordinates'!$A:$A,0))-'ZIP Coordinates'!$D$2))))),"N/A")</f>
        <v>143.5354957173447</v>
      </c>
      <c r="G794" s="3" t="str">
        <f t="shared" si="24"/>
        <v>100-149 mi</v>
      </c>
      <c r="H794" s="27">
        <f>IF(RIGHT($B794,1)="P",1,IF(ISNUMBER(SEARCH("HALF GALLON",$C794)),Assumptions!$B$4,IF(ISNUMBER(SEARCH("GALLON",$C794)),Assumptions!$B$3,IF(ISNUMBER(SEARCH("QUART",$C794)),Assumptions!$B$5,IF(ISNUMBER(SEARCH("PINT",$C794)),Assumptions!$B$6,Assumptions!$B$7)))))</f>
        <v>1</v>
      </c>
      <c r="I794" s="27">
        <f t="shared" si="25"/>
        <v>49</v>
      </c>
    </row>
    <row r="795" spans="1:9" x14ac:dyDescent="0.2">
      <c r="A795" s="3" t="s">
        <v>76</v>
      </c>
      <c r="B795" s="3" t="s">
        <v>250</v>
      </c>
      <c r="C795" s="3" t="s">
        <v>249</v>
      </c>
      <c r="D795" s="3" t="s">
        <v>127</v>
      </c>
      <c r="E795" s="4">
        <v>45</v>
      </c>
      <c r="F795" s="5">
        <f>IFERROR(3958.8*ACOS(MIN(1,MAX(-1,SIN(RADIANS('ZIP Coordinates'!$C$2))*SIN(RADIANS(INDEX('ZIP Coordinates'!$C:$C,MATCH($A795,'ZIP Coordinates'!$A:$A,0))))+COS(RADIANS('ZIP Coordinates'!$C$2))*COS(RADIANS(INDEX('ZIP Coordinates'!$C:$C,MATCH($A795,'ZIP Coordinates'!$A:$A,0))))*COS(RADIANS(INDEX('ZIP Coordinates'!$D:$D,MATCH($A795,'ZIP Coordinates'!$A:$A,0))-'ZIP Coordinates'!$D$2))))),"N/A")</f>
        <v>143.5354957173447</v>
      </c>
      <c r="G795" s="3" t="str">
        <f t="shared" si="24"/>
        <v>100-149 mi</v>
      </c>
      <c r="H795" s="27">
        <f>IF(RIGHT($B795,1)="P",1,IF(ISNUMBER(SEARCH("HALF GALLON",$C795)),Assumptions!$B$4,IF(ISNUMBER(SEARCH("GALLON",$C795)),Assumptions!$B$3,IF(ISNUMBER(SEARCH("QUART",$C795)),Assumptions!$B$5,IF(ISNUMBER(SEARCH("PINT",$C795)),Assumptions!$B$6,Assumptions!$B$7)))))</f>
        <v>1</v>
      </c>
      <c r="I795" s="27">
        <f t="shared" si="25"/>
        <v>45</v>
      </c>
    </row>
    <row r="796" spans="1:9" x14ac:dyDescent="0.2">
      <c r="A796" s="3" t="s">
        <v>76</v>
      </c>
      <c r="B796" s="3" t="s">
        <v>251</v>
      </c>
      <c r="C796" s="3" t="s">
        <v>252</v>
      </c>
      <c r="D796" s="3" t="s">
        <v>127</v>
      </c>
      <c r="E796" s="4">
        <v>80</v>
      </c>
      <c r="F796" s="5">
        <f>IFERROR(3958.8*ACOS(MIN(1,MAX(-1,SIN(RADIANS('ZIP Coordinates'!$C$2))*SIN(RADIANS(INDEX('ZIP Coordinates'!$C:$C,MATCH($A796,'ZIP Coordinates'!$A:$A,0))))+COS(RADIANS('ZIP Coordinates'!$C$2))*COS(RADIANS(INDEX('ZIP Coordinates'!$C:$C,MATCH($A796,'ZIP Coordinates'!$A:$A,0))))*COS(RADIANS(INDEX('ZIP Coordinates'!$D:$D,MATCH($A796,'ZIP Coordinates'!$A:$A,0))-'ZIP Coordinates'!$D$2))))),"N/A")</f>
        <v>143.5354957173447</v>
      </c>
      <c r="G796" s="3" t="str">
        <f t="shared" si="24"/>
        <v>100-149 mi</v>
      </c>
      <c r="H796" s="27">
        <f>IF(RIGHT($B796,1)="P",1,IF(ISNUMBER(SEARCH("HALF GALLON",$C796)),Assumptions!$B$4,IF(ISNUMBER(SEARCH("GALLON",$C796)),Assumptions!$B$3,IF(ISNUMBER(SEARCH("QUART",$C796)),Assumptions!$B$5,IF(ISNUMBER(SEARCH("PINT",$C796)),Assumptions!$B$6,Assumptions!$B$7)))))</f>
        <v>1</v>
      </c>
      <c r="I796" s="27">
        <f t="shared" si="25"/>
        <v>80</v>
      </c>
    </row>
    <row r="797" spans="1:9" x14ac:dyDescent="0.2">
      <c r="A797" s="3" t="s">
        <v>76</v>
      </c>
      <c r="B797" s="3" t="s">
        <v>255</v>
      </c>
      <c r="C797" s="3" t="s">
        <v>256</v>
      </c>
      <c r="D797" s="3" t="s">
        <v>127</v>
      </c>
      <c r="E797" s="4">
        <v>33</v>
      </c>
      <c r="F797" s="5">
        <f>IFERROR(3958.8*ACOS(MIN(1,MAX(-1,SIN(RADIANS('ZIP Coordinates'!$C$2))*SIN(RADIANS(INDEX('ZIP Coordinates'!$C:$C,MATCH($A797,'ZIP Coordinates'!$A:$A,0))))+COS(RADIANS('ZIP Coordinates'!$C$2))*COS(RADIANS(INDEX('ZIP Coordinates'!$C:$C,MATCH($A797,'ZIP Coordinates'!$A:$A,0))))*COS(RADIANS(INDEX('ZIP Coordinates'!$D:$D,MATCH($A797,'ZIP Coordinates'!$A:$A,0))-'ZIP Coordinates'!$D$2))))),"N/A")</f>
        <v>143.5354957173447</v>
      </c>
      <c r="G797" s="3" t="str">
        <f t="shared" si="24"/>
        <v>100-149 mi</v>
      </c>
      <c r="H797" s="27">
        <f>IF(RIGHT($B797,1)="P",1,IF(ISNUMBER(SEARCH("HALF GALLON",$C797)),Assumptions!$B$4,IF(ISNUMBER(SEARCH("GALLON",$C797)),Assumptions!$B$3,IF(ISNUMBER(SEARCH("QUART",$C797)),Assumptions!$B$5,IF(ISNUMBER(SEARCH("PINT",$C797)),Assumptions!$B$6,Assumptions!$B$7)))))</f>
        <v>20</v>
      </c>
      <c r="I797" s="27">
        <f t="shared" si="25"/>
        <v>660</v>
      </c>
    </row>
    <row r="798" spans="1:9" x14ac:dyDescent="0.2">
      <c r="A798" s="3" t="s">
        <v>77</v>
      </c>
      <c r="B798" s="3" t="s">
        <v>281</v>
      </c>
      <c r="C798" s="3" t="s">
        <v>252</v>
      </c>
      <c r="D798" s="3" t="s">
        <v>178</v>
      </c>
      <c r="E798" s="4">
        <v>5</v>
      </c>
      <c r="F798" s="5">
        <f>IFERROR(3958.8*ACOS(MIN(1,MAX(-1,SIN(RADIANS('ZIP Coordinates'!$C$2))*SIN(RADIANS(INDEX('ZIP Coordinates'!$C:$C,MATCH($A798,'ZIP Coordinates'!$A:$A,0))))+COS(RADIANS('ZIP Coordinates'!$C$2))*COS(RADIANS(INDEX('ZIP Coordinates'!$C:$C,MATCH($A798,'ZIP Coordinates'!$A:$A,0))))*COS(RADIANS(INDEX('ZIP Coordinates'!$D:$D,MATCH($A798,'ZIP Coordinates'!$A:$A,0))-'ZIP Coordinates'!$D$2))))),"N/A")</f>
        <v>165.61057241009127</v>
      </c>
      <c r="G798" s="3" t="str">
        <f t="shared" si="24"/>
        <v>150-199 mi</v>
      </c>
      <c r="H798" s="27">
        <f>IF(RIGHT($B798,1)="P",1,IF(ISNUMBER(SEARCH("HALF GALLON",$C798)),Assumptions!$B$4,IF(ISNUMBER(SEARCH("GALLON",$C798)),Assumptions!$B$3,IF(ISNUMBER(SEARCH("QUART",$C798)),Assumptions!$B$5,IF(ISNUMBER(SEARCH("PINT",$C798)),Assumptions!$B$6,Assumptions!$B$7)))))</f>
        <v>20</v>
      </c>
      <c r="I798" s="27">
        <f t="shared" si="25"/>
        <v>100</v>
      </c>
    </row>
    <row r="799" spans="1:9" x14ac:dyDescent="0.2">
      <c r="A799" s="3" t="s">
        <v>77</v>
      </c>
      <c r="B799" s="3" t="s">
        <v>286</v>
      </c>
      <c r="C799" s="3" t="s">
        <v>287</v>
      </c>
      <c r="D799" s="3" t="s">
        <v>178</v>
      </c>
      <c r="E799" s="4">
        <v>23</v>
      </c>
      <c r="F799" s="5">
        <f>IFERROR(3958.8*ACOS(MIN(1,MAX(-1,SIN(RADIANS('ZIP Coordinates'!$C$2))*SIN(RADIANS(INDEX('ZIP Coordinates'!$C:$C,MATCH($A799,'ZIP Coordinates'!$A:$A,0))))+COS(RADIANS('ZIP Coordinates'!$C$2))*COS(RADIANS(INDEX('ZIP Coordinates'!$C:$C,MATCH($A799,'ZIP Coordinates'!$A:$A,0))))*COS(RADIANS(INDEX('ZIP Coordinates'!$D:$D,MATCH($A799,'ZIP Coordinates'!$A:$A,0))-'ZIP Coordinates'!$D$2))))),"N/A")</f>
        <v>165.61057241009127</v>
      </c>
      <c r="G799" s="3" t="str">
        <f t="shared" si="24"/>
        <v>150-199 mi</v>
      </c>
      <c r="H799" s="27">
        <f>IF(RIGHT($B799,1)="P",1,IF(ISNUMBER(SEARCH("HALF GALLON",$C799)),Assumptions!$B$4,IF(ISNUMBER(SEARCH("GALLON",$C799)),Assumptions!$B$3,IF(ISNUMBER(SEARCH("QUART",$C799)),Assumptions!$B$5,IF(ISNUMBER(SEARCH("PINT",$C799)),Assumptions!$B$6,Assumptions!$B$7)))))</f>
        <v>9</v>
      </c>
      <c r="I799" s="27">
        <f t="shared" si="25"/>
        <v>207</v>
      </c>
    </row>
    <row r="800" spans="1:9" x14ac:dyDescent="0.2">
      <c r="A800" s="3" t="s">
        <v>77</v>
      </c>
      <c r="B800" s="3" t="s">
        <v>255</v>
      </c>
      <c r="C800" s="3" t="s">
        <v>256</v>
      </c>
      <c r="D800" s="3" t="s">
        <v>178</v>
      </c>
      <c r="E800" s="4">
        <v>6</v>
      </c>
      <c r="F800" s="5">
        <f>IFERROR(3958.8*ACOS(MIN(1,MAX(-1,SIN(RADIANS('ZIP Coordinates'!$C$2))*SIN(RADIANS(INDEX('ZIP Coordinates'!$C:$C,MATCH($A800,'ZIP Coordinates'!$A:$A,0))))+COS(RADIANS('ZIP Coordinates'!$C$2))*COS(RADIANS(INDEX('ZIP Coordinates'!$C:$C,MATCH($A800,'ZIP Coordinates'!$A:$A,0))))*COS(RADIANS(INDEX('ZIP Coordinates'!$D:$D,MATCH($A800,'ZIP Coordinates'!$A:$A,0))-'ZIP Coordinates'!$D$2))))),"N/A")</f>
        <v>165.61057241009127</v>
      </c>
      <c r="G800" s="3" t="str">
        <f t="shared" si="24"/>
        <v>150-199 mi</v>
      </c>
      <c r="H800" s="27">
        <f>IF(RIGHT($B800,1)="P",1,IF(ISNUMBER(SEARCH("HALF GALLON",$C800)),Assumptions!$B$4,IF(ISNUMBER(SEARCH("GALLON",$C800)),Assumptions!$B$3,IF(ISNUMBER(SEARCH("QUART",$C800)),Assumptions!$B$5,IF(ISNUMBER(SEARCH("PINT",$C800)),Assumptions!$B$6,Assumptions!$B$7)))))</f>
        <v>20</v>
      </c>
      <c r="I800" s="27">
        <f t="shared" si="25"/>
        <v>120</v>
      </c>
    </row>
    <row r="801" spans="1:9" x14ac:dyDescent="0.2">
      <c r="A801" s="3" t="s">
        <v>78</v>
      </c>
      <c r="B801" s="3" t="s">
        <v>258</v>
      </c>
      <c r="C801" s="3" t="s">
        <v>240</v>
      </c>
      <c r="D801" s="3" t="s">
        <v>94</v>
      </c>
      <c r="E801" s="4">
        <v>11</v>
      </c>
      <c r="F801" s="5">
        <f>IFERROR(3958.8*ACOS(MIN(1,MAX(-1,SIN(RADIANS('ZIP Coordinates'!$C$2))*SIN(RADIANS(INDEX('ZIP Coordinates'!$C:$C,MATCH($A801,'ZIP Coordinates'!$A:$A,0))))+COS(RADIANS('ZIP Coordinates'!$C$2))*COS(RADIANS(INDEX('ZIP Coordinates'!$C:$C,MATCH($A801,'ZIP Coordinates'!$A:$A,0))))*COS(RADIANS(INDEX('ZIP Coordinates'!$D:$D,MATCH($A801,'ZIP Coordinates'!$A:$A,0))-'ZIP Coordinates'!$D$2))))),"N/A")</f>
        <v>142.88957686050676</v>
      </c>
      <c r="G801" s="3" t="str">
        <f t="shared" si="24"/>
        <v>100-149 mi</v>
      </c>
      <c r="H801" s="27">
        <f>IF(RIGHT($B801,1)="P",1,IF(ISNUMBER(SEARCH("HALF GALLON",$C801)),Assumptions!$B$4,IF(ISNUMBER(SEARCH("GALLON",$C801)),Assumptions!$B$3,IF(ISNUMBER(SEARCH("QUART",$C801)),Assumptions!$B$5,IF(ISNUMBER(SEARCH("PINT",$C801)),Assumptions!$B$6,Assumptions!$B$7)))))</f>
        <v>4</v>
      </c>
      <c r="I801" s="27">
        <f t="shared" si="25"/>
        <v>44</v>
      </c>
    </row>
    <row r="802" spans="1:9" x14ac:dyDescent="0.2">
      <c r="A802" s="3" t="s">
        <v>78</v>
      </c>
      <c r="B802" s="3" t="s">
        <v>239</v>
      </c>
      <c r="C802" s="3" t="s">
        <v>240</v>
      </c>
      <c r="D802" s="3" t="s">
        <v>209</v>
      </c>
      <c r="E802" s="4">
        <v>6</v>
      </c>
      <c r="F802" s="5">
        <f>IFERROR(3958.8*ACOS(MIN(1,MAX(-1,SIN(RADIANS('ZIP Coordinates'!$C$2))*SIN(RADIANS(INDEX('ZIP Coordinates'!$C:$C,MATCH($A802,'ZIP Coordinates'!$A:$A,0))))+COS(RADIANS('ZIP Coordinates'!$C$2))*COS(RADIANS(INDEX('ZIP Coordinates'!$C:$C,MATCH($A802,'ZIP Coordinates'!$A:$A,0))))*COS(RADIANS(INDEX('ZIP Coordinates'!$D:$D,MATCH($A802,'ZIP Coordinates'!$A:$A,0))-'ZIP Coordinates'!$D$2))))),"N/A")</f>
        <v>142.88957686050676</v>
      </c>
      <c r="G802" s="3" t="str">
        <f t="shared" si="24"/>
        <v>100-149 mi</v>
      </c>
      <c r="H802" s="27">
        <f>IF(RIGHT($B802,1)="P",1,IF(ISNUMBER(SEARCH("HALF GALLON",$C802)),Assumptions!$B$4,IF(ISNUMBER(SEARCH("GALLON",$C802)),Assumptions!$B$3,IF(ISNUMBER(SEARCH("QUART",$C802)),Assumptions!$B$5,IF(ISNUMBER(SEARCH("PINT",$C802)),Assumptions!$B$6,Assumptions!$B$7)))))</f>
        <v>1</v>
      </c>
      <c r="I802" s="27">
        <f t="shared" si="25"/>
        <v>6</v>
      </c>
    </row>
    <row r="803" spans="1:9" x14ac:dyDescent="0.2">
      <c r="A803" s="3" t="s">
        <v>78</v>
      </c>
      <c r="B803" s="3" t="s">
        <v>259</v>
      </c>
      <c r="C803" s="3" t="s">
        <v>260</v>
      </c>
      <c r="D803" s="3" t="s">
        <v>94</v>
      </c>
      <c r="E803" s="4">
        <v>7</v>
      </c>
      <c r="F803" s="5">
        <f>IFERROR(3958.8*ACOS(MIN(1,MAX(-1,SIN(RADIANS('ZIP Coordinates'!$C$2))*SIN(RADIANS(INDEX('ZIP Coordinates'!$C:$C,MATCH($A803,'ZIP Coordinates'!$A:$A,0))))+COS(RADIANS('ZIP Coordinates'!$C$2))*COS(RADIANS(INDEX('ZIP Coordinates'!$C:$C,MATCH($A803,'ZIP Coordinates'!$A:$A,0))))*COS(RADIANS(INDEX('ZIP Coordinates'!$D:$D,MATCH($A803,'ZIP Coordinates'!$A:$A,0))-'ZIP Coordinates'!$D$2))))),"N/A")</f>
        <v>142.88957686050676</v>
      </c>
      <c r="G803" s="3" t="str">
        <f t="shared" si="24"/>
        <v>100-149 mi</v>
      </c>
      <c r="H803" s="27">
        <f>IF(RIGHT($B803,1)="P",1,IF(ISNUMBER(SEARCH("HALF GALLON",$C803)),Assumptions!$B$4,IF(ISNUMBER(SEARCH("GALLON",$C803)),Assumptions!$B$3,IF(ISNUMBER(SEARCH("QUART",$C803)),Assumptions!$B$5,IF(ISNUMBER(SEARCH("PINT",$C803)),Assumptions!$B$6,Assumptions!$B$7)))))</f>
        <v>4</v>
      </c>
      <c r="I803" s="27">
        <f t="shared" si="25"/>
        <v>28</v>
      </c>
    </row>
    <row r="804" spans="1:9" x14ac:dyDescent="0.2">
      <c r="A804" s="3" t="s">
        <v>78</v>
      </c>
      <c r="B804" s="3" t="s">
        <v>267</v>
      </c>
      <c r="C804" s="3" t="s">
        <v>268</v>
      </c>
      <c r="D804" s="3" t="s">
        <v>94</v>
      </c>
      <c r="E804" s="4">
        <v>7</v>
      </c>
      <c r="F804" s="5">
        <f>IFERROR(3958.8*ACOS(MIN(1,MAX(-1,SIN(RADIANS('ZIP Coordinates'!$C$2))*SIN(RADIANS(INDEX('ZIP Coordinates'!$C:$C,MATCH($A804,'ZIP Coordinates'!$A:$A,0))))+COS(RADIANS('ZIP Coordinates'!$C$2))*COS(RADIANS(INDEX('ZIP Coordinates'!$C:$C,MATCH($A804,'ZIP Coordinates'!$A:$A,0))))*COS(RADIANS(INDEX('ZIP Coordinates'!$D:$D,MATCH($A804,'ZIP Coordinates'!$A:$A,0))-'ZIP Coordinates'!$D$2))))),"N/A")</f>
        <v>142.88957686050676</v>
      </c>
      <c r="G804" s="3" t="str">
        <f t="shared" si="24"/>
        <v>100-149 mi</v>
      </c>
      <c r="H804" s="27">
        <f>IF(RIGHT($B804,1)="P",1,IF(ISNUMBER(SEARCH("HALF GALLON",$C804)),Assumptions!$B$4,IF(ISNUMBER(SEARCH("GALLON",$C804)),Assumptions!$B$3,IF(ISNUMBER(SEARCH("QUART",$C804)),Assumptions!$B$5,IF(ISNUMBER(SEARCH("PINT",$C804)),Assumptions!$B$6,Assumptions!$B$7)))))</f>
        <v>4</v>
      </c>
      <c r="I804" s="27">
        <f t="shared" si="25"/>
        <v>28</v>
      </c>
    </row>
    <row r="805" spans="1:9" x14ac:dyDescent="0.2">
      <c r="A805" s="3" t="s">
        <v>78</v>
      </c>
      <c r="B805" s="3" t="s">
        <v>241</v>
      </c>
      <c r="C805" s="3" t="s">
        <v>242</v>
      </c>
      <c r="D805" s="3" t="s">
        <v>94</v>
      </c>
      <c r="E805" s="4">
        <v>30</v>
      </c>
      <c r="F805" s="5">
        <f>IFERROR(3958.8*ACOS(MIN(1,MAX(-1,SIN(RADIANS('ZIP Coordinates'!$C$2))*SIN(RADIANS(INDEX('ZIP Coordinates'!$C:$C,MATCH($A805,'ZIP Coordinates'!$A:$A,0))))+COS(RADIANS('ZIP Coordinates'!$C$2))*COS(RADIANS(INDEX('ZIP Coordinates'!$C:$C,MATCH($A805,'ZIP Coordinates'!$A:$A,0))))*COS(RADIANS(INDEX('ZIP Coordinates'!$D:$D,MATCH($A805,'ZIP Coordinates'!$A:$A,0))-'ZIP Coordinates'!$D$2))))),"N/A")</f>
        <v>142.88957686050676</v>
      </c>
      <c r="G805" s="3" t="str">
        <f t="shared" si="24"/>
        <v>100-149 mi</v>
      </c>
      <c r="H805" s="27">
        <f>IF(RIGHT($B805,1)="P",1,IF(ISNUMBER(SEARCH("HALF GALLON",$C805)),Assumptions!$B$4,IF(ISNUMBER(SEARCH("GALLON",$C805)),Assumptions!$B$3,IF(ISNUMBER(SEARCH("QUART",$C805)),Assumptions!$B$5,IF(ISNUMBER(SEARCH("PINT",$C805)),Assumptions!$B$6,Assumptions!$B$7)))))</f>
        <v>1</v>
      </c>
      <c r="I805" s="27">
        <f t="shared" si="25"/>
        <v>30</v>
      </c>
    </row>
    <row r="806" spans="1:9" x14ac:dyDescent="0.2">
      <c r="A806" s="3" t="s">
        <v>78</v>
      </c>
      <c r="B806" s="3" t="s">
        <v>271</v>
      </c>
      <c r="C806" s="3" t="s">
        <v>244</v>
      </c>
      <c r="D806" s="3" t="s">
        <v>99</v>
      </c>
      <c r="E806" s="4">
        <v>836</v>
      </c>
      <c r="F806" s="5">
        <f>IFERROR(3958.8*ACOS(MIN(1,MAX(-1,SIN(RADIANS('ZIP Coordinates'!$C$2))*SIN(RADIANS(INDEX('ZIP Coordinates'!$C:$C,MATCH($A806,'ZIP Coordinates'!$A:$A,0))))+COS(RADIANS('ZIP Coordinates'!$C$2))*COS(RADIANS(INDEX('ZIP Coordinates'!$C:$C,MATCH($A806,'ZIP Coordinates'!$A:$A,0))))*COS(RADIANS(INDEX('ZIP Coordinates'!$D:$D,MATCH($A806,'ZIP Coordinates'!$A:$A,0))-'ZIP Coordinates'!$D$2))))),"N/A")</f>
        <v>142.88957686050676</v>
      </c>
      <c r="G806" s="3" t="str">
        <f t="shared" si="24"/>
        <v>100-149 mi</v>
      </c>
      <c r="H806" s="27">
        <f>IF(RIGHT($B806,1)="P",1,IF(ISNUMBER(SEARCH("HALF GALLON",$C806)),Assumptions!$B$4,IF(ISNUMBER(SEARCH("GALLON",$C806)),Assumptions!$B$3,IF(ISNUMBER(SEARCH("QUART",$C806)),Assumptions!$B$5,IF(ISNUMBER(SEARCH("PINT",$C806)),Assumptions!$B$6,Assumptions!$B$7)))))</f>
        <v>9</v>
      </c>
      <c r="I806" s="27">
        <f t="shared" si="25"/>
        <v>7524</v>
      </c>
    </row>
    <row r="807" spans="1:9" x14ac:dyDescent="0.2">
      <c r="A807" s="3" t="s">
        <v>78</v>
      </c>
      <c r="B807" s="3" t="s">
        <v>243</v>
      </c>
      <c r="C807" s="3" t="s">
        <v>244</v>
      </c>
      <c r="D807" s="3" t="s">
        <v>94</v>
      </c>
      <c r="E807" s="4">
        <v>30</v>
      </c>
      <c r="F807" s="5">
        <f>IFERROR(3958.8*ACOS(MIN(1,MAX(-1,SIN(RADIANS('ZIP Coordinates'!$C$2))*SIN(RADIANS(INDEX('ZIP Coordinates'!$C:$C,MATCH($A807,'ZIP Coordinates'!$A:$A,0))))+COS(RADIANS('ZIP Coordinates'!$C$2))*COS(RADIANS(INDEX('ZIP Coordinates'!$C:$C,MATCH($A807,'ZIP Coordinates'!$A:$A,0))))*COS(RADIANS(INDEX('ZIP Coordinates'!$D:$D,MATCH($A807,'ZIP Coordinates'!$A:$A,0))-'ZIP Coordinates'!$D$2))))),"N/A")</f>
        <v>142.88957686050676</v>
      </c>
      <c r="G807" s="3" t="str">
        <f t="shared" si="24"/>
        <v>100-149 mi</v>
      </c>
      <c r="H807" s="27">
        <f>IF(RIGHT($B807,1)="P",1,IF(ISNUMBER(SEARCH("HALF GALLON",$C807)),Assumptions!$B$4,IF(ISNUMBER(SEARCH("GALLON",$C807)),Assumptions!$B$3,IF(ISNUMBER(SEARCH("QUART",$C807)),Assumptions!$B$5,IF(ISNUMBER(SEARCH("PINT",$C807)),Assumptions!$B$6,Assumptions!$B$7)))))</f>
        <v>1</v>
      </c>
      <c r="I807" s="27">
        <f t="shared" si="25"/>
        <v>30</v>
      </c>
    </row>
    <row r="808" spans="1:9" x14ac:dyDescent="0.2">
      <c r="A808" s="3" t="s">
        <v>78</v>
      </c>
      <c r="B808" s="3" t="s">
        <v>274</v>
      </c>
      <c r="C808" s="3" t="s">
        <v>275</v>
      </c>
      <c r="D808" s="3" t="s">
        <v>94</v>
      </c>
      <c r="E808" s="4">
        <v>815</v>
      </c>
      <c r="F808" s="5">
        <f>IFERROR(3958.8*ACOS(MIN(1,MAX(-1,SIN(RADIANS('ZIP Coordinates'!$C$2))*SIN(RADIANS(INDEX('ZIP Coordinates'!$C:$C,MATCH($A808,'ZIP Coordinates'!$A:$A,0))))+COS(RADIANS('ZIP Coordinates'!$C$2))*COS(RADIANS(INDEX('ZIP Coordinates'!$C:$C,MATCH($A808,'ZIP Coordinates'!$A:$A,0))))*COS(RADIANS(INDEX('ZIP Coordinates'!$D:$D,MATCH($A808,'ZIP Coordinates'!$A:$A,0))-'ZIP Coordinates'!$D$2))))),"N/A")</f>
        <v>142.88957686050676</v>
      </c>
      <c r="G808" s="3" t="str">
        <f t="shared" si="24"/>
        <v>100-149 mi</v>
      </c>
      <c r="H808" s="27">
        <f>IF(RIGHT($B808,1)="P",1,IF(ISNUMBER(SEARCH("HALF GALLON",$C808)),Assumptions!$B$4,IF(ISNUMBER(SEARCH("GALLON",$C808)),Assumptions!$B$3,IF(ISNUMBER(SEARCH("QUART",$C808)),Assumptions!$B$5,IF(ISNUMBER(SEARCH("PINT",$C808)),Assumptions!$B$6,Assumptions!$B$7)))))</f>
        <v>9</v>
      </c>
      <c r="I808" s="27">
        <f t="shared" si="25"/>
        <v>7335</v>
      </c>
    </row>
    <row r="809" spans="1:9" x14ac:dyDescent="0.2">
      <c r="A809" s="3" t="s">
        <v>78</v>
      </c>
      <c r="B809" s="3" t="s">
        <v>276</v>
      </c>
      <c r="C809" s="3" t="s">
        <v>275</v>
      </c>
      <c r="D809" s="3" t="s">
        <v>94</v>
      </c>
      <c r="E809" s="4">
        <v>21</v>
      </c>
      <c r="F809" s="5">
        <f>IFERROR(3958.8*ACOS(MIN(1,MAX(-1,SIN(RADIANS('ZIP Coordinates'!$C$2))*SIN(RADIANS(INDEX('ZIP Coordinates'!$C:$C,MATCH($A809,'ZIP Coordinates'!$A:$A,0))))+COS(RADIANS('ZIP Coordinates'!$C$2))*COS(RADIANS(INDEX('ZIP Coordinates'!$C:$C,MATCH($A809,'ZIP Coordinates'!$A:$A,0))))*COS(RADIANS(INDEX('ZIP Coordinates'!$D:$D,MATCH($A809,'ZIP Coordinates'!$A:$A,0))-'ZIP Coordinates'!$D$2))))),"N/A")</f>
        <v>142.88957686050676</v>
      </c>
      <c r="G809" s="3" t="str">
        <f t="shared" si="24"/>
        <v>100-149 mi</v>
      </c>
      <c r="H809" s="27">
        <f>IF(RIGHT($B809,1)="P",1,IF(ISNUMBER(SEARCH("HALF GALLON",$C809)),Assumptions!$B$4,IF(ISNUMBER(SEARCH("GALLON",$C809)),Assumptions!$B$3,IF(ISNUMBER(SEARCH("QUART",$C809)),Assumptions!$B$5,IF(ISNUMBER(SEARCH("PINT",$C809)),Assumptions!$B$6,Assumptions!$B$7)))))</f>
        <v>1</v>
      </c>
      <c r="I809" s="27">
        <f t="shared" si="25"/>
        <v>21</v>
      </c>
    </row>
    <row r="810" spans="1:9" x14ac:dyDescent="0.2">
      <c r="A810" s="3" t="s">
        <v>78</v>
      </c>
      <c r="B810" s="3" t="s">
        <v>247</v>
      </c>
      <c r="C810" s="3" t="s">
        <v>246</v>
      </c>
      <c r="D810" s="3" t="s">
        <v>94</v>
      </c>
      <c r="E810" s="4">
        <v>90</v>
      </c>
      <c r="F810" s="5">
        <f>IFERROR(3958.8*ACOS(MIN(1,MAX(-1,SIN(RADIANS('ZIP Coordinates'!$C$2))*SIN(RADIANS(INDEX('ZIP Coordinates'!$C:$C,MATCH($A810,'ZIP Coordinates'!$A:$A,0))))+COS(RADIANS('ZIP Coordinates'!$C$2))*COS(RADIANS(INDEX('ZIP Coordinates'!$C:$C,MATCH($A810,'ZIP Coordinates'!$A:$A,0))))*COS(RADIANS(INDEX('ZIP Coordinates'!$D:$D,MATCH($A810,'ZIP Coordinates'!$A:$A,0))-'ZIP Coordinates'!$D$2))))),"N/A")</f>
        <v>142.88957686050676</v>
      </c>
      <c r="G810" s="3" t="str">
        <f t="shared" si="24"/>
        <v>100-149 mi</v>
      </c>
      <c r="H810" s="27">
        <f>IF(RIGHT($B810,1)="P",1,IF(ISNUMBER(SEARCH("HALF GALLON",$C810)),Assumptions!$B$4,IF(ISNUMBER(SEARCH("GALLON",$C810)),Assumptions!$B$3,IF(ISNUMBER(SEARCH("QUART",$C810)),Assumptions!$B$5,IF(ISNUMBER(SEARCH("PINT",$C810)),Assumptions!$B$6,Assumptions!$B$7)))))</f>
        <v>1</v>
      </c>
      <c r="I810" s="27">
        <f t="shared" si="25"/>
        <v>90</v>
      </c>
    </row>
    <row r="811" spans="1:9" x14ac:dyDescent="0.2">
      <c r="A811" s="3" t="s">
        <v>78</v>
      </c>
      <c r="B811" s="3" t="s">
        <v>250</v>
      </c>
      <c r="C811" s="3" t="s">
        <v>249</v>
      </c>
      <c r="D811" s="3" t="s">
        <v>94</v>
      </c>
      <c r="E811" s="4">
        <v>95</v>
      </c>
      <c r="F811" s="5">
        <f>IFERROR(3958.8*ACOS(MIN(1,MAX(-1,SIN(RADIANS('ZIP Coordinates'!$C$2))*SIN(RADIANS(INDEX('ZIP Coordinates'!$C:$C,MATCH($A811,'ZIP Coordinates'!$A:$A,0))))+COS(RADIANS('ZIP Coordinates'!$C$2))*COS(RADIANS(INDEX('ZIP Coordinates'!$C:$C,MATCH($A811,'ZIP Coordinates'!$A:$A,0))))*COS(RADIANS(INDEX('ZIP Coordinates'!$D:$D,MATCH($A811,'ZIP Coordinates'!$A:$A,0))-'ZIP Coordinates'!$D$2))))),"N/A")</f>
        <v>142.88957686050676</v>
      </c>
      <c r="G811" s="3" t="str">
        <f t="shared" si="24"/>
        <v>100-149 mi</v>
      </c>
      <c r="H811" s="27">
        <f>IF(RIGHT($B811,1)="P",1,IF(ISNUMBER(SEARCH("HALF GALLON",$C811)),Assumptions!$B$4,IF(ISNUMBER(SEARCH("GALLON",$C811)),Assumptions!$B$3,IF(ISNUMBER(SEARCH("QUART",$C811)),Assumptions!$B$5,IF(ISNUMBER(SEARCH("PINT",$C811)),Assumptions!$B$6,Assumptions!$B$7)))))</f>
        <v>1</v>
      </c>
      <c r="I811" s="27">
        <f t="shared" si="25"/>
        <v>95</v>
      </c>
    </row>
    <row r="812" spans="1:9" x14ac:dyDescent="0.2">
      <c r="A812" s="3" t="s">
        <v>78</v>
      </c>
      <c r="B812" s="3" t="s">
        <v>281</v>
      </c>
      <c r="C812" s="3" t="s">
        <v>252</v>
      </c>
      <c r="D812" s="3" t="s">
        <v>94</v>
      </c>
      <c r="E812" s="4">
        <v>1</v>
      </c>
      <c r="F812" s="5">
        <f>IFERROR(3958.8*ACOS(MIN(1,MAX(-1,SIN(RADIANS('ZIP Coordinates'!$C$2))*SIN(RADIANS(INDEX('ZIP Coordinates'!$C:$C,MATCH($A812,'ZIP Coordinates'!$A:$A,0))))+COS(RADIANS('ZIP Coordinates'!$C$2))*COS(RADIANS(INDEX('ZIP Coordinates'!$C:$C,MATCH($A812,'ZIP Coordinates'!$A:$A,0))))*COS(RADIANS(INDEX('ZIP Coordinates'!$D:$D,MATCH($A812,'ZIP Coordinates'!$A:$A,0))-'ZIP Coordinates'!$D$2))))),"N/A")</f>
        <v>142.88957686050676</v>
      </c>
      <c r="G812" s="3" t="str">
        <f t="shared" si="24"/>
        <v>100-149 mi</v>
      </c>
      <c r="H812" s="27">
        <f>IF(RIGHT($B812,1)="P",1,IF(ISNUMBER(SEARCH("HALF GALLON",$C812)),Assumptions!$B$4,IF(ISNUMBER(SEARCH("GALLON",$C812)),Assumptions!$B$3,IF(ISNUMBER(SEARCH("QUART",$C812)),Assumptions!$B$5,IF(ISNUMBER(SEARCH("PINT",$C812)),Assumptions!$B$6,Assumptions!$B$7)))))</f>
        <v>20</v>
      </c>
      <c r="I812" s="27">
        <f t="shared" si="25"/>
        <v>20</v>
      </c>
    </row>
    <row r="813" spans="1:9" x14ac:dyDescent="0.2">
      <c r="A813" s="3" t="s">
        <v>78</v>
      </c>
      <c r="B813" s="3" t="s">
        <v>251</v>
      </c>
      <c r="C813" s="3" t="s">
        <v>252</v>
      </c>
      <c r="D813" s="3" t="s">
        <v>94</v>
      </c>
      <c r="E813" s="4">
        <v>85</v>
      </c>
      <c r="F813" s="5">
        <f>IFERROR(3958.8*ACOS(MIN(1,MAX(-1,SIN(RADIANS('ZIP Coordinates'!$C$2))*SIN(RADIANS(INDEX('ZIP Coordinates'!$C:$C,MATCH($A813,'ZIP Coordinates'!$A:$A,0))))+COS(RADIANS('ZIP Coordinates'!$C$2))*COS(RADIANS(INDEX('ZIP Coordinates'!$C:$C,MATCH($A813,'ZIP Coordinates'!$A:$A,0))))*COS(RADIANS(INDEX('ZIP Coordinates'!$D:$D,MATCH($A813,'ZIP Coordinates'!$A:$A,0))-'ZIP Coordinates'!$D$2))))),"N/A")</f>
        <v>142.88957686050676</v>
      </c>
      <c r="G813" s="3" t="str">
        <f t="shared" si="24"/>
        <v>100-149 mi</v>
      </c>
      <c r="H813" s="27">
        <f>IF(RIGHT($B813,1)="P",1,IF(ISNUMBER(SEARCH("HALF GALLON",$C813)),Assumptions!$B$4,IF(ISNUMBER(SEARCH("GALLON",$C813)),Assumptions!$B$3,IF(ISNUMBER(SEARCH("QUART",$C813)),Assumptions!$B$5,IF(ISNUMBER(SEARCH("PINT",$C813)),Assumptions!$B$6,Assumptions!$B$7)))))</f>
        <v>1</v>
      </c>
      <c r="I813" s="27">
        <f t="shared" si="25"/>
        <v>85</v>
      </c>
    </row>
    <row r="814" spans="1:9" x14ac:dyDescent="0.2">
      <c r="A814" s="3" t="s">
        <v>78</v>
      </c>
      <c r="B814" s="3" t="s">
        <v>286</v>
      </c>
      <c r="C814" s="3" t="s">
        <v>287</v>
      </c>
      <c r="D814" s="3" t="s">
        <v>94</v>
      </c>
      <c r="E814" s="4">
        <v>36</v>
      </c>
      <c r="F814" s="5">
        <f>IFERROR(3958.8*ACOS(MIN(1,MAX(-1,SIN(RADIANS('ZIP Coordinates'!$C$2))*SIN(RADIANS(INDEX('ZIP Coordinates'!$C:$C,MATCH($A814,'ZIP Coordinates'!$A:$A,0))))+COS(RADIANS('ZIP Coordinates'!$C$2))*COS(RADIANS(INDEX('ZIP Coordinates'!$C:$C,MATCH($A814,'ZIP Coordinates'!$A:$A,0))))*COS(RADIANS(INDEX('ZIP Coordinates'!$D:$D,MATCH($A814,'ZIP Coordinates'!$A:$A,0))-'ZIP Coordinates'!$D$2))))),"N/A")</f>
        <v>142.88957686050676</v>
      </c>
      <c r="G814" s="3" t="str">
        <f t="shared" si="24"/>
        <v>100-149 mi</v>
      </c>
      <c r="H814" s="27">
        <f>IF(RIGHT($B814,1)="P",1,IF(ISNUMBER(SEARCH("HALF GALLON",$C814)),Assumptions!$B$4,IF(ISNUMBER(SEARCH("GALLON",$C814)),Assumptions!$B$3,IF(ISNUMBER(SEARCH("QUART",$C814)),Assumptions!$B$5,IF(ISNUMBER(SEARCH("PINT",$C814)),Assumptions!$B$6,Assumptions!$B$7)))))</f>
        <v>9</v>
      </c>
      <c r="I814" s="27">
        <f t="shared" si="25"/>
        <v>324</v>
      </c>
    </row>
    <row r="815" spans="1:9" x14ac:dyDescent="0.2">
      <c r="A815" s="3" t="s">
        <v>78</v>
      </c>
      <c r="B815" s="3" t="s">
        <v>255</v>
      </c>
      <c r="C815" s="3" t="s">
        <v>256</v>
      </c>
      <c r="D815" s="3" t="s">
        <v>94</v>
      </c>
      <c r="E815" s="4">
        <v>35</v>
      </c>
      <c r="F815" s="5">
        <f>IFERROR(3958.8*ACOS(MIN(1,MAX(-1,SIN(RADIANS('ZIP Coordinates'!$C$2))*SIN(RADIANS(INDEX('ZIP Coordinates'!$C:$C,MATCH($A815,'ZIP Coordinates'!$A:$A,0))))+COS(RADIANS('ZIP Coordinates'!$C$2))*COS(RADIANS(INDEX('ZIP Coordinates'!$C:$C,MATCH($A815,'ZIP Coordinates'!$A:$A,0))))*COS(RADIANS(INDEX('ZIP Coordinates'!$D:$D,MATCH($A815,'ZIP Coordinates'!$A:$A,0))-'ZIP Coordinates'!$D$2))))),"N/A")</f>
        <v>142.88957686050676</v>
      </c>
      <c r="G815" s="3" t="str">
        <f t="shared" si="24"/>
        <v>100-149 mi</v>
      </c>
      <c r="H815" s="27">
        <f>IF(RIGHT($B815,1)="P",1,IF(ISNUMBER(SEARCH("HALF GALLON",$C815)),Assumptions!$B$4,IF(ISNUMBER(SEARCH("GALLON",$C815)),Assumptions!$B$3,IF(ISNUMBER(SEARCH("QUART",$C815)),Assumptions!$B$5,IF(ISNUMBER(SEARCH("PINT",$C815)),Assumptions!$B$6,Assumptions!$B$7)))))</f>
        <v>20</v>
      </c>
      <c r="I815" s="27">
        <f t="shared" si="25"/>
        <v>700</v>
      </c>
    </row>
    <row r="816" spans="1:9" x14ac:dyDescent="0.2">
      <c r="A816" s="3" t="s">
        <v>78</v>
      </c>
      <c r="B816" s="3" t="s">
        <v>257</v>
      </c>
      <c r="C816" s="3" t="s">
        <v>256</v>
      </c>
      <c r="D816" s="3" t="s">
        <v>141</v>
      </c>
      <c r="E816" s="4">
        <v>146</v>
      </c>
      <c r="F816" s="5">
        <f>IFERROR(3958.8*ACOS(MIN(1,MAX(-1,SIN(RADIANS('ZIP Coordinates'!$C$2))*SIN(RADIANS(INDEX('ZIP Coordinates'!$C:$C,MATCH($A816,'ZIP Coordinates'!$A:$A,0))))+COS(RADIANS('ZIP Coordinates'!$C$2))*COS(RADIANS(INDEX('ZIP Coordinates'!$C:$C,MATCH($A816,'ZIP Coordinates'!$A:$A,0))))*COS(RADIANS(INDEX('ZIP Coordinates'!$D:$D,MATCH($A816,'ZIP Coordinates'!$A:$A,0))-'ZIP Coordinates'!$D$2))))),"N/A")</f>
        <v>142.88957686050676</v>
      </c>
      <c r="G816" s="3" t="str">
        <f t="shared" si="24"/>
        <v>100-149 mi</v>
      </c>
      <c r="H816" s="27">
        <f>IF(RIGHT($B816,1)="P",1,IF(ISNUMBER(SEARCH("HALF GALLON",$C816)),Assumptions!$B$4,IF(ISNUMBER(SEARCH("GALLON",$C816)),Assumptions!$B$3,IF(ISNUMBER(SEARCH("QUART",$C816)),Assumptions!$B$5,IF(ISNUMBER(SEARCH("PINT",$C816)),Assumptions!$B$6,Assumptions!$B$7)))))</f>
        <v>1</v>
      </c>
      <c r="I816" s="27">
        <f t="shared" si="25"/>
        <v>146</v>
      </c>
    </row>
    <row r="817" spans="1:9" x14ac:dyDescent="0.2">
      <c r="A817" s="3" t="s">
        <v>79</v>
      </c>
      <c r="B817" s="3" t="s">
        <v>258</v>
      </c>
      <c r="C817" s="3" t="s">
        <v>240</v>
      </c>
      <c r="D817" s="3" t="s">
        <v>115</v>
      </c>
      <c r="E817" s="4">
        <v>4</v>
      </c>
      <c r="F817" s="5">
        <f>IFERROR(3958.8*ACOS(MIN(1,MAX(-1,SIN(RADIANS('ZIP Coordinates'!$C$2))*SIN(RADIANS(INDEX('ZIP Coordinates'!$C:$C,MATCH($A817,'ZIP Coordinates'!$A:$A,0))))+COS(RADIANS('ZIP Coordinates'!$C$2))*COS(RADIANS(INDEX('ZIP Coordinates'!$C:$C,MATCH($A817,'ZIP Coordinates'!$A:$A,0))))*COS(RADIANS(INDEX('ZIP Coordinates'!$D:$D,MATCH($A817,'ZIP Coordinates'!$A:$A,0))-'ZIP Coordinates'!$D$2))))),"N/A")</f>
        <v>158.22480756180738</v>
      </c>
      <c r="G817" s="3" t="str">
        <f t="shared" si="24"/>
        <v>150-199 mi</v>
      </c>
      <c r="H817" s="27">
        <f>IF(RIGHT($B817,1)="P",1,IF(ISNUMBER(SEARCH("HALF GALLON",$C817)),Assumptions!$B$4,IF(ISNUMBER(SEARCH("GALLON",$C817)),Assumptions!$B$3,IF(ISNUMBER(SEARCH("QUART",$C817)),Assumptions!$B$5,IF(ISNUMBER(SEARCH("PINT",$C817)),Assumptions!$B$6,Assumptions!$B$7)))))</f>
        <v>4</v>
      </c>
      <c r="I817" s="27">
        <f t="shared" si="25"/>
        <v>16</v>
      </c>
    </row>
    <row r="818" spans="1:9" x14ac:dyDescent="0.2">
      <c r="A818" s="3" t="s">
        <v>79</v>
      </c>
      <c r="B818" s="3" t="s">
        <v>239</v>
      </c>
      <c r="C818" s="3" t="s">
        <v>240</v>
      </c>
      <c r="D818" s="3" t="s">
        <v>115</v>
      </c>
      <c r="E818" s="4">
        <v>64</v>
      </c>
      <c r="F818" s="5">
        <f>IFERROR(3958.8*ACOS(MIN(1,MAX(-1,SIN(RADIANS('ZIP Coordinates'!$C$2))*SIN(RADIANS(INDEX('ZIP Coordinates'!$C:$C,MATCH($A818,'ZIP Coordinates'!$A:$A,0))))+COS(RADIANS('ZIP Coordinates'!$C$2))*COS(RADIANS(INDEX('ZIP Coordinates'!$C:$C,MATCH($A818,'ZIP Coordinates'!$A:$A,0))))*COS(RADIANS(INDEX('ZIP Coordinates'!$D:$D,MATCH($A818,'ZIP Coordinates'!$A:$A,0))-'ZIP Coordinates'!$D$2))))),"N/A")</f>
        <v>158.22480756180738</v>
      </c>
      <c r="G818" s="3" t="str">
        <f t="shared" si="24"/>
        <v>150-199 mi</v>
      </c>
      <c r="H818" s="27">
        <f>IF(RIGHT($B818,1)="P",1,IF(ISNUMBER(SEARCH("HALF GALLON",$C818)),Assumptions!$B$4,IF(ISNUMBER(SEARCH("GALLON",$C818)),Assumptions!$B$3,IF(ISNUMBER(SEARCH("QUART",$C818)),Assumptions!$B$5,IF(ISNUMBER(SEARCH("PINT",$C818)),Assumptions!$B$6,Assumptions!$B$7)))))</f>
        <v>1</v>
      </c>
      <c r="I818" s="27">
        <f t="shared" si="25"/>
        <v>64</v>
      </c>
    </row>
    <row r="819" spans="1:9" x14ac:dyDescent="0.2">
      <c r="A819" s="3" t="s">
        <v>79</v>
      </c>
      <c r="B819" s="3" t="s">
        <v>259</v>
      </c>
      <c r="C819" s="3" t="s">
        <v>260</v>
      </c>
      <c r="D819" s="3" t="s">
        <v>115</v>
      </c>
      <c r="E819" s="4">
        <v>1</v>
      </c>
      <c r="F819" s="5">
        <f>IFERROR(3958.8*ACOS(MIN(1,MAX(-1,SIN(RADIANS('ZIP Coordinates'!$C$2))*SIN(RADIANS(INDEX('ZIP Coordinates'!$C:$C,MATCH($A819,'ZIP Coordinates'!$A:$A,0))))+COS(RADIANS('ZIP Coordinates'!$C$2))*COS(RADIANS(INDEX('ZIP Coordinates'!$C:$C,MATCH($A819,'ZIP Coordinates'!$A:$A,0))))*COS(RADIANS(INDEX('ZIP Coordinates'!$D:$D,MATCH($A819,'ZIP Coordinates'!$A:$A,0))-'ZIP Coordinates'!$D$2))))),"N/A")</f>
        <v>158.22480756180738</v>
      </c>
      <c r="G819" s="3" t="str">
        <f t="shared" si="24"/>
        <v>150-199 mi</v>
      </c>
      <c r="H819" s="27">
        <f>IF(RIGHT($B819,1)="P",1,IF(ISNUMBER(SEARCH("HALF GALLON",$C819)),Assumptions!$B$4,IF(ISNUMBER(SEARCH("GALLON",$C819)),Assumptions!$B$3,IF(ISNUMBER(SEARCH("QUART",$C819)),Assumptions!$B$5,IF(ISNUMBER(SEARCH("PINT",$C819)),Assumptions!$B$6,Assumptions!$B$7)))))</f>
        <v>4</v>
      </c>
      <c r="I819" s="27">
        <f t="shared" si="25"/>
        <v>4</v>
      </c>
    </row>
    <row r="820" spans="1:9" x14ac:dyDescent="0.2">
      <c r="A820" s="3" t="s">
        <v>79</v>
      </c>
      <c r="B820" s="3" t="s">
        <v>261</v>
      </c>
      <c r="C820" s="3" t="s">
        <v>260</v>
      </c>
      <c r="D820" s="3" t="s">
        <v>115</v>
      </c>
      <c r="E820" s="4">
        <v>27</v>
      </c>
      <c r="F820" s="5">
        <f>IFERROR(3958.8*ACOS(MIN(1,MAX(-1,SIN(RADIANS('ZIP Coordinates'!$C$2))*SIN(RADIANS(INDEX('ZIP Coordinates'!$C:$C,MATCH($A820,'ZIP Coordinates'!$A:$A,0))))+COS(RADIANS('ZIP Coordinates'!$C$2))*COS(RADIANS(INDEX('ZIP Coordinates'!$C:$C,MATCH($A820,'ZIP Coordinates'!$A:$A,0))))*COS(RADIANS(INDEX('ZIP Coordinates'!$D:$D,MATCH($A820,'ZIP Coordinates'!$A:$A,0))-'ZIP Coordinates'!$D$2))))),"N/A")</f>
        <v>158.22480756180738</v>
      </c>
      <c r="G820" s="3" t="str">
        <f t="shared" si="24"/>
        <v>150-199 mi</v>
      </c>
      <c r="H820" s="27">
        <f>IF(RIGHT($B820,1)="P",1,IF(ISNUMBER(SEARCH("HALF GALLON",$C820)),Assumptions!$B$4,IF(ISNUMBER(SEARCH("GALLON",$C820)),Assumptions!$B$3,IF(ISNUMBER(SEARCH("QUART",$C820)),Assumptions!$B$5,IF(ISNUMBER(SEARCH("PINT",$C820)),Assumptions!$B$6,Assumptions!$B$7)))))</f>
        <v>1</v>
      </c>
      <c r="I820" s="27">
        <f t="shared" si="25"/>
        <v>27</v>
      </c>
    </row>
    <row r="821" spans="1:9" x14ac:dyDescent="0.2">
      <c r="A821" s="3" t="s">
        <v>79</v>
      </c>
      <c r="B821" s="3" t="s">
        <v>241</v>
      </c>
      <c r="C821" s="3" t="s">
        <v>242</v>
      </c>
      <c r="D821" s="3" t="s">
        <v>115</v>
      </c>
      <c r="E821" s="4">
        <v>57</v>
      </c>
      <c r="F821" s="5">
        <f>IFERROR(3958.8*ACOS(MIN(1,MAX(-1,SIN(RADIANS('ZIP Coordinates'!$C$2))*SIN(RADIANS(INDEX('ZIP Coordinates'!$C:$C,MATCH($A821,'ZIP Coordinates'!$A:$A,0))))+COS(RADIANS('ZIP Coordinates'!$C$2))*COS(RADIANS(INDEX('ZIP Coordinates'!$C:$C,MATCH($A821,'ZIP Coordinates'!$A:$A,0))))*COS(RADIANS(INDEX('ZIP Coordinates'!$D:$D,MATCH($A821,'ZIP Coordinates'!$A:$A,0))-'ZIP Coordinates'!$D$2))))),"N/A")</f>
        <v>158.22480756180738</v>
      </c>
      <c r="G821" s="3" t="str">
        <f t="shared" si="24"/>
        <v>150-199 mi</v>
      </c>
      <c r="H821" s="27">
        <f>IF(RIGHT($B821,1)="P",1,IF(ISNUMBER(SEARCH("HALF GALLON",$C821)),Assumptions!$B$4,IF(ISNUMBER(SEARCH("GALLON",$C821)),Assumptions!$B$3,IF(ISNUMBER(SEARCH("QUART",$C821)),Assumptions!$B$5,IF(ISNUMBER(SEARCH("PINT",$C821)),Assumptions!$B$6,Assumptions!$B$7)))))</f>
        <v>1</v>
      </c>
      <c r="I821" s="27">
        <f t="shared" si="25"/>
        <v>57</v>
      </c>
    </row>
    <row r="822" spans="1:9" x14ac:dyDescent="0.2">
      <c r="A822" s="3" t="s">
        <v>79</v>
      </c>
      <c r="B822" s="3" t="s">
        <v>243</v>
      </c>
      <c r="C822" s="3" t="s">
        <v>244</v>
      </c>
      <c r="D822" s="3" t="s">
        <v>115</v>
      </c>
      <c r="E822" s="4">
        <v>19</v>
      </c>
      <c r="F822" s="5">
        <f>IFERROR(3958.8*ACOS(MIN(1,MAX(-1,SIN(RADIANS('ZIP Coordinates'!$C$2))*SIN(RADIANS(INDEX('ZIP Coordinates'!$C:$C,MATCH($A822,'ZIP Coordinates'!$A:$A,0))))+COS(RADIANS('ZIP Coordinates'!$C$2))*COS(RADIANS(INDEX('ZIP Coordinates'!$C:$C,MATCH($A822,'ZIP Coordinates'!$A:$A,0))))*COS(RADIANS(INDEX('ZIP Coordinates'!$D:$D,MATCH($A822,'ZIP Coordinates'!$A:$A,0))-'ZIP Coordinates'!$D$2))))),"N/A")</f>
        <v>158.22480756180738</v>
      </c>
      <c r="G822" s="3" t="str">
        <f t="shared" si="24"/>
        <v>150-199 mi</v>
      </c>
      <c r="H822" s="27">
        <f>IF(RIGHT($B822,1)="P",1,IF(ISNUMBER(SEARCH("HALF GALLON",$C822)),Assumptions!$B$4,IF(ISNUMBER(SEARCH("GALLON",$C822)),Assumptions!$B$3,IF(ISNUMBER(SEARCH("QUART",$C822)),Assumptions!$B$5,IF(ISNUMBER(SEARCH("PINT",$C822)),Assumptions!$B$6,Assumptions!$B$7)))))</f>
        <v>1</v>
      </c>
      <c r="I822" s="27">
        <f t="shared" si="25"/>
        <v>19</v>
      </c>
    </row>
    <row r="823" spans="1:9" x14ac:dyDescent="0.2">
      <c r="A823" s="3" t="s">
        <v>79</v>
      </c>
      <c r="B823" s="3" t="s">
        <v>276</v>
      </c>
      <c r="C823" s="3" t="s">
        <v>275</v>
      </c>
      <c r="D823" s="3" t="s">
        <v>115</v>
      </c>
      <c r="E823" s="4">
        <v>30</v>
      </c>
      <c r="F823" s="5">
        <f>IFERROR(3958.8*ACOS(MIN(1,MAX(-1,SIN(RADIANS('ZIP Coordinates'!$C$2))*SIN(RADIANS(INDEX('ZIP Coordinates'!$C:$C,MATCH($A823,'ZIP Coordinates'!$A:$A,0))))+COS(RADIANS('ZIP Coordinates'!$C$2))*COS(RADIANS(INDEX('ZIP Coordinates'!$C:$C,MATCH($A823,'ZIP Coordinates'!$A:$A,0))))*COS(RADIANS(INDEX('ZIP Coordinates'!$D:$D,MATCH($A823,'ZIP Coordinates'!$A:$A,0))-'ZIP Coordinates'!$D$2))))),"N/A")</f>
        <v>158.22480756180738</v>
      </c>
      <c r="G823" s="3" t="str">
        <f t="shared" si="24"/>
        <v>150-199 mi</v>
      </c>
      <c r="H823" s="27">
        <f>IF(RIGHT($B823,1)="P",1,IF(ISNUMBER(SEARCH("HALF GALLON",$C823)),Assumptions!$B$4,IF(ISNUMBER(SEARCH("GALLON",$C823)),Assumptions!$B$3,IF(ISNUMBER(SEARCH("QUART",$C823)),Assumptions!$B$5,IF(ISNUMBER(SEARCH("PINT",$C823)),Assumptions!$B$6,Assumptions!$B$7)))))</f>
        <v>1</v>
      </c>
      <c r="I823" s="27">
        <f t="shared" si="25"/>
        <v>30</v>
      </c>
    </row>
    <row r="824" spans="1:9" x14ac:dyDescent="0.2">
      <c r="A824" s="3" t="s">
        <v>79</v>
      </c>
      <c r="B824" s="3" t="s">
        <v>282</v>
      </c>
      <c r="C824" s="3" t="s">
        <v>283</v>
      </c>
      <c r="D824" s="3" t="s">
        <v>115</v>
      </c>
      <c r="E824" s="4">
        <v>6</v>
      </c>
      <c r="F824" s="5">
        <f>IFERROR(3958.8*ACOS(MIN(1,MAX(-1,SIN(RADIANS('ZIP Coordinates'!$C$2))*SIN(RADIANS(INDEX('ZIP Coordinates'!$C:$C,MATCH($A824,'ZIP Coordinates'!$A:$A,0))))+COS(RADIANS('ZIP Coordinates'!$C$2))*COS(RADIANS(INDEX('ZIP Coordinates'!$C:$C,MATCH($A824,'ZIP Coordinates'!$A:$A,0))))*COS(RADIANS(INDEX('ZIP Coordinates'!$D:$D,MATCH($A824,'ZIP Coordinates'!$A:$A,0))-'ZIP Coordinates'!$D$2))))),"N/A")</f>
        <v>158.22480756180738</v>
      </c>
      <c r="G824" s="3" t="str">
        <f t="shared" si="24"/>
        <v>150-199 mi</v>
      </c>
      <c r="H824" s="27">
        <f>IF(RIGHT($B824,1)="P",1,IF(ISNUMBER(SEARCH("HALF GALLON",$C824)),Assumptions!$B$4,IF(ISNUMBER(SEARCH("GALLON",$C824)),Assumptions!$B$3,IF(ISNUMBER(SEARCH("QUART",$C824)),Assumptions!$B$5,IF(ISNUMBER(SEARCH("PINT",$C824)),Assumptions!$B$6,Assumptions!$B$7)))))</f>
        <v>1</v>
      </c>
      <c r="I824" s="27">
        <f t="shared" si="25"/>
        <v>6</v>
      </c>
    </row>
    <row r="825" spans="1:9" x14ac:dyDescent="0.2">
      <c r="A825" s="3" t="s">
        <v>79</v>
      </c>
      <c r="B825" s="3" t="s">
        <v>284</v>
      </c>
      <c r="C825" s="3" t="s">
        <v>285</v>
      </c>
      <c r="D825" s="3" t="s">
        <v>115</v>
      </c>
      <c r="E825" s="4">
        <v>19</v>
      </c>
      <c r="F825" s="5">
        <f>IFERROR(3958.8*ACOS(MIN(1,MAX(-1,SIN(RADIANS('ZIP Coordinates'!$C$2))*SIN(RADIANS(INDEX('ZIP Coordinates'!$C:$C,MATCH($A825,'ZIP Coordinates'!$A:$A,0))))+COS(RADIANS('ZIP Coordinates'!$C$2))*COS(RADIANS(INDEX('ZIP Coordinates'!$C:$C,MATCH($A825,'ZIP Coordinates'!$A:$A,0))))*COS(RADIANS(INDEX('ZIP Coordinates'!$D:$D,MATCH($A825,'ZIP Coordinates'!$A:$A,0))-'ZIP Coordinates'!$D$2))))),"N/A")</f>
        <v>158.22480756180738</v>
      </c>
      <c r="G825" s="3" t="str">
        <f t="shared" si="24"/>
        <v>150-199 mi</v>
      </c>
      <c r="H825" s="27">
        <f>IF(RIGHT($B825,1)="P",1,IF(ISNUMBER(SEARCH("HALF GALLON",$C825)),Assumptions!$B$4,IF(ISNUMBER(SEARCH("GALLON",$C825)),Assumptions!$B$3,IF(ISNUMBER(SEARCH("QUART",$C825)),Assumptions!$B$5,IF(ISNUMBER(SEARCH("PINT",$C825)),Assumptions!$B$6,Assumptions!$B$7)))))</f>
        <v>1</v>
      </c>
      <c r="I825" s="27">
        <f t="shared" si="25"/>
        <v>19</v>
      </c>
    </row>
    <row r="826" spans="1:9" x14ac:dyDescent="0.2">
      <c r="A826" s="3" t="s">
        <v>79</v>
      </c>
      <c r="B826" s="3" t="s">
        <v>257</v>
      </c>
      <c r="C826" s="3" t="s">
        <v>256</v>
      </c>
      <c r="D826" s="3" t="s">
        <v>115</v>
      </c>
      <c r="E826" s="4">
        <v>200</v>
      </c>
      <c r="F826" s="5">
        <f>IFERROR(3958.8*ACOS(MIN(1,MAX(-1,SIN(RADIANS('ZIP Coordinates'!$C$2))*SIN(RADIANS(INDEX('ZIP Coordinates'!$C:$C,MATCH($A826,'ZIP Coordinates'!$A:$A,0))))+COS(RADIANS('ZIP Coordinates'!$C$2))*COS(RADIANS(INDEX('ZIP Coordinates'!$C:$C,MATCH($A826,'ZIP Coordinates'!$A:$A,0))))*COS(RADIANS(INDEX('ZIP Coordinates'!$D:$D,MATCH($A826,'ZIP Coordinates'!$A:$A,0))-'ZIP Coordinates'!$D$2))))),"N/A")</f>
        <v>158.22480756180738</v>
      </c>
      <c r="G826" s="3" t="str">
        <f t="shared" si="24"/>
        <v>150-199 mi</v>
      </c>
      <c r="H826" s="27">
        <f>IF(RIGHT($B826,1)="P",1,IF(ISNUMBER(SEARCH("HALF GALLON",$C826)),Assumptions!$B$4,IF(ISNUMBER(SEARCH("GALLON",$C826)),Assumptions!$B$3,IF(ISNUMBER(SEARCH("QUART",$C826)),Assumptions!$B$5,IF(ISNUMBER(SEARCH("PINT",$C826)),Assumptions!$B$6,Assumptions!$B$7)))))</f>
        <v>1</v>
      </c>
      <c r="I826" s="27">
        <f t="shared" si="25"/>
        <v>200</v>
      </c>
    </row>
    <row r="827" spans="1:9" x14ac:dyDescent="0.2">
      <c r="A827" s="3" t="s">
        <v>80</v>
      </c>
      <c r="B827" s="3" t="s">
        <v>284</v>
      </c>
      <c r="C827" s="3" t="s">
        <v>285</v>
      </c>
      <c r="D827" s="3" t="s">
        <v>219</v>
      </c>
      <c r="E827" s="4">
        <v>2</v>
      </c>
      <c r="F827" s="5">
        <f>IFERROR(3958.8*ACOS(MIN(1,MAX(-1,SIN(RADIANS('ZIP Coordinates'!$C$2))*SIN(RADIANS(INDEX('ZIP Coordinates'!$C:$C,MATCH($A827,'ZIP Coordinates'!$A:$A,0))))+COS(RADIANS('ZIP Coordinates'!$C$2))*COS(RADIANS(INDEX('ZIP Coordinates'!$C:$C,MATCH($A827,'ZIP Coordinates'!$A:$A,0))))*COS(RADIANS(INDEX('ZIP Coordinates'!$D:$D,MATCH($A827,'ZIP Coordinates'!$A:$A,0))-'ZIP Coordinates'!$D$2))))),"N/A")</f>
        <v>54.327724837201501</v>
      </c>
      <c r="G827" s="3" t="str">
        <f t="shared" si="24"/>
        <v>50-99 mi</v>
      </c>
      <c r="H827" s="27">
        <f>IF(RIGHT($B827,1)="P",1,IF(ISNUMBER(SEARCH("HALF GALLON",$C827)),Assumptions!$B$4,IF(ISNUMBER(SEARCH("GALLON",$C827)),Assumptions!$B$3,IF(ISNUMBER(SEARCH("QUART",$C827)),Assumptions!$B$5,IF(ISNUMBER(SEARCH("PINT",$C827)),Assumptions!$B$6,Assumptions!$B$7)))))</f>
        <v>1</v>
      </c>
      <c r="I827" s="27">
        <f t="shared" si="25"/>
        <v>2</v>
      </c>
    </row>
    <row r="828" spans="1:9" x14ac:dyDescent="0.2">
      <c r="A828" s="3" t="s">
        <v>81</v>
      </c>
      <c r="B828" s="3" t="s">
        <v>277</v>
      </c>
      <c r="C828" s="3" t="s">
        <v>278</v>
      </c>
      <c r="D828" s="3" t="s">
        <v>225</v>
      </c>
      <c r="E828" s="4">
        <v>1</v>
      </c>
      <c r="F828" s="5">
        <f>IFERROR(3958.8*ACOS(MIN(1,MAX(-1,SIN(RADIANS('ZIP Coordinates'!$C$2))*SIN(RADIANS(INDEX('ZIP Coordinates'!$C:$C,MATCH($A828,'ZIP Coordinates'!$A:$A,0))))+COS(RADIANS('ZIP Coordinates'!$C$2))*COS(RADIANS(INDEX('ZIP Coordinates'!$C:$C,MATCH($A828,'ZIP Coordinates'!$A:$A,0))))*COS(RADIANS(INDEX('ZIP Coordinates'!$D:$D,MATCH($A828,'ZIP Coordinates'!$A:$A,0))-'ZIP Coordinates'!$D$2))))),"N/A")</f>
        <v>51.625328270759461</v>
      </c>
      <c r="G828" s="3" t="str">
        <f t="shared" si="24"/>
        <v>50-99 mi</v>
      </c>
      <c r="H828" s="27">
        <f>IF(RIGHT($B828,1)="P",1,IF(ISNUMBER(SEARCH("HALF GALLON",$C828)),Assumptions!$B$4,IF(ISNUMBER(SEARCH("GALLON",$C828)),Assumptions!$B$3,IF(ISNUMBER(SEARCH("QUART",$C828)),Assumptions!$B$5,IF(ISNUMBER(SEARCH("PINT",$C828)),Assumptions!$B$6,Assumptions!$B$7)))))</f>
        <v>1</v>
      </c>
      <c r="I828" s="27">
        <f t="shared" si="25"/>
        <v>1</v>
      </c>
    </row>
    <row r="829" spans="1:9" x14ac:dyDescent="0.2">
      <c r="A829" s="3" t="s">
        <v>82</v>
      </c>
      <c r="B829" s="3" t="s">
        <v>258</v>
      </c>
      <c r="C829" s="3" t="s">
        <v>240</v>
      </c>
      <c r="D829" s="3" t="s">
        <v>109</v>
      </c>
      <c r="E829" s="4">
        <v>37</v>
      </c>
      <c r="F829" s="5" t="str">
        <f>IFERROR(3958.8*ACOS(MIN(1,MAX(-1,SIN(RADIANS('ZIP Coordinates'!$C$2))*SIN(RADIANS(INDEX('ZIP Coordinates'!$C:$C,MATCH($A829,'ZIP Coordinates'!$A:$A,0))))+COS(RADIANS('ZIP Coordinates'!$C$2))*COS(RADIANS(INDEX('ZIP Coordinates'!$C:$C,MATCH($A829,'ZIP Coordinates'!$A:$A,0))))*COS(RADIANS(INDEX('ZIP Coordinates'!$D:$D,MATCH($A829,'ZIP Coordinates'!$A:$A,0))-'ZIP Coordinates'!$D$2))))),"N/A")</f>
        <v>N/A</v>
      </c>
      <c r="G829" s="3" t="str">
        <f t="shared" si="24"/>
        <v>Unknown</v>
      </c>
      <c r="H829" s="27">
        <f>IF(RIGHT($B829,1)="P",1,IF(ISNUMBER(SEARCH("HALF GALLON",$C829)),Assumptions!$B$4,IF(ISNUMBER(SEARCH("GALLON",$C829)),Assumptions!$B$3,IF(ISNUMBER(SEARCH("QUART",$C829)),Assumptions!$B$5,IF(ISNUMBER(SEARCH("PINT",$C829)),Assumptions!$B$6,Assumptions!$B$7)))))</f>
        <v>4</v>
      </c>
      <c r="I829" s="27">
        <f t="shared" si="25"/>
        <v>148</v>
      </c>
    </row>
    <row r="830" spans="1:9" x14ac:dyDescent="0.2">
      <c r="A830" s="3" t="s">
        <v>82</v>
      </c>
      <c r="B830" s="3" t="s">
        <v>258</v>
      </c>
      <c r="C830" s="3" t="s">
        <v>240</v>
      </c>
      <c r="D830" s="3" t="s">
        <v>109</v>
      </c>
      <c r="E830" s="4">
        <v>7</v>
      </c>
      <c r="F830" s="5" t="str">
        <f>IFERROR(3958.8*ACOS(MIN(1,MAX(-1,SIN(RADIANS('ZIP Coordinates'!$C$2))*SIN(RADIANS(INDEX('ZIP Coordinates'!$C:$C,MATCH($A830,'ZIP Coordinates'!$A:$A,0))))+COS(RADIANS('ZIP Coordinates'!$C$2))*COS(RADIANS(INDEX('ZIP Coordinates'!$C:$C,MATCH($A830,'ZIP Coordinates'!$A:$A,0))))*COS(RADIANS(INDEX('ZIP Coordinates'!$D:$D,MATCH($A830,'ZIP Coordinates'!$A:$A,0))-'ZIP Coordinates'!$D$2))))),"N/A")</f>
        <v>N/A</v>
      </c>
      <c r="G830" s="3" t="str">
        <f t="shared" si="24"/>
        <v>Unknown</v>
      </c>
      <c r="H830" s="27">
        <f>IF(RIGHT($B830,1)="P",1,IF(ISNUMBER(SEARCH("HALF GALLON",$C830)),Assumptions!$B$4,IF(ISNUMBER(SEARCH("GALLON",$C830)),Assumptions!$B$3,IF(ISNUMBER(SEARCH("QUART",$C830)),Assumptions!$B$5,IF(ISNUMBER(SEARCH("PINT",$C830)),Assumptions!$B$6,Assumptions!$B$7)))))</f>
        <v>4</v>
      </c>
      <c r="I830" s="27">
        <f t="shared" si="25"/>
        <v>28</v>
      </c>
    </row>
    <row r="831" spans="1:9" x14ac:dyDescent="0.2">
      <c r="A831" s="3" t="s">
        <v>82</v>
      </c>
      <c r="B831" s="3" t="s">
        <v>258</v>
      </c>
      <c r="C831" s="3" t="s">
        <v>240</v>
      </c>
      <c r="D831" s="3" t="s">
        <v>109</v>
      </c>
      <c r="E831" s="4">
        <v>3</v>
      </c>
      <c r="F831" s="5" t="str">
        <f>IFERROR(3958.8*ACOS(MIN(1,MAX(-1,SIN(RADIANS('ZIP Coordinates'!$C$2))*SIN(RADIANS(INDEX('ZIP Coordinates'!$C:$C,MATCH($A831,'ZIP Coordinates'!$A:$A,0))))+COS(RADIANS('ZIP Coordinates'!$C$2))*COS(RADIANS(INDEX('ZIP Coordinates'!$C:$C,MATCH($A831,'ZIP Coordinates'!$A:$A,0))))*COS(RADIANS(INDEX('ZIP Coordinates'!$D:$D,MATCH($A831,'ZIP Coordinates'!$A:$A,0))-'ZIP Coordinates'!$D$2))))),"N/A")</f>
        <v>N/A</v>
      </c>
      <c r="G831" s="3" t="str">
        <f t="shared" si="24"/>
        <v>Unknown</v>
      </c>
      <c r="H831" s="27">
        <f>IF(RIGHT($B831,1)="P",1,IF(ISNUMBER(SEARCH("HALF GALLON",$C831)),Assumptions!$B$4,IF(ISNUMBER(SEARCH("GALLON",$C831)),Assumptions!$B$3,IF(ISNUMBER(SEARCH("QUART",$C831)),Assumptions!$B$5,IF(ISNUMBER(SEARCH("PINT",$C831)),Assumptions!$B$6,Assumptions!$B$7)))))</f>
        <v>4</v>
      </c>
      <c r="I831" s="27">
        <f t="shared" si="25"/>
        <v>12</v>
      </c>
    </row>
    <row r="832" spans="1:9" x14ac:dyDescent="0.2">
      <c r="A832" s="3" t="s">
        <v>82</v>
      </c>
      <c r="B832" s="3" t="s">
        <v>258</v>
      </c>
      <c r="C832" s="3" t="s">
        <v>240</v>
      </c>
      <c r="D832" s="3" t="s">
        <v>109</v>
      </c>
      <c r="E832" s="4">
        <v>6</v>
      </c>
      <c r="F832" s="5" t="str">
        <f>IFERROR(3958.8*ACOS(MIN(1,MAX(-1,SIN(RADIANS('ZIP Coordinates'!$C$2))*SIN(RADIANS(INDEX('ZIP Coordinates'!$C:$C,MATCH($A832,'ZIP Coordinates'!$A:$A,0))))+COS(RADIANS('ZIP Coordinates'!$C$2))*COS(RADIANS(INDEX('ZIP Coordinates'!$C:$C,MATCH($A832,'ZIP Coordinates'!$A:$A,0))))*COS(RADIANS(INDEX('ZIP Coordinates'!$D:$D,MATCH($A832,'ZIP Coordinates'!$A:$A,0))-'ZIP Coordinates'!$D$2))))),"N/A")</f>
        <v>N/A</v>
      </c>
      <c r="G832" s="3" t="str">
        <f t="shared" si="24"/>
        <v>Unknown</v>
      </c>
      <c r="H832" s="27">
        <f>IF(RIGHT($B832,1)="P",1,IF(ISNUMBER(SEARCH("HALF GALLON",$C832)),Assumptions!$B$4,IF(ISNUMBER(SEARCH("GALLON",$C832)),Assumptions!$B$3,IF(ISNUMBER(SEARCH("QUART",$C832)),Assumptions!$B$5,IF(ISNUMBER(SEARCH("PINT",$C832)),Assumptions!$B$6,Assumptions!$B$7)))))</f>
        <v>4</v>
      </c>
      <c r="I832" s="27">
        <f t="shared" si="25"/>
        <v>24</v>
      </c>
    </row>
    <row r="833" spans="1:9" x14ac:dyDescent="0.2">
      <c r="A833" s="3" t="s">
        <v>82</v>
      </c>
      <c r="B833" s="3" t="s">
        <v>258</v>
      </c>
      <c r="C833" s="3" t="s">
        <v>240</v>
      </c>
      <c r="D833" s="3" t="s">
        <v>109</v>
      </c>
      <c r="E833" s="4">
        <v>11</v>
      </c>
      <c r="F833" s="5" t="str">
        <f>IFERROR(3958.8*ACOS(MIN(1,MAX(-1,SIN(RADIANS('ZIP Coordinates'!$C$2))*SIN(RADIANS(INDEX('ZIP Coordinates'!$C:$C,MATCH($A833,'ZIP Coordinates'!$A:$A,0))))+COS(RADIANS('ZIP Coordinates'!$C$2))*COS(RADIANS(INDEX('ZIP Coordinates'!$C:$C,MATCH($A833,'ZIP Coordinates'!$A:$A,0))))*COS(RADIANS(INDEX('ZIP Coordinates'!$D:$D,MATCH($A833,'ZIP Coordinates'!$A:$A,0))-'ZIP Coordinates'!$D$2))))),"N/A")</f>
        <v>N/A</v>
      </c>
      <c r="G833" s="3" t="str">
        <f t="shared" si="24"/>
        <v>Unknown</v>
      </c>
      <c r="H833" s="27">
        <f>IF(RIGHT($B833,1)="P",1,IF(ISNUMBER(SEARCH("HALF GALLON",$C833)),Assumptions!$B$4,IF(ISNUMBER(SEARCH("GALLON",$C833)),Assumptions!$B$3,IF(ISNUMBER(SEARCH("QUART",$C833)),Assumptions!$B$5,IF(ISNUMBER(SEARCH("PINT",$C833)),Assumptions!$B$6,Assumptions!$B$7)))))</f>
        <v>4</v>
      </c>
      <c r="I833" s="27">
        <f t="shared" si="25"/>
        <v>44</v>
      </c>
    </row>
    <row r="834" spans="1:9" x14ac:dyDescent="0.2">
      <c r="A834" s="3" t="s">
        <v>82</v>
      </c>
      <c r="B834" s="3" t="s">
        <v>258</v>
      </c>
      <c r="C834" s="3" t="s">
        <v>240</v>
      </c>
      <c r="D834" s="3" t="s">
        <v>109</v>
      </c>
      <c r="E834" s="4">
        <v>6</v>
      </c>
      <c r="F834" s="5" t="str">
        <f>IFERROR(3958.8*ACOS(MIN(1,MAX(-1,SIN(RADIANS('ZIP Coordinates'!$C$2))*SIN(RADIANS(INDEX('ZIP Coordinates'!$C:$C,MATCH($A834,'ZIP Coordinates'!$A:$A,0))))+COS(RADIANS('ZIP Coordinates'!$C$2))*COS(RADIANS(INDEX('ZIP Coordinates'!$C:$C,MATCH($A834,'ZIP Coordinates'!$A:$A,0))))*COS(RADIANS(INDEX('ZIP Coordinates'!$D:$D,MATCH($A834,'ZIP Coordinates'!$A:$A,0))-'ZIP Coordinates'!$D$2))))),"N/A")</f>
        <v>N/A</v>
      </c>
      <c r="G834" s="3" t="str">
        <f t="shared" ref="G834:G878" si="26">IF($F834="N/A","Unknown",IF($F834&lt;50,"0-49 mi",IF($F834&lt;100,"50-99 mi",IF($F834&lt;150,"100-149 mi",IF($F834&lt;200,"150-199 mi","200+ mi")))))</f>
        <v>Unknown</v>
      </c>
      <c r="H834" s="27">
        <f>IF(RIGHT($B834,1)="P",1,IF(ISNUMBER(SEARCH("HALF GALLON",$C834)),Assumptions!$B$4,IF(ISNUMBER(SEARCH("GALLON",$C834)),Assumptions!$B$3,IF(ISNUMBER(SEARCH("QUART",$C834)),Assumptions!$B$5,IF(ISNUMBER(SEARCH("PINT",$C834)),Assumptions!$B$6,Assumptions!$B$7)))))</f>
        <v>4</v>
      </c>
      <c r="I834" s="27">
        <f t="shared" si="25"/>
        <v>24</v>
      </c>
    </row>
    <row r="835" spans="1:9" x14ac:dyDescent="0.2">
      <c r="A835" s="3" t="s">
        <v>82</v>
      </c>
      <c r="B835" s="3" t="s">
        <v>247</v>
      </c>
      <c r="C835" s="3" t="s">
        <v>246</v>
      </c>
      <c r="D835" s="3" t="s">
        <v>109</v>
      </c>
      <c r="E835" s="4">
        <v>77</v>
      </c>
      <c r="F835" s="5" t="str">
        <f>IFERROR(3958.8*ACOS(MIN(1,MAX(-1,SIN(RADIANS('ZIP Coordinates'!$C$2))*SIN(RADIANS(INDEX('ZIP Coordinates'!$C:$C,MATCH($A835,'ZIP Coordinates'!$A:$A,0))))+COS(RADIANS('ZIP Coordinates'!$C$2))*COS(RADIANS(INDEX('ZIP Coordinates'!$C:$C,MATCH($A835,'ZIP Coordinates'!$A:$A,0))))*COS(RADIANS(INDEX('ZIP Coordinates'!$D:$D,MATCH($A835,'ZIP Coordinates'!$A:$A,0))-'ZIP Coordinates'!$D$2))))),"N/A")</f>
        <v>N/A</v>
      </c>
      <c r="G835" s="3" t="str">
        <f t="shared" si="26"/>
        <v>Unknown</v>
      </c>
      <c r="H835" s="27">
        <f>IF(RIGHT($B835,1)="P",1,IF(ISNUMBER(SEARCH("HALF GALLON",$C835)),Assumptions!$B$4,IF(ISNUMBER(SEARCH("GALLON",$C835)),Assumptions!$B$3,IF(ISNUMBER(SEARCH("QUART",$C835)),Assumptions!$B$5,IF(ISNUMBER(SEARCH("PINT",$C835)),Assumptions!$B$6,Assumptions!$B$7)))))</f>
        <v>1</v>
      </c>
      <c r="I835" s="27">
        <f t="shared" ref="I835:I878" si="27">$E835*$H835</f>
        <v>77</v>
      </c>
    </row>
    <row r="836" spans="1:9" x14ac:dyDescent="0.2">
      <c r="A836" s="3" t="s">
        <v>82</v>
      </c>
      <c r="B836" s="3" t="s">
        <v>247</v>
      </c>
      <c r="C836" s="3" t="s">
        <v>246</v>
      </c>
      <c r="D836" s="3" t="s">
        <v>109</v>
      </c>
      <c r="E836" s="4">
        <v>8</v>
      </c>
      <c r="F836" s="5" t="str">
        <f>IFERROR(3958.8*ACOS(MIN(1,MAX(-1,SIN(RADIANS('ZIP Coordinates'!$C$2))*SIN(RADIANS(INDEX('ZIP Coordinates'!$C:$C,MATCH($A836,'ZIP Coordinates'!$A:$A,0))))+COS(RADIANS('ZIP Coordinates'!$C$2))*COS(RADIANS(INDEX('ZIP Coordinates'!$C:$C,MATCH($A836,'ZIP Coordinates'!$A:$A,0))))*COS(RADIANS(INDEX('ZIP Coordinates'!$D:$D,MATCH($A836,'ZIP Coordinates'!$A:$A,0))-'ZIP Coordinates'!$D$2))))),"N/A")</f>
        <v>N/A</v>
      </c>
      <c r="G836" s="3" t="str">
        <f t="shared" si="26"/>
        <v>Unknown</v>
      </c>
      <c r="H836" s="27">
        <f>IF(RIGHT($B836,1)="P",1,IF(ISNUMBER(SEARCH("HALF GALLON",$C836)),Assumptions!$B$4,IF(ISNUMBER(SEARCH("GALLON",$C836)),Assumptions!$B$3,IF(ISNUMBER(SEARCH("QUART",$C836)),Assumptions!$B$5,IF(ISNUMBER(SEARCH("PINT",$C836)),Assumptions!$B$6,Assumptions!$B$7)))))</f>
        <v>1</v>
      </c>
      <c r="I836" s="27">
        <f t="shared" si="27"/>
        <v>8</v>
      </c>
    </row>
    <row r="837" spans="1:9" x14ac:dyDescent="0.2">
      <c r="A837" s="3" t="s">
        <v>82</v>
      </c>
      <c r="B837" s="3" t="s">
        <v>247</v>
      </c>
      <c r="C837" s="3" t="s">
        <v>246</v>
      </c>
      <c r="D837" s="3" t="s">
        <v>109</v>
      </c>
      <c r="E837" s="4">
        <v>8</v>
      </c>
      <c r="F837" s="5" t="str">
        <f>IFERROR(3958.8*ACOS(MIN(1,MAX(-1,SIN(RADIANS('ZIP Coordinates'!$C$2))*SIN(RADIANS(INDEX('ZIP Coordinates'!$C:$C,MATCH($A837,'ZIP Coordinates'!$A:$A,0))))+COS(RADIANS('ZIP Coordinates'!$C$2))*COS(RADIANS(INDEX('ZIP Coordinates'!$C:$C,MATCH($A837,'ZIP Coordinates'!$A:$A,0))))*COS(RADIANS(INDEX('ZIP Coordinates'!$D:$D,MATCH($A837,'ZIP Coordinates'!$A:$A,0))-'ZIP Coordinates'!$D$2))))),"N/A")</f>
        <v>N/A</v>
      </c>
      <c r="G837" s="3" t="str">
        <f t="shared" si="26"/>
        <v>Unknown</v>
      </c>
      <c r="H837" s="27">
        <f>IF(RIGHT($B837,1)="P",1,IF(ISNUMBER(SEARCH("HALF GALLON",$C837)),Assumptions!$B$4,IF(ISNUMBER(SEARCH("GALLON",$C837)),Assumptions!$B$3,IF(ISNUMBER(SEARCH("QUART",$C837)),Assumptions!$B$5,IF(ISNUMBER(SEARCH("PINT",$C837)),Assumptions!$B$6,Assumptions!$B$7)))))</f>
        <v>1</v>
      </c>
      <c r="I837" s="27">
        <f t="shared" si="27"/>
        <v>8</v>
      </c>
    </row>
    <row r="838" spans="1:9" x14ac:dyDescent="0.2">
      <c r="A838" s="3" t="s">
        <v>82</v>
      </c>
      <c r="B838" s="3" t="s">
        <v>247</v>
      </c>
      <c r="C838" s="3" t="s">
        <v>246</v>
      </c>
      <c r="D838" s="3" t="s">
        <v>109</v>
      </c>
      <c r="E838" s="4">
        <v>8</v>
      </c>
      <c r="F838" s="5" t="str">
        <f>IFERROR(3958.8*ACOS(MIN(1,MAX(-1,SIN(RADIANS('ZIP Coordinates'!$C$2))*SIN(RADIANS(INDEX('ZIP Coordinates'!$C:$C,MATCH($A838,'ZIP Coordinates'!$A:$A,0))))+COS(RADIANS('ZIP Coordinates'!$C$2))*COS(RADIANS(INDEX('ZIP Coordinates'!$C:$C,MATCH($A838,'ZIP Coordinates'!$A:$A,0))))*COS(RADIANS(INDEX('ZIP Coordinates'!$D:$D,MATCH($A838,'ZIP Coordinates'!$A:$A,0))-'ZIP Coordinates'!$D$2))))),"N/A")</f>
        <v>N/A</v>
      </c>
      <c r="G838" s="3" t="str">
        <f t="shared" si="26"/>
        <v>Unknown</v>
      </c>
      <c r="H838" s="27">
        <f>IF(RIGHT($B838,1)="P",1,IF(ISNUMBER(SEARCH("HALF GALLON",$C838)),Assumptions!$B$4,IF(ISNUMBER(SEARCH("GALLON",$C838)),Assumptions!$B$3,IF(ISNUMBER(SEARCH("QUART",$C838)),Assumptions!$B$5,IF(ISNUMBER(SEARCH("PINT",$C838)),Assumptions!$B$6,Assumptions!$B$7)))))</f>
        <v>1</v>
      </c>
      <c r="I838" s="27">
        <f t="shared" si="27"/>
        <v>8</v>
      </c>
    </row>
    <row r="839" spans="1:9" x14ac:dyDescent="0.2">
      <c r="A839" s="3" t="s">
        <v>82</v>
      </c>
      <c r="B839" s="3" t="s">
        <v>247</v>
      </c>
      <c r="C839" s="3" t="s">
        <v>246</v>
      </c>
      <c r="D839" s="3" t="s">
        <v>109</v>
      </c>
      <c r="E839" s="4">
        <v>24</v>
      </c>
      <c r="F839" s="5" t="str">
        <f>IFERROR(3958.8*ACOS(MIN(1,MAX(-1,SIN(RADIANS('ZIP Coordinates'!$C$2))*SIN(RADIANS(INDEX('ZIP Coordinates'!$C:$C,MATCH($A839,'ZIP Coordinates'!$A:$A,0))))+COS(RADIANS('ZIP Coordinates'!$C$2))*COS(RADIANS(INDEX('ZIP Coordinates'!$C:$C,MATCH($A839,'ZIP Coordinates'!$A:$A,0))))*COS(RADIANS(INDEX('ZIP Coordinates'!$D:$D,MATCH($A839,'ZIP Coordinates'!$A:$A,0))-'ZIP Coordinates'!$D$2))))),"N/A")</f>
        <v>N/A</v>
      </c>
      <c r="G839" s="3" t="str">
        <f t="shared" si="26"/>
        <v>Unknown</v>
      </c>
      <c r="H839" s="27">
        <f>IF(RIGHT($B839,1)="P",1,IF(ISNUMBER(SEARCH("HALF GALLON",$C839)),Assumptions!$B$4,IF(ISNUMBER(SEARCH("GALLON",$C839)),Assumptions!$B$3,IF(ISNUMBER(SEARCH("QUART",$C839)),Assumptions!$B$5,IF(ISNUMBER(SEARCH("PINT",$C839)),Assumptions!$B$6,Assumptions!$B$7)))))</f>
        <v>1</v>
      </c>
      <c r="I839" s="27">
        <f t="shared" si="27"/>
        <v>24</v>
      </c>
    </row>
    <row r="840" spans="1:9" x14ac:dyDescent="0.2">
      <c r="A840" s="3" t="s">
        <v>82</v>
      </c>
      <c r="B840" s="3" t="s">
        <v>247</v>
      </c>
      <c r="C840" s="3" t="s">
        <v>246</v>
      </c>
      <c r="D840" s="3" t="s">
        <v>109</v>
      </c>
      <c r="E840" s="4">
        <v>6</v>
      </c>
      <c r="F840" s="5" t="str">
        <f>IFERROR(3958.8*ACOS(MIN(1,MAX(-1,SIN(RADIANS('ZIP Coordinates'!$C$2))*SIN(RADIANS(INDEX('ZIP Coordinates'!$C:$C,MATCH($A840,'ZIP Coordinates'!$A:$A,0))))+COS(RADIANS('ZIP Coordinates'!$C$2))*COS(RADIANS(INDEX('ZIP Coordinates'!$C:$C,MATCH($A840,'ZIP Coordinates'!$A:$A,0))))*COS(RADIANS(INDEX('ZIP Coordinates'!$D:$D,MATCH($A840,'ZIP Coordinates'!$A:$A,0))-'ZIP Coordinates'!$D$2))))),"N/A")</f>
        <v>N/A</v>
      </c>
      <c r="G840" s="3" t="str">
        <f t="shared" si="26"/>
        <v>Unknown</v>
      </c>
      <c r="H840" s="27">
        <f>IF(RIGHT($B840,1)="P",1,IF(ISNUMBER(SEARCH("HALF GALLON",$C840)),Assumptions!$B$4,IF(ISNUMBER(SEARCH("GALLON",$C840)),Assumptions!$B$3,IF(ISNUMBER(SEARCH("QUART",$C840)),Assumptions!$B$5,IF(ISNUMBER(SEARCH("PINT",$C840)),Assumptions!$B$6,Assumptions!$B$7)))))</f>
        <v>1</v>
      </c>
      <c r="I840" s="27">
        <f t="shared" si="27"/>
        <v>6</v>
      </c>
    </row>
    <row r="841" spans="1:9" x14ac:dyDescent="0.2">
      <c r="A841" s="3" t="s">
        <v>82</v>
      </c>
      <c r="B841" s="3" t="s">
        <v>250</v>
      </c>
      <c r="C841" s="3" t="s">
        <v>249</v>
      </c>
      <c r="D841" s="3" t="s">
        <v>109</v>
      </c>
      <c r="E841" s="4">
        <v>69</v>
      </c>
      <c r="F841" s="5" t="str">
        <f>IFERROR(3958.8*ACOS(MIN(1,MAX(-1,SIN(RADIANS('ZIP Coordinates'!$C$2))*SIN(RADIANS(INDEX('ZIP Coordinates'!$C:$C,MATCH($A841,'ZIP Coordinates'!$A:$A,0))))+COS(RADIANS('ZIP Coordinates'!$C$2))*COS(RADIANS(INDEX('ZIP Coordinates'!$C:$C,MATCH($A841,'ZIP Coordinates'!$A:$A,0))))*COS(RADIANS(INDEX('ZIP Coordinates'!$D:$D,MATCH($A841,'ZIP Coordinates'!$A:$A,0))-'ZIP Coordinates'!$D$2))))),"N/A")</f>
        <v>N/A</v>
      </c>
      <c r="G841" s="3" t="str">
        <f t="shared" si="26"/>
        <v>Unknown</v>
      </c>
      <c r="H841" s="27">
        <f>IF(RIGHT($B841,1)="P",1,IF(ISNUMBER(SEARCH("HALF GALLON",$C841)),Assumptions!$B$4,IF(ISNUMBER(SEARCH("GALLON",$C841)),Assumptions!$B$3,IF(ISNUMBER(SEARCH("QUART",$C841)),Assumptions!$B$5,IF(ISNUMBER(SEARCH("PINT",$C841)),Assumptions!$B$6,Assumptions!$B$7)))))</f>
        <v>1</v>
      </c>
      <c r="I841" s="27">
        <f t="shared" si="27"/>
        <v>69</v>
      </c>
    </row>
    <row r="842" spans="1:9" x14ac:dyDescent="0.2">
      <c r="A842" s="3" t="s">
        <v>82</v>
      </c>
      <c r="B842" s="3" t="s">
        <v>250</v>
      </c>
      <c r="C842" s="3" t="s">
        <v>249</v>
      </c>
      <c r="D842" s="3" t="s">
        <v>109</v>
      </c>
      <c r="E842" s="4">
        <v>8</v>
      </c>
      <c r="F842" s="5" t="str">
        <f>IFERROR(3958.8*ACOS(MIN(1,MAX(-1,SIN(RADIANS('ZIP Coordinates'!$C$2))*SIN(RADIANS(INDEX('ZIP Coordinates'!$C:$C,MATCH($A842,'ZIP Coordinates'!$A:$A,0))))+COS(RADIANS('ZIP Coordinates'!$C$2))*COS(RADIANS(INDEX('ZIP Coordinates'!$C:$C,MATCH($A842,'ZIP Coordinates'!$A:$A,0))))*COS(RADIANS(INDEX('ZIP Coordinates'!$D:$D,MATCH($A842,'ZIP Coordinates'!$A:$A,0))-'ZIP Coordinates'!$D$2))))),"N/A")</f>
        <v>N/A</v>
      </c>
      <c r="G842" s="3" t="str">
        <f t="shared" si="26"/>
        <v>Unknown</v>
      </c>
      <c r="H842" s="27">
        <f>IF(RIGHT($B842,1)="P",1,IF(ISNUMBER(SEARCH("HALF GALLON",$C842)),Assumptions!$B$4,IF(ISNUMBER(SEARCH("GALLON",$C842)),Assumptions!$B$3,IF(ISNUMBER(SEARCH("QUART",$C842)),Assumptions!$B$5,IF(ISNUMBER(SEARCH("PINT",$C842)),Assumptions!$B$6,Assumptions!$B$7)))))</f>
        <v>1</v>
      </c>
      <c r="I842" s="27">
        <f t="shared" si="27"/>
        <v>8</v>
      </c>
    </row>
    <row r="843" spans="1:9" x14ac:dyDescent="0.2">
      <c r="A843" s="3" t="s">
        <v>82</v>
      </c>
      <c r="B843" s="3" t="s">
        <v>250</v>
      </c>
      <c r="C843" s="3" t="s">
        <v>249</v>
      </c>
      <c r="D843" s="3" t="s">
        <v>109</v>
      </c>
      <c r="E843" s="4">
        <v>8</v>
      </c>
      <c r="F843" s="5" t="str">
        <f>IFERROR(3958.8*ACOS(MIN(1,MAX(-1,SIN(RADIANS('ZIP Coordinates'!$C$2))*SIN(RADIANS(INDEX('ZIP Coordinates'!$C:$C,MATCH($A843,'ZIP Coordinates'!$A:$A,0))))+COS(RADIANS('ZIP Coordinates'!$C$2))*COS(RADIANS(INDEX('ZIP Coordinates'!$C:$C,MATCH($A843,'ZIP Coordinates'!$A:$A,0))))*COS(RADIANS(INDEX('ZIP Coordinates'!$D:$D,MATCH($A843,'ZIP Coordinates'!$A:$A,0))-'ZIP Coordinates'!$D$2))))),"N/A")</f>
        <v>N/A</v>
      </c>
      <c r="G843" s="3" t="str">
        <f t="shared" si="26"/>
        <v>Unknown</v>
      </c>
      <c r="H843" s="27">
        <f>IF(RIGHT($B843,1)="P",1,IF(ISNUMBER(SEARCH("HALF GALLON",$C843)),Assumptions!$B$4,IF(ISNUMBER(SEARCH("GALLON",$C843)),Assumptions!$B$3,IF(ISNUMBER(SEARCH("QUART",$C843)),Assumptions!$B$5,IF(ISNUMBER(SEARCH("PINT",$C843)),Assumptions!$B$6,Assumptions!$B$7)))))</f>
        <v>1</v>
      </c>
      <c r="I843" s="27">
        <f t="shared" si="27"/>
        <v>8</v>
      </c>
    </row>
    <row r="844" spans="1:9" x14ac:dyDescent="0.2">
      <c r="A844" s="3" t="s">
        <v>82</v>
      </c>
      <c r="B844" s="3" t="s">
        <v>250</v>
      </c>
      <c r="C844" s="3" t="s">
        <v>249</v>
      </c>
      <c r="D844" s="3" t="s">
        <v>109</v>
      </c>
      <c r="E844" s="4">
        <v>8</v>
      </c>
      <c r="F844" s="5" t="str">
        <f>IFERROR(3958.8*ACOS(MIN(1,MAX(-1,SIN(RADIANS('ZIP Coordinates'!$C$2))*SIN(RADIANS(INDEX('ZIP Coordinates'!$C:$C,MATCH($A844,'ZIP Coordinates'!$A:$A,0))))+COS(RADIANS('ZIP Coordinates'!$C$2))*COS(RADIANS(INDEX('ZIP Coordinates'!$C:$C,MATCH($A844,'ZIP Coordinates'!$A:$A,0))))*COS(RADIANS(INDEX('ZIP Coordinates'!$D:$D,MATCH($A844,'ZIP Coordinates'!$A:$A,0))-'ZIP Coordinates'!$D$2))))),"N/A")</f>
        <v>N/A</v>
      </c>
      <c r="G844" s="3" t="str">
        <f t="shared" si="26"/>
        <v>Unknown</v>
      </c>
      <c r="H844" s="27">
        <f>IF(RIGHT($B844,1)="P",1,IF(ISNUMBER(SEARCH("HALF GALLON",$C844)),Assumptions!$B$4,IF(ISNUMBER(SEARCH("GALLON",$C844)),Assumptions!$B$3,IF(ISNUMBER(SEARCH("QUART",$C844)),Assumptions!$B$5,IF(ISNUMBER(SEARCH("PINT",$C844)),Assumptions!$B$6,Assumptions!$B$7)))))</f>
        <v>1</v>
      </c>
      <c r="I844" s="27">
        <f t="shared" si="27"/>
        <v>8</v>
      </c>
    </row>
    <row r="845" spans="1:9" x14ac:dyDescent="0.2">
      <c r="A845" s="3" t="s">
        <v>82</v>
      </c>
      <c r="B845" s="3" t="s">
        <v>250</v>
      </c>
      <c r="C845" s="3" t="s">
        <v>249</v>
      </c>
      <c r="D845" s="3" t="s">
        <v>109</v>
      </c>
      <c r="E845" s="4">
        <v>24</v>
      </c>
      <c r="F845" s="5" t="str">
        <f>IFERROR(3958.8*ACOS(MIN(1,MAX(-1,SIN(RADIANS('ZIP Coordinates'!$C$2))*SIN(RADIANS(INDEX('ZIP Coordinates'!$C:$C,MATCH($A845,'ZIP Coordinates'!$A:$A,0))))+COS(RADIANS('ZIP Coordinates'!$C$2))*COS(RADIANS(INDEX('ZIP Coordinates'!$C:$C,MATCH($A845,'ZIP Coordinates'!$A:$A,0))))*COS(RADIANS(INDEX('ZIP Coordinates'!$D:$D,MATCH($A845,'ZIP Coordinates'!$A:$A,0))-'ZIP Coordinates'!$D$2))))),"N/A")</f>
        <v>N/A</v>
      </c>
      <c r="G845" s="3" t="str">
        <f t="shared" si="26"/>
        <v>Unknown</v>
      </c>
      <c r="H845" s="27">
        <f>IF(RIGHT($B845,1)="P",1,IF(ISNUMBER(SEARCH("HALF GALLON",$C845)),Assumptions!$B$4,IF(ISNUMBER(SEARCH("GALLON",$C845)),Assumptions!$B$3,IF(ISNUMBER(SEARCH("QUART",$C845)),Assumptions!$B$5,IF(ISNUMBER(SEARCH("PINT",$C845)),Assumptions!$B$6,Assumptions!$B$7)))))</f>
        <v>1</v>
      </c>
      <c r="I845" s="27">
        <f t="shared" si="27"/>
        <v>24</v>
      </c>
    </row>
    <row r="846" spans="1:9" x14ac:dyDescent="0.2">
      <c r="A846" s="3" t="s">
        <v>82</v>
      </c>
      <c r="B846" s="3" t="s">
        <v>250</v>
      </c>
      <c r="C846" s="3" t="s">
        <v>249</v>
      </c>
      <c r="D846" s="3" t="s">
        <v>109</v>
      </c>
      <c r="E846" s="4">
        <v>6</v>
      </c>
      <c r="F846" s="5" t="str">
        <f>IFERROR(3958.8*ACOS(MIN(1,MAX(-1,SIN(RADIANS('ZIP Coordinates'!$C$2))*SIN(RADIANS(INDEX('ZIP Coordinates'!$C:$C,MATCH($A846,'ZIP Coordinates'!$A:$A,0))))+COS(RADIANS('ZIP Coordinates'!$C$2))*COS(RADIANS(INDEX('ZIP Coordinates'!$C:$C,MATCH($A846,'ZIP Coordinates'!$A:$A,0))))*COS(RADIANS(INDEX('ZIP Coordinates'!$D:$D,MATCH($A846,'ZIP Coordinates'!$A:$A,0))-'ZIP Coordinates'!$D$2))))),"N/A")</f>
        <v>N/A</v>
      </c>
      <c r="G846" s="3" t="str">
        <f t="shared" si="26"/>
        <v>Unknown</v>
      </c>
      <c r="H846" s="27">
        <f>IF(RIGHT($B846,1)="P",1,IF(ISNUMBER(SEARCH("HALF GALLON",$C846)),Assumptions!$B$4,IF(ISNUMBER(SEARCH("GALLON",$C846)),Assumptions!$B$3,IF(ISNUMBER(SEARCH("QUART",$C846)),Assumptions!$B$5,IF(ISNUMBER(SEARCH("PINT",$C846)),Assumptions!$B$6,Assumptions!$B$7)))))</f>
        <v>1</v>
      </c>
      <c r="I846" s="27">
        <f t="shared" si="27"/>
        <v>6</v>
      </c>
    </row>
    <row r="847" spans="1:9" x14ac:dyDescent="0.2">
      <c r="A847" s="3" t="s">
        <v>82</v>
      </c>
      <c r="B847" s="3" t="s">
        <v>251</v>
      </c>
      <c r="C847" s="3" t="s">
        <v>252</v>
      </c>
      <c r="D847" s="3" t="s">
        <v>109</v>
      </c>
      <c r="E847" s="4">
        <v>53</v>
      </c>
      <c r="F847" s="5" t="str">
        <f>IFERROR(3958.8*ACOS(MIN(1,MAX(-1,SIN(RADIANS('ZIP Coordinates'!$C$2))*SIN(RADIANS(INDEX('ZIP Coordinates'!$C:$C,MATCH($A847,'ZIP Coordinates'!$A:$A,0))))+COS(RADIANS('ZIP Coordinates'!$C$2))*COS(RADIANS(INDEX('ZIP Coordinates'!$C:$C,MATCH($A847,'ZIP Coordinates'!$A:$A,0))))*COS(RADIANS(INDEX('ZIP Coordinates'!$D:$D,MATCH($A847,'ZIP Coordinates'!$A:$A,0))-'ZIP Coordinates'!$D$2))))),"N/A")</f>
        <v>N/A</v>
      </c>
      <c r="G847" s="3" t="str">
        <f t="shared" si="26"/>
        <v>Unknown</v>
      </c>
      <c r="H847" s="27">
        <f>IF(RIGHT($B847,1)="P",1,IF(ISNUMBER(SEARCH("HALF GALLON",$C847)),Assumptions!$B$4,IF(ISNUMBER(SEARCH("GALLON",$C847)),Assumptions!$B$3,IF(ISNUMBER(SEARCH("QUART",$C847)),Assumptions!$B$5,IF(ISNUMBER(SEARCH("PINT",$C847)),Assumptions!$B$6,Assumptions!$B$7)))))</f>
        <v>1</v>
      </c>
      <c r="I847" s="27">
        <f t="shared" si="27"/>
        <v>53</v>
      </c>
    </row>
    <row r="848" spans="1:9" x14ac:dyDescent="0.2">
      <c r="A848" s="3" t="s">
        <v>82</v>
      </c>
      <c r="B848" s="3" t="s">
        <v>251</v>
      </c>
      <c r="C848" s="3" t="s">
        <v>252</v>
      </c>
      <c r="D848" s="3" t="s">
        <v>109</v>
      </c>
      <c r="E848" s="4">
        <v>5</v>
      </c>
      <c r="F848" s="5" t="str">
        <f>IFERROR(3958.8*ACOS(MIN(1,MAX(-1,SIN(RADIANS('ZIP Coordinates'!$C$2))*SIN(RADIANS(INDEX('ZIP Coordinates'!$C:$C,MATCH($A848,'ZIP Coordinates'!$A:$A,0))))+COS(RADIANS('ZIP Coordinates'!$C$2))*COS(RADIANS(INDEX('ZIP Coordinates'!$C:$C,MATCH($A848,'ZIP Coordinates'!$A:$A,0))))*COS(RADIANS(INDEX('ZIP Coordinates'!$D:$D,MATCH($A848,'ZIP Coordinates'!$A:$A,0))-'ZIP Coordinates'!$D$2))))),"N/A")</f>
        <v>N/A</v>
      </c>
      <c r="G848" s="3" t="str">
        <f t="shared" si="26"/>
        <v>Unknown</v>
      </c>
      <c r="H848" s="27">
        <f>IF(RIGHT($B848,1)="P",1,IF(ISNUMBER(SEARCH("HALF GALLON",$C848)),Assumptions!$B$4,IF(ISNUMBER(SEARCH("GALLON",$C848)),Assumptions!$B$3,IF(ISNUMBER(SEARCH("QUART",$C848)),Assumptions!$B$5,IF(ISNUMBER(SEARCH("PINT",$C848)),Assumptions!$B$6,Assumptions!$B$7)))))</f>
        <v>1</v>
      </c>
      <c r="I848" s="27">
        <f t="shared" si="27"/>
        <v>5</v>
      </c>
    </row>
    <row r="849" spans="1:9" x14ac:dyDescent="0.2">
      <c r="A849" s="3" t="s">
        <v>82</v>
      </c>
      <c r="B849" s="3" t="s">
        <v>251</v>
      </c>
      <c r="C849" s="3" t="s">
        <v>252</v>
      </c>
      <c r="D849" s="3" t="s">
        <v>109</v>
      </c>
      <c r="E849" s="4">
        <v>5</v>
      </c>
      <c r="F849" s="5" t="str">
        <f>IFERROR(3958.8*ACOS(MIN(1,MAX(-1,SIN(RADIANS('ZIP Coordinates'!$C$2))*SIN(RADIANS(INDEX('ZIP Coordinates'!$C:$C,MATCH($A849,'ZIP Coordinates'!$A:$A,0))))+COS(RADIANS('ZIP Coordinates'!$C$2))*COS(RADIANS(INDEX('ZIP Coordinates'!$C:$C,MATCH($A849,'ZIP Coordinates'!$A:$A,0))))*COS(RADIANS(INDEX('ZIP Coordinates'!$D:$D,MATCH($A849,'ZIP Coordinates'!$A:$A,0))-'ZIP Coordinates'!$D$2))))),"N/A")</f>
        <v>N/A</v>
      </c>
      <c r="G849" s="3" t="str">
        <f t="shared" si="26"/>
        <v>Unknown</v>
      </c>
      <c r="H849" s="27">
        <f>IF(RIGHT($B849,1)="P",1,IF(ISNUMBER(SEARCH("HALF GALLON",$C849)),Assumptions!$B$4,IF(ISNUMBER(SEARCH("GALLON",$C849)),Assumptions!$B$3,IF(ISNUMBER(SEARCH("QUART",$C849)),Assumptions!$B$5,IF(ISNUMBER(SEARCH("PINT",$C849)),Assumptions!$B$6,Assumptions!$B$7)))))</f>
        <v>1</v>
      </c>
      <c r="I849" s="27">
        <f t="shared" si="27"/>
        <v>5</v>
      </c>
    </row>
    <row r="850" spans="1:9" x14ac:dyDescent="0.2">
      <c r="A850" s="3" t="s">
        <v>82</v>
      </c>
      <c r="B850" s="3" t="s">
        <v>251</v>
      </c>
      <c r="C850" s="3" t="s">
        <v>252</v>
      </c>
      <c r="D850" s="3" t="s">
        <v>109</v>
      </c>
      <c r="E850" s="4">
        <v>5</v>
      </c>
      <c r="F850" s="5" t="str">
        <f>IFERROR(3958.8*ACOS(MIN(1,MAX(-1,SIN(RADIANS('ZIP Coordinates'!$C$2))*SIN(RADIANS(INDEX('ZIP Coordinates'!$C:$C,MATCH($A850,'ZIP Coordinates'!$A:$A,0))))+COS(RADIANS('ZIP Coordinates'!$C$2))*COS(RADIANS(INDEX('ZIP Coordinates'!$C:$C,MATCH($A850,'ZIP Coordinates'!$A:$A,0))))*COS(RADIANS(INDEX('ZIP Coordinates'!$D:$D,MATCH($A850,'ZIP Coordinates'!$A:$A,0))-'ZIP Coordinates'!$D$2))))),"N/A")</f>
        <v>N/A</v>
      </c>
      <c r="G850" s="3" t="str">
        <f t="shared" si="26"/>
        <v>Unknown</v>
      </c>
      <c r="H850" s="27">
        <f>IF(RIGHT($B850,1)="P",1,IF(ISNUMBER(SEARCH("HALF GALLON",$C850)),Assumptions!$B$4,IF(ISNUMBER(SEARCH("GALLON",$C850)),Assumptions!$B$3,IF(ISNUMBER(SEARCH("QUART",$C850)),Assumptions!$B$5,IF(ISNUMBER(SEARCH("PINT",$C850)),Assumptions!$B$6,Assumptions!$B$7)))))</f>
        <v>1</v>
      </c>
      <c r="I850" s="27">
        <f t="shared" si="27"/>
        <v>5</v>
      </c>
    </row>
    <row r="851" spans="1:9" x14ac:dyDescent="0.2">
      <c r="A851" s="3" t="s">
        <v>82</v>
      </c>
      <c r="B851" s="3" t="s">
        <v>251</v>
      </c>
      <c r="C851" s="3" t="s">
        <v>252</v>
      </c>
      <c r="D851" s="3" t="s">
        <v>109</v>
      </c>
      <c r="E851" s="4">
        <v>15</v>
      </c>
      <c r="F851" s="5" t="str">
        <f>IFERROR(3958.8*ACOS(MIN(1,MAX(-1,SIN(RADIANS('ZIP Coordinates'!$C$2))*SIN(RADIANS(INDEX('ZIP Coordinates'!$C:$C,MATCH($A851,'ZIP Coordinates'!$A:$A,0))))+COS(RADIANS('ZIP Coordinates'!$C$2))*COS(RADIANS(INDEX('ZIP Coordinates'!$C:$C,MATCH($A851,'ZIP Coordinates'!$A:$A,0))))*COS(RADIANS(INDEX('ZIP Coordinates'!$D:$D,MATCH($A851,'ZIP Coordinates'!$A:$A,0))-'ZIP Coordinates'!$D$2))))),"N/A")</f>
        <v>N/A</v>
      </c>
      <c r="G851" s="3" t="str">
        <f t="shared" si="26"/>
        <v>Unknown</v>
      </c>
      <c r="H851" s="27">
        <f>IF(RIGHT($B851,1)="P",1,IF(ISNUMBER(SEARCH("HALF GALLON",$C851)),Assumptions!$B$4,IF(ISNUMBER(SEARCH("GALLON",$C851)),Assumptions!$B$3,IF(ISNUMBER(SEARCH("QUART",$C851)),Assumptions!$B$5,IF(ISNUMBER(SEARCH("PINT",$C851)),Assumptions!$B$6,Assumptions!$B$7)))))</f>
        <v>1</v>
      </c>
      <c r="I851" s="27">
        <f t="shared" si="27"/>
        <v>15</v>
      </c>
    </row>
    <row r="852" spans="1:9" x14ac:dyDescent="0.2">
      <c r="A852" s="3" t="s">
        <v>82</v>
      </c>
      <c r="B852" s="3" t="s">
        <v>251</v>
      </c>
      <c r="C852" s="3" t="s">
        <v>252</v>
      </c>
      <c r="D852" s="3" t="s">
        <v>109</v>
      </c>
      <c r="E852" s="4">
        <v>5</v>
      </c>
      <c r="F852" s="5" t="str">
        <f>IFERROR(3958.8*ACOS(MIN(1,MAX(-1,SIN(RADIANS('ZIP Coordinates'!$C$2))*SIN(RADIANS(INDEX('ZIP Coordinates'!$C:$C,MATCH($A852,'ZIP Coordinates'!$A:$A,0))))+COS(RADIANS('ZIP Coordinates'!$C$2))*COS(RADIANS(INDEX('ZIP Coordinates'!$C:$C,MATCH($A852,'ZIP Coordinates'!$A:$A,0))))*COS(RADIANS(INDEX('ZIP Coordinates'!$D:$D,MATCH($A852,'ZIP Coordinates'!$A:$A,0))-'ZIP Coordinates'!$D$2))))),"N/A")</f>
        <v>N/A</v>
      </c>
      <c r="G852" s="3" t="str">
        <f t="shared" si="26"/>
        <v>Unknown</v>
      </c>
      <c r="H852" s="27">
        <f>IF(RIGHT($B852,1)="P",1,IF(ISNUMBER(SEARCH("HALF GALLON",$C852)),Assumptions!$B$4,IF(ISNUMBER(SEARCH("GALLON",$C852)),Assumptions!$B$3,IF(ISNUMBER(SEARCH("QUART",$C852)),Assumptions!$B$5,IF(ISNUMBER(SEARCH("PINT",$C852)),Assumptions!$B$6,Assumptions!$B$7)))))</f>
        <v>1</v>
      </c>
      <c r="I852" s="27">
        <f t="shared" si="27"/>
        <v>5</v>
      </c>
    </row>
    <row r="853" spans="1:9" x14ac:dyDescent="0.2">
      <c r="A853" s="3" t="s">
        <v>82</v>
      </c>
      <c r="B853" s="3" t="s">
        <v>255</v>
      </c>
      <c r="C853" s="3" t="s">
        <v>256</v>
      </c>
      <c r="D853" s="3" t="s">
        <v>109</v>
      </c>
      <c r="E853" s="4">
        <v>8</v>
      </c>
      <c r="F853" s="5" t="str">
        <f>IFERROR(3958.8*ACOS(MIN(1,MAX(-1,SIN(RADIANS('ZIP Coordinates'!$C$2))*SIN(RADIANS(INDEX('ZIP Coordinates'!$C:$C,MATCH($A853,'ZIP Coordinates'!$A:$A,0))))+COS(RADIANS('ZIP Coordinates'!$C$2))*COS(RADIANS(INDEX('ZIP Coordinates'!$C:$C,MATCH($A853,'ZIP Coordinates'!$A:$A,0))))*COS(RADIANS(INDEX('ZIP Coordinates'!$D:$D,MATCH($A853,'ZIP Coordinates'!$A:$A,0))-'ZIP Coordinates'!$D$2))))),"N/A")</f>
        <v>N/A</v>
      </c>
      <c r="G853" s="3" t="str">
        <f t="shared" si="26"/>
        <v>Unknown</v>
      </c>
      <c r="H853" s="27">
        <f>IF(RIGHT($B853,1)="P",1,IF(ISNUMBER(SEARCH("HALF GALLON",$C853)),Assumptions!$B$4,IF(ISNUMBER(SEARCH("GALLON",$C853)),Assumptions!$B$3,IF(ISNUMBER(SEARCH("QUART",$C853)),Assumptions!$B$5,IF(ISNUMBER(SEARCH("PINT",$C853)),Assumptions!$B$6,Assumptions!$B$7)))))</f>
        <v>20</v>
      </c>
      <c r="I853" s="27">
        <f t="shared" si="27"/>
        <v>160</v>
      </c>
    </row>
    <row r="854" spans="1:9" x14ac:dyDescent="0.2">
      <c r="A854" s="3" t="s">
        <v>82</v>
      </c>
      <c r="B854" s="3" t="s">
        <v>255</v>
      </c>
      <c r="C854" s="3" t="s">
        <v>256</v>
      </c>
      <c r="D854" s="3" t="s">
        <v>109</v>
      </c>
      <c r="E854" s="4">
        <v>1</v>
      </c>
      <c r="F854" s="5" t="str">
        <f>IFERROR(3958.8*ACOS(MIN(1,MAX(-1,SIN(RADIANS('ZIP Coordinates'!$C$2))*SIN(RADIANS(INDEX('ZIP Coordinates'!$C:$C,MATCH($A854,'ZIP Coordinates'!$A:$A,0))))+COS(RADIANS('ZIP Coordinates'!$C$2))*COS(RADIANS(INDEX('ZIP Coordinates'!$C:$C,MATCH($A854,'ZIP Coordinates'!$A:$A,0))))*COS(RADIANS(INDEX('ZIP Coordinates'!$D:$D,MATCH($A854,'ZIP Coordinates'!$A:$A,0))-'ZIP Coordinates'!$D$2))))),"N/A")</f>
        <v>N/A</v>
      </c>
      <c r="G854" s="3" t="str">
        <f t="shared" si="26"/>
        <v>Unknown</v>
      </c>
      <c r="H854" s="27">
        <f>IF(RIGHT($B854,1)="P",1,IF(ISNUMBER(SEARCH("HALF GALLON",$C854)),Assumptions!$B$4,IF(ISNUMBER(SEARCH("GALLON",$C854)),Assumptions!$B$3,IF(ISNUMBER(SEARCH("QUART",$C854)),Assumptions!$B$5,IF(ISNUMBER(SEARCH("PINT",$C854)),Assumptions!$B$6,Assumptions!$B$7)))))</f>
        <v>20</v>
      </c>
      <c r="I854" s="27">
        <f t="shared" si="27"/>
        <v>20</v>
      </c>
    </row>
    <row r="855" spans="1:9" x14ac:dyDescent="0.2">
      <c r="A855" s="3" t="s">
        <v>82</v>
      </c>
      <c r="B855" s="3" t="s">
        <v>255</v>
      </c>
      <c r="C855" s="3" t="s">
        <v>256</v>
      </c>
      <c r="D855" s="3" t="s">
        <v>109</v>
      </c>
      <c r="E855" s="4">
        <v>1</v>
      </c>
      <c r="F855" s="5" t="str">
        <f>IFERROR(3958.8*ACOS(MIN(1,MAX(-1,SIN(RADIANS('ZIP Coordinates'!$C$2))*SIN(RADIANS(INDEX('ZIP Coordinates'!$C:$C,MATCH($A855,'ZIP Coordinates'!$A:$A,0))))+COS(RADIANS('ZIP Coordinates'!$C$2))*COS(RADIANS(INDEX('ZIP Coordinates'!$C:$C,MATCH($A855,'ZIP Coordinates'!$A:$A,0))))*COS(RADIANS(INDEX('ZIP Coordinates'!$D:$D,MATCH($A855,'ZIP Coordinates'!$A:$A,0))-'ZIP Coordinates'!$D$2))))),"N/A")</f>
        <v>N/A</v>
      </c>
      <c r="G855" s="3" t="str">
        <f t="shared" si="26"/>
        <v>Unknown</v>
      </c>
      <c r="H855" s="27">
        <f>IF(RIGHT($B855,1)="P",1,IF(ISNUMBER(SEARCH("HALF GALLON",$C855)),Assumptions!$B$4,IF(ISNUMBER(SEARCH("GALLON",$C855)),Assumptions!$B$3,IF(ISNUMBER(SEARCH("QUART",$C855)),Assumptions!$B$5,IF(ISNUMBER(SEARCH("PINT",$C855)),Assumptions!$B$6,Assumptions!$B$7)))))</f>
        <v>20</v>
      </c>
      <c r="I855" s="27">
        <f t="shared" si="27"/>
        <v>20</v>
      </c>
    </row>
    <row r="856" spans="1:9" x14ac:dyDescent="0.2">
      <c r="A856" s="3" t="s">
        <v>82</v>
      </c>
      <c r="B856" s="3" t="s">
        <v>255</v>
      </c>
      <c r="C856" s="3" t="s">
        <v>256</v>
      </c>
      <c r="D856" s="3" t="s">
        <v>109</v>
      </c>
      <c r="E856" s="4">
        <v>1</v>
      </c>
      <c r="F856" s="5" t="str">
        <f>IFERROR(3958.8*ACOS(MIN(1,MAX(-1,SIN(RADIANS('ZIP Coordinates'!$C$2))*SIN(RADIANS(INDEX('ZIP Coordinates'!$C:$C,MATCH($A856,'ZIP Coordinates'!$A:$A,0))))+COS(RADIANS('ZIP Coordinates'!$C$2))*COS(RADIANS(INDEX('ZIP Coordinates'!$C:$C,MATCH($A856,'ZIP Coordinates'!$A:$A,0))))*COS(RADIANS(INDEX('ZIP Coordinates'!$D:$D,MATCH($A856,'ZIP Coordinates'!$A:$A,0))-'ZIP Coordinates'!$D$2))))),"N/A")</f>
        <v>N/A</v>
      </c>
      <c r="G856" s="3" t="str">
        <f t="shared" si="26"/>
        <v>Unknown</v>
      </c>
      <c r="H856" s="27">
        <f>IF(RIGHT($B856,1)="P",1,IF(ISNUMBER(SEARCH("HALF GALLON",$C856)),Assumptions!$B$4,IF(ISNUMBER(SEARCH("GALLON",$C856)),Assumptions!$B$3,IF(ISNUMBER(SEARCH("QUART",$C856)),Assumptions!$B$5,IF(ISNUMBER(SEARCH("PINT",$C856)),Assumptions!$B$6,Assumptions!$B$7)))))</f>
        <v>20</v>
      </c>
      <c r="I856" s="27">
        <f t="shared" si="27"/>
        <v>20</v>
      </c>
    </row>
    <row r="857" spans="1:9" x14ac:dyDescent="0.2">
      <c r="A857" s="3" t="s">
        <v>82</v>
      </c>
      <c r="B857" s="3" t="s">
        <v>255</v>
      </c>
      <c r="C857" s="3" t="s">
        <v>256</v>
      </c>
      <c r="D857" s="3" t="s">
        <v>109</v>
      </c>
      <c r="E857" s="4">
        <v>3</v>
      </c>
      <c r="F857" s="5" t="str">
        <f>IFERROR(3958.8*ACOS(MIN(1,MAX(-1,SIN(RADIANS('ZIP Coordinates'!$C$2))*SIN(RADIANS(INDEX('ZIP Coordinates'!$C:$C,MATCH($A857,'ZIP Coordinates'!$A:$A,0))))+COS(RADIANS('ZIP Coordinates'!$C$2))*COS(RADIANS(INDEX('ZIP Coordinates'!$C:$C,MATCH($A857,'ZIP Coordinates'!$A:$A,0))))*COS(RADIANS(INDEX('ZIP Coordinates'!$D:$D,MATCH($A857,'ZIP Coordinates'!$A:$A,0))-'ZIP Coordinates'!$D$2))))),"N/A")</f>
        <v>N/A</v>
      </c>
      <c r="G857" s="3" t="str">
        <f t="shared" si="26"/>
        <v>Unknown</v>
      </c>
      <c r="H857" s="27">
        <f>IF(RIGHT($B857,1)="P",1,IF(ISNUMBER(SEARCH("HALF GALLON",$C857)),Assumptions!$B$4,IF(ISNUMBER(SEARCH("GALLON",$C857)),Assumptions!$B$3,IF(ISNUMBER(SEARCH("QUART",$C857)),Assumptions!$B$5,IF(ISNUMBER(SEARCH("PINT",$C857)),Assumptions!$B$6,Assumptions!$B$7)))))</f>
        <v>20</v>
      </c>
      <c r="I857" s="27">
        <f t="shared" si="27"/>
        <v>60</v>
      </c>
    </row>
    <row r="858" spans="1:9" x14ac:dyDescent="0.2">
      <c r="A858" s="3" t="s">
        <v>82</v>
      </c>
      <c r="B858" s="3" t="s">
        <v>255</v>
      </c>
      <c r="C858" s="3" t="s">
        <v>256</v>
      </c>
      <c r="D858" s="3" t="s">
        <v>109</v>
      </c>
      <c r="E858" s="4">
        <v>1</v>
      </c>
      <c r="F858" s="5" t="str">
        <f>IFERROR(3958.8*ACOS(MIN(1,MAX(-1,SIN(RADIANS('ZIP Coordinates'!$C$2))*SIN(RADIANS(INDEX('ZIP Coordinates'!$C:$C,MATCH($A858,'ZIP Coordinates'!$A:$A,0))))+COS(RADIANS('ZIP Coordinates'!$C$2))*COS(RADIANS(INDEX('ZIP Coordinates'!$C:$C,MATCH($A858,'ZIP Coordinates'!$A:$A,0))))*COS(RADIANS(INDEX('ZIP Coordinates'!$D:$D,MATCH($A858,'ZIP Coordinates'!$A:$A,0))-'ZIP Coordinates'!$D$2))))),"N/A")</f>
        <v>N/A</v>
      </c>
      <c r="G858" s="3" t="str">
        <f t="shared" si="26"/>
        <v>Unknown</v>
      </c>
      <c r="H858" s="27">
        <f>IF(RIGHT($B858,1)="P",1,IF(ISNUMBER(SEARCH("HALF GALLON",$C858)),Assumptions!$B$4,IF(ISNUMBER(SEARCH("GALLON",$C858)),Assumptions!$B$3,IF(ISNUMBER(SEARCH("QUART",$C858)),Assumptions!$B$5,IF(ISNUMBER(SEARCH("PINT",$C858)),Assumptions!$B$6,Assumptions!$B$7)))))</f>
        <v>20</v>
      </c>
      <c r="I858" s="27">
        <f t="shared" si="27"/>
        <v>20</v>
      </c>
    </row>
    <row r="859" spans="1:9" x14ac:dyDescent="0.2">
      <c r="A859" s="3" t="s">
        <v>83</v>
      </c>
      <c r="B859" s="3" t="s">
        <v>300</v>
      </c>
      <c r="C859" s="3" t="s">
        <v>301</v>
      </c>
      <c r="D859" s="3" t="s">
        <v>187</v>
      </c>
      <c r="E859" s="4">
        <v>1</v>
      </c>
      <c r="F859" s="5">
        <f>IFERROR(3958.8*ACOS(MIN(1,MAX(-1,SIN(RADIANS('ZIP Coordinates'!$C$2))*SIN(RADIANS(INDEX('ZIP Coordinates'!$C:$C,MATCH($A859,'ZIP Coordinates'!$A:$A,0))))+COS(RADIANS('ZIP Coordinates'!$C$2))*COS(RADIANS(INDEX('ZIP Coordinates'!$C:$C,MATCH($A859,'ZIP Coordinates'!$A:$A,0))))*COS(RADIANS(INDEX('ZIP Coordinates'!$D:$D,MATCH($A859,'ZIP Coordinates'!$A:$A,0))-'ZIP Coordinates'!$D$2))))),"N/A")</f>
        <v>526.42488594533438</v>
      </c>
      <c r="G859" s="3" t="str">
        <f t="shared" si="26"/>
        <v>200+ mi</v>
      </c>
      <c r="H859" s="27">
        <f>IF(RIGHT($B859,1)="P",1,IF(ISNUMBER(SEARCH("HALF GALLON",$C859)),Assumptions!$B$4,IF(ISNUMBER(SEARCH("GALLON",$C859)),Assumptions!$B$3,IF(ISNUMBER(SEARCH("QUART",$C859)),Assumptions!$B$5,IF(ISNUMBER(SEARCH("PINT",$C859)),Assumptions!$B$6,Assumptions!$B$7)))))</f>
        <v>1</v>
      </c>
      <c r="I859" s="27">
        <f t="shared" si="27"/>
        <v>1</v>
      </c>
    </row>
    <row r="860" spans="1:9" x14ac:dyDescent="0.2">
      <c r="A860" s="3" t="s">
        <v>83</v>
      </c>
      <c r="B860" s="3" t="s">
        <v>300</v>
      </c>
      <c r="C860" s="3" t="s">
        <v>301</v>
      </c>
      <c r="D860" s="3" t="s">
        <v>187</v>
      </c>
      <c r="E860" s="4">
        <v>1</v>
      </c>
      <c r="F860" s="5">
        <f>IFERROR(3958.8*ACOS(MIN(1,MAX(-1,SIN(RADIANS('ZIP Coordinates'!$C$2))*SIN(RADIANS(INDEX('ZIP Coordinates'!$C:$C,MATCH($A860,'ZIP Coordinates'!$A:$A,0))))+COS(RADIANS('ZIP Coordinates'!$C$2))*COS(RADIANS(INDEX('ZIP Coordinates'!$C:$C,MATCH($A860,'ZIP Coordinates'!$A:$A,0))))*COS(RADIANS(INDEX('ZIP Coordinates'!$D:$D,MATCH($A860,'ZIP Coordinates'!$A:$A,0))-'ZIP Coordinates'!$D$2))))),"N/A")</f>
        <v>526.42488594533438</v>
      </c>
      <c r="G860" s="3" t="str">
        <f t="shared" si="26"/>
        <v>200+ mi</v>
      </c>
      <c r="H860" s="27">
        <f>IF(RIGHT($B860,1)="P",1,IF(ISNUMBER(SEARCH("HALF GALLON",$C860)),Assumptions!$B$4,IF(ISNUMBER(SEARCH("GALLON",$C860)),Assumptions!$B$3,IF(ISNUMBER(SEARCH("QUART",$C860)),Assumptions!$B$5,IF(ISNUMBER(SEARCH("PINT",$C860)),Assumptions!$B$6,Assumptions!$B$7)))))</f>
        <v>1</v>
      </c>
      <c r="I860" s="27">
        <f t="shared" si="27"/>
        <v>1</v>
      </c>
    </row>
    <row r="861" spans="1:9" x14ac:dyDescent="0.2">
      <c r="A861" s="3" t="s">
        <v>83</v>
      </c>
      <c r="B861" s="3" t="s">
        <v>300</v>
      </c>
      <c r="C861" s="3" t="s">
        <v>301</v>
      </c>
      <c r="D861" s="3" t="s">
        <v>187</v>
      </c>
      <c r="E861" s="4">
        <v>1</v>
      </c>
      <c r="F861" s="5">
        <f>IFERROR(3958.8*ACOS(MIN(1,MAX(-1,SIN(RADIANS('ZIP Coordinates'!$C$2))*SIN(RADIANS(INDEX('ZIP Coordinates'!$C:$C,MATCH($A861,'ZIP Coordinates'!$A:$A,0))))+COS(RADIANS('ZIP Coordinates'!$C$2))*COS(RADIANS(INDEX('ZIP Coordinates'!$C:$C,MATCH($A861,'ZIP Coordinates'!$A:$A,0))))*COS(RADIANS(INDEX('ZIP Coordinates'!$D:$D,MATCH($A861,'ZIP Coordinates'!$A:$A,0))-'ZIP Coordinates'!$D$2))))),"N/A")</f>
        <v>526.42488594533438</v>
      </c>
      <c r="G861" s="3" t="str">
        <f t="shared" si="26"/>
        <v>200+ mi</v>
      </c>
      <c r="H861" s="27">
        <f>IF(RIGHT($B861,1)="P",1,IF(ISNUMBER(SEARCH("HALF GALLON",$C861)),Assumptions!$B$4,IF(ISNUMBER(SEARCH("GALLON",$C861)),Assumptions!$B$3,IF(ISNUMBER(SEARCH("QUART",$C861)),Assumptions!$B$5,IF(ISNUMBER(SEARCH("PINT",$C861)),Assumptions!$B$6,Assumptions!$B$7)))))</f>
        <v>1</v>
      </c>
      <c r="I861" s="27">
        <f t="shared" si="27"/>
        <v>1</v>
      </c>
    </row>
    <row r="862" spans="1:9" x14ac:dyDescent="0.2">
      <c r="A862" s="3" t="s">
        <v>83</v>
      </c>
      <c r="B862" s="3" t="s">
        <v>300</v>
      </c>
      <c r="C862" s="3" t="s">
        <v>301</v>
      </c>
      <c r="D862" s="3" t="s">
        <v>187</v>
      </c>
      <c r="E862" s="4">
        <v>1</v>
      </c>
      <c r="F862" s="5">
        <f>IFERROR(3958.8*ACOS(MIN(1,MAX(-1,SIN(RADIANS('ZIP Coordinates'!$C$2))*SIN(RADIANS(INDEX('ZIP Coordinates'!$C:$C,MATCH($A862,'ZIP Coordinates'!$A:$A,0))))+COS(RADIANS('ZIP Coordinates'!$C$2))*COS(RADIANS(INDEX('ZIP Coordinates'!$C:$C,MATCH($A862,'ZIP Coordinates'!$A:$A,0))))*COS(RADIANS(INDEX('ZIP Coordinates'!$D:$D,MATCH($A862,'ZIP Coordinates'!$A:$A,0))-'ZIP Coordinates'!$D$2))))),"N/A")</f>
        <v>526.42488594533438</v>
      </c>
      <c r="G862" s="3" t="str">
        <f t="shared" si="26"/>
        <v>200+ mi</v>
      </c>
      <c r="H862" s="27">
        <f>IF(RIGHT($B862,1)="P",1,IF(ISNUMBER(SEARCH("HALF GALLON",$C862)),Assumptions!$B$4,IF(ISNUMBER(SEARCH("GALLON",$C862)),Assumptions!$B$3,IF(ISNUMBER(SEARCH("QUART",$C862)),Assumptions!$B$5,IF(ISNUMBER(SEARCH("PINT",$C862)),Assumptions!$B$6,Assumptions!$B$7)))))</f>
        <v>1</v>
      </c>
      <c r="I862" s="27">
        <f t="shared" si="27"/>
        <v>1</v>
      </c>
    </row>
    <row r="863" spans="1:9" x14ac:dyDescent="0.2">
      <c r="A863" s="3" t="s">
        <v>83</v>
      </c>
      <c r="B863" s="3" t="s">
        <v>300</v>
      </c>
      <c r="C863" s="3" t="s">
        <v>301</v>
      </c>
      <c r="D863" s="3" t="s">
        <v>187</v>
      </c>
      <c r="E863" s="4">
        <v>1</v>
      </c>
      <c r="F863" s="5">
        <f>IFERROR(3958.8*ACOS(MIN(1,MAX(-1,SIN(RADIANS('ZIP Coordinates'!$C$2))*SIN(RADIANS(INDEX('ZIP Coordinates'!$C:$C,MATCH($A863,'ZIP Coordinates'!$A:$A,0))))+COS(RADIANS('ZIP Coordinates'!$C$2))*COS(RADIANS(INDEX('ZIP Coordinates'!$C:$C,MATCH($A863,'ZIP Coordinates'!$A:$A,0))))*COS(RADIANS(INDEX('ZIP Coordinates'!$D:$D,MATCH($A863,'ZIP Coordinates'!$A:$A,0))-'ZIP Coordinates'!$D$2))))),"N/A")</f>
        <v>526.42488594533438</v>
      </c>
      <c r="G863" s="3" t="str">
        <f t="shared" si="26"/>
        <v>200+ mi</v>
      </c>
      <c r="H863" s="27">
        <f>IF(RIGHT($B863,1)="P",1,IF(ISNUMBER(SEARCH("HALF GALLON",$C863)),Assumptions!$B$4,IF(ISNUMBER(SEARCH("GALLON",$C863)),Assumptions!$B$3,IF(ISNUMBER(SEARCH("QUART",$C863)),Assumptions!$B$5,IF(ISNUMBER(SEARCH("PINT",$C863)),Assumptions!$B$6,Assumptions!$B$7)))))</f>
        <v>1</v>
      </c>
      <c r="I863" s="27">
        <f t="shared" si="27"/>
        <v>1</v>
      </c>
    </row>
    <row r="864" spans="1:9" x14ac:dyDescent="0.2">
      <c r="A864" s="3" t="s">
        <v>83</v>
      </c>
      <c r="B864" s="3" t="s">
        <v>300</v>
      </c>
      <c r="C864" s="3" t="s">
        <v>301</v>
      </c>
      <c r="D864" s="3" t="s">
        <v>187</v>
      </c>
      <c r="E864" s="4">
        <v>1</v>
      </c>
      <c r="F864" s="5">
        <f>IFERROR(3958.8*ACOS(MIN(1,MAX(-1,SIN(RADIANS('ZIP Coordinates'!$C$2))*SIN(RADIANS(INDEX('ZIP Coordinates'!$C:$C,MATCH($A864,'ZIP Coordinates'!$A:$A,0))))+COS(RADIANS('ZIP Coordinates'!$C$2))*COS(RADIANS(INDEX('ZIP Coordinates'!$C:$C,MATCH($A864,'ZIP Coordinates'!$A:$A,0))))*COS(RADIANS(INDEX('ZIP Coordinates'!$D:$D,MATCH($A864,'ZIP Coordinates'!$A:$A,0))-'ZIP Coordinates'!$D$2))))),"N/A")</f>
        <v>526.42488594533438</v>
      </c>
      <c r="G864" s="3" t="str">
        <f t="shared" si="26"/>
        <v>200+ mi</v>
      </c>
      <c r="H864" s="27">
        <f>IF(RIGHT($B864,1)="P",1,IF(ISNUMBER(SEARCH("HALF GALLON",$C864)),Assumptions!$B$4,IF(ISNUMBER(SEARCH("GALLON",$C864)),Assumptions!$B$3,IF(ISNUMBER(SEARCH("QUART",$C864)),Assumptions!$B$5,IF(ISNUMBER(SEARCH("PINT",$C864)),Assumptions!$B$6,Assumptions!$B$7)))))</f>
        <v>1</v>
      </c>
      <c r="I864" s="27">
        <f t="shared" si="27"/>
        <v>1</v>
      </c>
    </row>
    <row r="865" spans="1:9" x14ac:dyDescent="0.2">
      <c r="A865" s="3" t="s">
        <v>83</v>
      </c>
      <c r="B865" s="3" t="s">
        <v>300</v>
      </c>
      <c r="C865" s="3" t="s">
        <v>301</v>
      </c>
      <c r="D865" s="3" t="s">
        <v>187</v>
      </c>
      <c r="E865" s="4">
        <v>1</v>
      </c>
      <c r="F865" s="5">
        <f>IFERROR(3958.8*ACOS(MIN(1,MAX(-1,SIN(RADIANS('ZIP Coordinates'!$C$2))*SIN(RADIANS(INDEX('ZIP Coordinates'!$C:$C,MATCH($A865,'ZIP Coordinates'!$A:$A,0))))+COS(RADIANS('ZIP Coordinates'!$C$2))*COS(RADIANS(INDEX('ZIP Coordinates'!$C:$C,MATCH($A865,'ZIP Coordinates'!$A:$A,0))))*COS(RADIANS(INDEX('ZIP Coordinates'!$D:$D,MATCH($A865,'ZIP Coordinates'!$A:$A,0))-'ZIP Coordinates'!$D$2))))),"N/A")</f>
        <v>526.42488594533438</v>
      </c>
      <c r="G865" s="3" t="str">
        <f t="shared" si="26"/>
        <v>200+ mi</v>
      </c>
      <c r="H865" s="27">
        <f>IF(RIGHT($B865,1)="P",1,IF(ISNUMBER(SEARCH("HALF GALLON",$C865)),Assumptions!$B$4,IF(ISNUMBER(SEARCH("GALLON",$C865)),Assumptions!$B$3,IF(ISNUMBER(SEARCH("QUART",$C865)),Assumptions!$B$5,IF(ISNUMBER(SEARCH("PINT",$C865)),Assumptions!$B$6,Assumptions!$B$7)))))</f>
        <v>1</v>
      </c>
      <c r="I865" s="27">
        <f t="shared" si="27"/>
        <v>1</v>
      </c>
    </row>
    <row r="866" spans="1:9" x14ac:dyDescent="0.2">
      <c r="A866" s="3" t="s">
        <v>83</v>
      </c>
      <c r="B866" s="3" t="s">
        <v>300</v>
      </c>
      <c r="C866" s="3" t="s">
        <v>301</v>
      </c>
      <c r="D866" s="3" t="s">
        <v>187</v>
      </c>
      <c r="E866" s="4">
        <v>1</v>
      </c>
      <c r="F866" s="5">
        <f>IFERROR(3958.8*ACOS(MIN(1,MAX(-1,SIN(RADIANS('ZIP Coordinates'!$C$2))*SIN(RADIANS(INDEX('ZIP Coordinates'!$C:$C,MATCH($A866,'ZIP Coordinates'!$A:$A,0))))+COS(RADIANS('ZIP Coordinates'!$C$2))*COS(RADIANS(INDEX('ZIP Coordinates'!$C:$C,MATCH($A866,'ZIP Coordinates'!$A:$A,0))))*COS(RADIANS(INDEX('ZIP Coordinates'!$D:$D,MATCH($A866,'ZIP Coordinates'!$A:$A,0))-'ZIP Coordinates'!$D$2))))),"N/A")</f>
        <v>526.42488594533438</v>
      </c>
      <c r="G866" s="3" t="str">
        <f t="shared" si="26"/>
        <v>200+ mi</v>
      </c>
      <c r="H866" s="27">
        <f>IF(RIGHT($B866,1)="P",1,IF(ISNUMBER(SEARCH("HALF GALLON",$C866)),Assumptions!$B$4,IF(ISNUMBER(SEARCH("GALLON",$C866)),Assumptions!$B$3,IF(ISNUMBER(SEARCH("QUART",$C866)),Assumptions!$B$5,IF(ISNUMBER(SEARCH("PINT",$C866)),Assumptions!$B$6,Assumptions!$B$7)))))</f>
        <v>1</v>
      </c>
      <c r="I866" s="27">
        <f t="shared" si="27"/>
        <v>1</v>
      </c>
    </row>
    <row r="867" spans="1:9" x14ac:dyDescent="0.2">
      <c r="A867" s="3" t="s">
        <v>83</v>
      </c>
      <c r="B867" s="3" t="s">
        <v>300</v>
      </c>
      <c r="C867" s="3" t="s">
        <v>301</v>
      </c>
      <c r="D867" s="3" t="s">
        <v>187</v>
      </c>
      <c r="E867" s="4">
        <v>1</v>
      </c>
      <c r="F867" s="5">
        <f>IFERROR(3958.8*ACOS(MIN(1,MAX(-1,SIN(RADIANS('ZIP Coordinates'!$C$2))*SIN(RADIANS(INDEX('ZIP Coordinates'!$C:$C,MATCH($A867,'ZIP Coordinates'!$A:$A,0))))+COS(RADIANS('ZIP Coordinates'!$C$2))*COS(RADIANS(INDEX('ZIP Coordinates'!$C:$C,MATCH($A867,'ZIP Coordinates'!$A:$A,0))))*COS(RADIANS(INDEX('ZIP Coordinates'!$D:$D,MATCH($A867,'ZIP Coordinates'!$A:$A,0))-'ZIP Coordinates'!$D$2))))),"N/A")</f>
        <v>526.42488594533438</v>
      </c>
      <c r="G867" s="3" t="str">
        <f t="shared" si="26"/>
        <v>200+ mi</v>
      </c>
      <c r="H867" s="27">
        <f>IF(RIGHT($B867,1)="P",1,IF(ISNUMBER(SEARCH("HALF GALLON",$C867)),Assumptions!$B$4,IF(ISNUMBER(SEARCH("GALLON",$C867)),Assumptions!$B$3,IF(ISNUMBER(SEARCH("QUART",$C867)),Assumptions!$B$5,IF(ISNUMBER(SEARCH("PINT",$C867)),Assumptions!$B$6,Assumptions!$B$7)))))</f>
        <v>1</v>
      </c>
      <c r="I867" s="27">
        <f t="shared" si="27"/>
        <v>1</v>
      </c>
    </row>
    <row r="868" spans="1:9" x14ac:dyDescent="0.2">
      <c r="A868" s="3" t="s">
        <v>83</v>
      </c>
      <c r="B868" s="3" t="s">
        <v>300</v>
      </c>
      <c r="C868" s="3" t="s">
        <v>301</v>
      </c>
      <c r="D868" s="3" t="s">
        <v>187</v>
      </c>
      <c r="E868" s="4">
        <v>1</v>
      </c>
      <c r="F868" s="5">
        <f>IFERROR(3958.8*ACOS(MIN(1,MAX(-1,SIN(RADIANS('ZIP Coordinates'!$C$2))*SIN(RADIANS(INDEX('ZIP Coordinates'!$C:$C,MATCH($A868,'ZIP Coordinates'!$A:$A,0))))+COS(RADIANS('ZIP Coordinates'!$C$2))*COS(RADIANS(INDEX('ZIP Coordinates'!$C:$C,MATCH($A868,'ZIP Coordinates'!$A:$A,0))))*COS(RADIANS(INDEX('ZIP Coordinates'!$D:$D,MATCH($A868,'ZIP Coordinates'!$A:$A,0))-'ZIP Coordinates'!$D$2))))),"N/A")</f>
        <v>526.42488594533438</v>
      </c>
      <c r="G868" s="3" t="str">
        <f t="shared" si="26"/>
        <v>200+ mi</v>
      </c>
      <c r="H868" s="27">
        <f>IF(RIGHT($B868,1)="P",1,IF(ISNUMBER(SEARCH("HALF GALLON",$C868)),Assumptions!$B$4,IF(ISNUMBER(SEARCH("GALLON",$C868)),Assumptions!$B$3,IF(ISNUMBER(SEARCH("QUART",$C868)),Assumptions!$B$5,IF(ISNUMBER(SEARCH("PINT",$C868)),Assumptions!$B$6,Assumptions!$B$7)))))</f>
        <v>1</v>
      </c>
      <c r="I868" s="27">
        <f t="shared" si="27"/>
        <v>1</v>
      </c>
    </row>
    <row r="869" spans="1:9" x14ac:dyDescent="0.2">
      <c r="A869" s="3" t="s">
        <v>83</v>
      </c>
      <c r="B869" s="3" t="s">
        <v>300</v>
      </c>
      <c r="C869" s="3" t="s">
        <v>301</v>
      </c>
      <c r="D869" s="3" t="s">
        <v>187</v>
      </c>
      <c r="E869" s="4">
        <v>1</v>
      </c>
      <c r="F869" s="5">
        <f>IFERROR(3958.8*ACOS(MIN(1,MAX(-1,SIN(RADIANS('ZIP Coordinates'!$C$2))*SIN(RADIANS(INDEX('ZIP Coordinates'!$C:$C,MATCH($A869,'ZIP Coordinates'!$A:$A,0))))+COS(RADIANS('ZIP Coordinates'!$C$2))*COS(RADIANS(INDEX('ZIP Coordinates'!$C:$C,MATCH($A869,'ZIP Coordinates'!$A:$A,0))))*COS(RADIANS(INDEX('ZIP Coordinates'!$D:$D,MATCH($A869,'ZIP Coordinates'!$A:$A,0))-'ZIP Coordinates'!$D$2))))),"N/A")</f>
        <v>526.42488594533438</v>
      </c>
      <c r="G869" s="3" t="str">
        <f t="shared" si="26"/>
        <v>200+ mi</v>
      </c>
      <c r="H869" s="27">
        <f>IF(RIGHT($B869,1)="P",1,IF(ISNUMBER(SEARCH("HALF GALLON",$C869)),Assumptions!$B$4,IF(ISNUMBER(SEARCH("GALLON",$C869)),Assumptions!$B$3,IF(ISNUMBER(SEARCH("QUART",$C869)),Assumptions!$B$5,IF(ISNUMBER(SEARCH("PINT",$C869)),Assumptions!$B$6,Assumptions!$B$7)))))</f>
        <v>1</v>
      </c>
      <c r="I869" s="27">
        <f t="shared" si="27"/>
        <v>1</v>
      </c>
    </row>
    <row r="870" spans="1:9" x14ac:dyDescent="0.2">
      <c r="A870" s="3" t="s">
        <v>83</v>
      </c>
      <c r="B870" s="3" t="s">
        <v>300</v>
      </c>
      <c r="C870" s="3" t="s">
        <v>301</v>
      </c>
      <c r="D870" s="3" t="s">
        <v>187</v>
      </c>
      <c r="E870" s="4">
        <v>1</v>
      </c>
      <c r="F870" s="5">
        <f>IFERROR(3958.8*ACOS(MIN(1,MAX(-1,SIN(RADIANS('ZIP Coordinates'!$C$2))*SIN(RADIANS(INDEX('ZIP Coordinates'!$C:$C,MATCH($A870,'ZIP Coordinates'!$A:$A,0))))+COS(RADIANS('ZIP Coordinates'!$C$2))*COS(RADIANS(INDEX('ZIP Coordinates'!$C:$C,MATCH($A870,'ZIP Coordinates'!$A:$A,0))))*COS(RADIANS(INDEX('ZIP Coordinates'!$D:$D,MATCH($A870,'ZIP Coordinates'!$A:$A,0))-'ZIP Coordinates'!$D$2))))),"N/A")</f>
        <v>526.42488594533438</v>
      </c>
      <c r="G870" s="3" t="str">
        <f t="shared" si="26"/>
        <v>200+ mi</v>
      </c>
      <c r="H870" s="27">
        <f>IF(RIGHT($B870,1)="P",1,IF(ISNUMBER(SEARCH("HALF GALLON",$C870)),Assumptions!$B$4,IF(ISNUMBER(SEARCH("GALLON",$C870)),Assumptions!$B$3,IF(ISNUMBER(SEARCH("QUART",$C870)),Assumptions!$B$5,IF(ISNUMBER(SEARCH("PINT",$C870)),Assumptions!$B$6,Assumptions!$B$7)))))</f>
        <v>1</v>
      </c>
      <c r="I870" s="27">
        <f t="shared" si="27"/>
        <v>1</v>
      </c>
    </row>
    <row r="871" spans="1:9" x14ac:dyDescent="0.2">
      <c r="A871" s="3" t="s">
        <v>83</v>
      </c>
      <c r="B871" s="3" t="s">
        <v>300</v>
      </c>
      <c r="C871" s="3" t="s">
        <v>301</v>
      </c>
      <c r="D871" s="3" t="s">
        <v>187</v>
      </c>
      <c r="E871" s="4">
        <v>1</v>
      </c>
      <c r="F871" s="5">
        <f>IFERROR(3958.8*ACOS(MIN(1,MAX(-1,SIN(RADIANS('ZIP Coordinates'!$C$2))*SIN(RADIANS(INDEX('ZIP Coordinates'!$C:$C,MATCH($A871,'ZIP Coordinates'!$A:$A,0))))+COS(RADIANS('ZIP Coordinates'!$C$2))*COS(RADIANS(INDEX('ZIP Coordinates'!$C:$C,MATCH($A871,'ZIP Coordinates'!$A:$A,0))))*COS(RADIANS(INDEX('ZIP Coordinates'!$D:$D,MATCH($A871,'ZIP Coordinates'!$A:$A,0))-'ZIP Coordinates'!$D$2))))),"N/A")</f>
        <v>526.42488594533438</v>
      </c>
      <c r="G871" s="3" t="str">
        <f t="shared" si="26"/>
        <v>200+ mi</v>
      </c>
      <c r="H871" s="27">
        <f>IF(RIGHT($B871,1)="P",1,IF(ISNUMBER(SEARCH("HALF GALLON",$C871)),Assumptions!$B$4,IF(ISNUMBER(SEARCH("GALLON",$C871)),Assumptions!$B$3,IF(ISNUMBER(SEARCH("QUART",$C871)),Assumptions!$B$5,IF(ISNUMBER(SEARCH("PINT",$C871)),Assumptions!$B$6,Assumptions!$B$7)))))</f>
        <v>1</v>
      </c>
      <c r="I871" s="27">
        <f t="shared" si="27"/>
        <v>1</v>
      </c>
    </row>
    <row r="872" spans="1:9" x14ac:dyDescent="0.2">
      <c r="A872" s="3" t="s">
        <v>83</v>
      </c>
      <c r="B872" s="3" t="s">
        <v>300</v>
      </c>
      <c r="C872" s="3" t="s">
        <v>301</v>
      </c>
      <c r="D872" s="3" t="s">
        <v>187</v>
      </c>
      <c r="E872" s="4">
        <v>1</v>
      </c>
      <c r="F872" s="5">
        <f>IFERROR(3958.8*ACOS(MIN(1,MAX(-1,SIN(RADIANS('ZIP Coordinates'!$C$2))*SIN(RADIANS(INDEX('ZIP Coordinates'!$C:$C,MATCH($A872,'ZIP Coordinates'!$A:$A,0))))+COS(RADIANS('ZIP Coordinates'!$C$2))*COS(RADIANS(INDEX('ZIP Coordinates'!$C:$C,MATCH($A872,'ZIP Coordinates'!$A:$A,0))))*COS(RADIANS(INDEX('ZIP Coordinates'!$D:$D,MATCH($A872,'ZIP Coordinates'!$A:$A,0))-'ZIP Coordinates'!$D$2))))),"N/A")</f>
        <v>526.42488594533438</v>
      </c>
      <c r="G872" s="3" t="str">
        <f t="shared" si="26"/>
        <v>200+ mi</v>
      </c>
      <c r="H872" s="27">
        <f>IF(RIGHT($B872,1)="P",1,IF(ISNUMBER(SEARCH("HALF GALLON",$C872)),Assumptions!$B$4,IF(ISNUMBER(SEARCH("GALLON",$C872)),Assumptions!$B$3,IF(ISNUMBER(SEARCH("QUART",$C872)),Assumptions!$B$5,IF(ISNUMBER(SEARCH("PINT",$C872)),Assumptions!$B$6,Assumptions!$B$7)))))</f>
        <v>1</v>
      </c>
      <c r="I872" s="27">
        <f t="shared" si="27"/>
        <v>1</v>
      </c>
    </row>
    <row r="873" spans="1:9" x14ac:dyDescent="0.2">
      <c r="A873" s="3" t="s">
        <v>83</v>
      </c>
      <c r="B873" s="3" t="s">
        <v>300</v>
      </c>
      <c r="C873" s="3" t="s">
        <v>301</v>
      </c>
      <c r="D873" s="3" t="s">
        <v>187</v>
      </c>
      <c r="E873" s="4">
        <v>1</v>
      </c>
      <c r="F873" s="5">
        <f>IFERROR(3958.8*ACOS(MIN(1,MAX(-1,SIN(RADIANS('ZIP Coordinates'!$C$2))*SIN(RADIANS(INDEX('ZIP Coordinates'!$C:$C,MATCH($A873,'ZIP Coordinates'!$A:$A,0))))+COS(RADIANS('ZIP Coordinates'!$C$2))*COS(RADIANS(INDEX('ZIP Coordinates'!$C:$C,MATCH($A873,'ZIP Coordinates'!$A:$A,0))))*COS(RADIANS(INDEX('ZIP Coordinates'!$D:$D,MATCH($A873,'ZIP Coordinates'!$A:$A,0))-'ZIP Coordinates'!$D$2))))),"N/A")</f>
        <v>526.42488594533438</v>
      </c>
      <c r="G873" s="3" t="str">
        <f t="shared" si="26"/>
        <v>200+ mi</v>
      </c>
      <c r="H873" s="27">
        <f>IF(RIGHT($B873,1)="P",1,IF(ISNUMBER(SEARCH("HALF GALLON",$C873)),Assumptions!$B$4,IF(ISNUMBER(SEARCH("GALLON",$C873)),Assumptions!$B$3,IF(ISNUMBER(SEARCH("QUART",$C873)),Assumptions!$B$5,IF(ISNUMBER(SEARCH("PINT",$C873)),Assumptions!$B$6,Assumptions!$B$7)))))</f>
        <v>1</v>
      </c>
      <c r="I873" s="27">
        <f t="shared" si="27"/>
        <v>1</v>
      </c>
    </row>
    <row r="874" spans="1:9" x14ac:dyDescent="0.2">
      <c r="A874" s="3" t="s">
        <v>83</v>
      </c>
      <c r="B874" s="3" t="s">
        <v>300</v>
      </c>
      <c r="C874" s="3" t="s">
        <v>301</v>
      </c>
      <c r="D874" s="3" t="s">
        <v>187</v>
      </c>
      <c r="E874" s="4">
        <v>1</v>
      </c>
      <c r="F874" s="5">
        <f>IFERROR(3958.8*ACOS(MIN(1,MAX(-1,SIN(RADIANS('ZIP Coordinates'!$C$2))*SIN(RADIANS(INDEX('ZIP Coordinates'!$C:$C,MATCH($A874,'ZIP Coordinates'!$A:$A,0))))+COS(RADIANS('ZIP Coordinates'!$C$2))*COS(RADIANS(INDEX('ZIP Coordinates'!$C:$C,MATCH($A874,'ZIP Coordinates'!$A:$A,0))))*COS(RADIANS(INDEX('ZIP Coordinates'!$D:$D,MATCH($A874,'ZIP Coordinates'!$A:$A,0))-'ZIP Coordinates'!$D$2))))),"N/A")</f>
        <v>526.42488594533438</v>
      </c>
      <c r="G874" s="3" t="str">
        <f t="shared" si="26"/>
        <v>200+ mi</v>
      </c>
      <c r="H874" s="27">
        <f>IF(RIGHT($B874,1)="P",1,IF(ISNUMBER(SEARCH("HALF GALLON",$C874)),Assumptions!$B$4,IF(ISNUMBER(SEARCH("GALLON",$C874)),Assumptions!$B$3,IF(ISNUMBER(SEARCH("QUART",$C874)),Assumptions!$B$5,IF(ISNUMBER(SEARCH("PINT",$C874)),Assumptions!$B$6,Assumptions!$B$7)))))</f>
        <v>1</v>
      </c>
      <c r="I874" s="27">
        <f t="shared" si="27"/>
        <v>1</v>
      </c>
    </row>
    <row r="875" spans="1:9" x14ac:dyDescent="0.2">
      <c r="A875" s="3" t="s">
        <v>83</v>
      </c>
      <c r="B875" s="3" t="s">
        <v>300</v>
      </c>
      <c r="C875" s="3" t="s">
        <v>301</v>
      </c>
      <c r="D875" s="3" t="s">
        <v>187</v>
      </c>
      <c r="E875" s="4">
        <v>1</v>
      </c>
      <c r="F875" s="5">
        <f>IFERROR(3958.8*ACOS(MIN(1,MAX(-1,SIN(RADIANS('ZIP Coordinates'!$C$2))*SIN(RADIANS(INDEX('ZIP Coordinates'!$C:$C,MATCH($A875,'ZIP Coordinates'!$A:$A,0))))+COS(RADIANS('ZIP Coordinates'!$C$2))*COS(RADIANS(INDEX('ZIP Coordinates'!$C:$C,MATCH($A875,'ZIP Coordinates'!$A:$A,0))))*COS(RADIANS(INDEX('ZIP Coordinates'!$D:$D,MATCH($A875,'ZIP Coordinates'!$A:$A,0))-'ZIP Coordinates'!$D$2))))),"N/A")</f>
        <v>526.42488594533438</v>
      </c>
      <c r="G875" s="3" t="str">
        <f t="shared" si="26"/>
        <v>200+ mi</v>
      </c>
      <c r="H875" s="27">
        <f>IF(RIGHT($B875,1)="P",1,IF(ISNUMBER(SEARCH("HALF GALLON",$C875)),Assumptions!$B$4,IF(ISNUMBER(SEARCH("GALLON",$C875)),Assumptions!$B$3,IF(ISNUMBER(SEARCH("QUART",$C875)),Assumptions!$B$5,IF(ISNUMBER(SEARCH("PINT",$C875)),Assumptions!$B$6,Assumptions!$B$7)))))</f>
        <v>1</v>
      </c>
      <c r="I875" s="27">
        <f t="shared" si="27"/>
        <v>1</v>
      </c>
    </row>
    <row r="876" spans="1:9" x14ac:dyDescent="0.2">
      <c r="A876" s="3" t="s">
        <v>83</v>
      </c>
      <c r="B876" s="3" t="s">
        <v>300</v>
      </c>
      <c r="C876" s="3" t="s">
        <v>301</v>
      </c>
      <c r="D876" s="3" t="s">
        <v>187</v>
      </c>
      <c r="E876" s="4">
        <v>1</v>
      </c>
      <c r="F876" s="5">
        <f>IFERROR(3958.8*ACOS(MIN(1,MAX(-1,SIN(RADIANS('ZIP Coordinates'!$C$2))*SIN(RADIANS(INDEX('ZIP Coordinates'!$C:$C,MATCH($A876,'ZIP Coordinates'!$A:$A,0))))+COS(RADIANS('ZIP Coordinates'!$C$2))*COS(RADIANS(INDEX('ZIP Coordinates'!$C:$C,MATCH($A876,'ZIP Coordinates'!$A:$A,0))))*COS(RADIANS(INDEX('ZIP Coordinates'!$D:$D,MATCH($A876,'ZIP Coordinates'!$A:$A,0))-'ZIP Coordinates'!$D$2))))),"N/A")</f>
        <v>526.42488594533438</v>
      </c>
      <c r="G876" s="3" t="str">
        <f t="shared" si="26"/>
        <v>200+ mi</v>
      </c>
      <c r="H876" s="27">
        <f>IF(RIGHT($B876,1)="P",1,IF(ISNUMBER(SEARCH("HALF GALLON",$C876)),Assumptions!$B$4,IF(ISNUMBER(SEARCH("GALLON",$C876)),Assumptions!$B$3,IF(ISNUMBER(SEARCH("QUART",$C876)),Assumptions!$B$5,IF(ISNUMBER(SEARCH("PINT",$C876)),Assumptions!$B$6,Assumptions!$B$7)))))</f>
        <v>1</v>
      </c>
      <c r="I876" s="27">
        <f t="shared" si="27"/>
        <v>1</v>
      </c>
    </row>
    <row r="877" spans="1:9" x14ac:dyDescent="0.2">
      <c r="A877" s="3" t="s">
        <v>83</v>
      </c>
      <c r="B877" s="3" t="s">
        <v>300</v>
      </c>
      <c r="C877" s="3" t="s">
        <v>301</v>
      </c>
      <c r="D877" s="3" t="s">
        <v>187</v>
      </c>
      <c r="E877" s="4">
        <v>1</v>
      </c>
      <c r="F877" s="5">
        <f>IFERROR(3958.8*ACOS(MIN(1,MAX(-1,SIN(RADIANS('ZIP Coordinates'!$C$2))*SIN(RADIANS(INDEX('ZIP Coordinates'!$C:$C,MATCH($A877,'ZIP Coordinates'!$A:$A,0))))+COS(RADIANS('ZIP Coordinates'!$C$2))*COS(RADIANS(INDEX('ZIP Coordinates'!$C:$C,MATCH($A877,'ZIP Coordinates'!$A:$A,0))))*COS(RADIANS(INDEX('ZIP Coordinates'!$D:$D,MATCH($A877,'ZIP Coordinates'!$A:$A,0))-'ZIP Coordinates'!$D$2))))),"N/A")</f>
        <v>526.42488594533438</v>
      </c>
      <c r="G877" s="3" t="str">
        <f t="shared" si="26"/>
        <v>200+ mi</v>
      </c>
      <c r="H877" s="27">
        <f>IF(RIGHT($B877,1)="P",1,IF(ISNUMBER(SEARCH("HALF GALLON",$C877)),Assumptions!$B$4,IF(ISNUMBER(SEARCH("GALLON",$C877)),Assumptions!$B$3,IF(ISNUMBER(SEARCH("QUART",$C877)),Assumptions!$B$5,IF(ISNUMBER(SEARCH("PINT",$C877)),Assumptions!$B$6,Assumptions!$B$7)))))</f>
        <v>1</v>
      </c>
      <c r="I877" s="27">
        <f t="shared" si="27"/>
        <v>1</v>
      </c>
    </row>
    <row r="878" spans="1:9" x14ac:dyDescent="0.2">
      <c r="A878" s="3" t="s">
        <v>83</v>
      </c>
      <c r="B878" s="3" t="s">
        <v>300</v>
      </c>
      <c r="C878" s="3" t="s">
        <v>301</v>
      </c>
      <c r="D878" s="3" t="s">
        <v>187</v>
      </c>
      <c r="E878" s="4">
        <v>1</v>
      </c>
      <c r="F878" s="5">
        <f>IFERROR(3958.8*ACOS(MIN(1,MAX(-1,SIN(RADIANS('ZIP Coordinates'!$C$2))*SIN(RADIANS(INDEX('ZIP Coordinates'!$C:$C,MATCH($A878,'ZIP Coordinates'!$A:$A,0))))+COS(RADIANS('ZIP Coordinates'!$C$2))*COS(RADIANS(INDEX('ZIP Coordinates'!$C:$C,MATCH($A878,'ZIP Coordinates'!$A:$A,0))))*COS(RADIANS(INDEX('ZIP Coordinates'!$D:$D,MATCH($A878,'ZIP Coordinates'!$A:$A,0))-'ZIP Coordinates'!$D$2))))),"N/A")</f>
        <v>526.42488594533438</v>
      </c>
      <c r="G878" s="3" t="str">
        <f t="shared" si="26"/>
        <v>200+ mi</v>
      </c>
      <c r="H878" s="27">
        <f>IF(RIGHT($B878,1)="P",1,IF(ISNUMBER(SEARCH("HALF GALLON",$C878)),Assumptions!$B$4,IF(ISNUMBER(SEARCH("GALLON",$C878)),Assumptions!$B$3,IF(ISNUMBER(SEARCH("QUART",$C878)),Assumptions!$B$5,IF(ISNUMBER(SEARCH("PINT",$C878)),Assumptions!$B$6,Assumptions!$B$7)))))</f>
        <v>1</v>
      </c>
      <c r="I878" s="27">
        <f t="shared" si="27"/>
        <v>1</v>
      </c>
    </row>
  </sheetData>
  <autoFilter ref="A1:G878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4" width="12" customWidth="1"/>
    <col min="5" max="5" width="62" customWidth="1"/>
  </cols>
  <sheetData>
    <row r="1" spans="1:5" x14ac:dyDescent="0.2">
      <c r="A1" s="2" t="s">
        <v>0</v>
      </c>
      <c r="B1" s="2" t="s">
        <v>303</v>
      </c>
      <c r="C1" s="2" t="s">
        <v>304</v>
      </c>
      <c r="D1" s="2" t="s">
        <v>305</v>
      </c>
      <c r="E1" s="2" t="s">
        <v>87</v>
      </c>
    </row>
    <row r="2" spans="1:5" x14ac:dyDescent="0.2">
      <c r="A2" s="12" t="s">
        <v>306</v>
      </c>
      <c r="B2" s="12" t="s">
        <v>307</v>
      </c>
      <c r="C2" s="13">
        <v>43.555599999999998</v>
      </c>
      <c r="D2" s="13">
        <v>-86.344800000000006</v>
      </c>
      <c r="E2" s="14" t="s">
        <v>308</v>
      </c>
    </row>
    <row r="3" spans="1:5" x14ac:dyDescent="0.2">
      <c r="A3" s="3" t="s">
        <v>5</v>
      </c>
      <c r="B3" s="3" t="s">
        <v>309</v>
      </c>
      <c r="C3" s="15">
        <v>41.533299999999997</v>
      </c>
      <c r="D3" s="15">
        <v>-84.3048</v>
      </c>
      <c r="E3" s="16"/>
    </row>
    <row r="4" spans="1:5" x14ac:dyDescent="0.2">
      <c r="A4" s="3" t="s">
        <v>6</v>
      </c>
      <c r="B4" s="3" t="s">
        <v>310</v>
      </c>
      <c r="C4" s="15">
        <v>41.474800000000002</v>
      </c>
      <c r="D4" s="15">
        <v>-84.562899999999999</v>
      </c>
      <c r="E4" s="16"/>
    </row>
    <row r="5" spans="1:5" x14ac:dyDescent="0.2">
      <c r="A5" s="3" t="s">
        <v>7</v>
      </c>
      <c r="B5" s="3" t="s">
        <v>311</v>
      </c>
      <c r="C5" s="15">
        <v>41.279899999999998</v>
      </c>
      <c r="D5" s="15">
        <v>-84.3626</v>
      </c>
      <c r="E5" s="16"/>
    </row>
    <row r="6" spans="1:5" x14ac:dyDescent="0.2">
      <c r="A6" s="3" t="s">
        <v>8</v>
      </c>
      <c r="B6" s="3" t="s">
        <v>312</v>
      </c>
      <c r="C6" s="15">
        <v>41.442500000000003</v>
      </c>
      <c r="D6" s="15">
        <v>-84.734899999999996</v>
      </c>
      <c r="E6" s="16"/>
    </row>
    <row r="7" spans="1:5" x14ac:dyDescent="0.2">
      <c r="A7" s="3" t="s">
        <v>9</v>
      </c>
      <c r="B7" s="3" t="s">
        <v>313</v>
      </c>
      <c r="C7" s="15">
        <v>41.584200000000003</v>
      </c>
      <c r="D7" s="15">
        <v>-84.757000000000005</v>
      </c>
      <c r="E7" s="16"/>
    </row>
    <row r="8" spans="1:5" x14ac:dyDescent="0.2">
      <c r="A8" s="3" t="s">
        <v>10</v>
      </c>
      <c r="B8" s="3" t="s">
        <v>314</v>
      </c>
      <c r="C8" s="15">
        <v>41.671700000000001</v>
      </c>
      <c r="D8" s="15">
        <v>-84.325000000000003</v>
      </c>
      <c r="E8" s="16"/>
    </row>
    <row r="9" spans="1:5" x14ac:dyDescent="0.2">
      <c r="A9" s="3" t="s">
        <v>11</v>
      </c>
      <c r="B9" s="3" t="s">
        <v>315</v>
      </c>
      <c r="C9" s="15">
        <v>41.229199999999999</v>
      </c>
      <c r="D9" s="15">
        <v>-84.034099999999995</v>
      </c>
      <c r="E9" s="16"/>
    </row>
    <row r="10" spans="1:5" x14ac:dyDescent="0.2">
      <c r="A10" s="3" t="s">
        <v>12</v>
      </c>
      <c r="B10" s="3" t="s">
        <v>316</v>
      </c>
      <c r="C10" s="15">
        <v>41.303400000000003</v>
      </c>
      <c r="D10" s="15">
        <v>-84.758899999999997</v>
      </c>
      <c r="E10" s="16"/>
    </row>
    <row r="11" spans="1:5" x14ac:dyDescent="0.2">
      <c r="A11" s="3" t="s">
        <v>13</v>
      </c>
      <c r="B11" s="3" t="s">
        <v>317</v>
      </c>
      <c r="C11" s="15">
        <v>41.622599999999998</v>
      </c>
      <c r="D11" s="15">
        <v>-83.725700000000003</v>
      </c>
      <c r="E11" s="16"/>
    </row>
    <row r="12" spans="1:5" x14ac:dyDescent="0.2">
      <c r="A12" s="3" t="s">
        <v>14</v>
      </c>
      <c r="B12" s="3" t="s">
        <v>318</v>
      </c>
      <c r="C12" s="15">
        <v>41.4514</v>
      </c>
      <c r="D12" s="15">
        <v>-83.985900000000001</v>
      </c>
      <c r="E12" s="16"/>
    </row>
    <row r="13" spans="1:5" x14ac:dyDescent="0.2">
      <c r="A13" s="3" t="s">
        <v>15</v>
      </c>
      <c r="B13" s="3" t="s">
        <v>319</v>
      </c>
      <c r="C13" s="15">
        <v>41.6905</v>
      </c>
      <c r="D13" s="15">
        <v>-84.062399999999997</v>
      </c>
      <c r="E13" s="16"/>
    </row>
    <row r="14" spans="1:5" x14ac:dyDescent="0.2">
      <c r="A14" s="3" t="s">
        <v>16</v>
      </c>
      <c r="B14" s="3" t="s">
        <v>320</v>
      </c>
      <c r="C14" s="15">
        <v>41.6952</v>
      </c>
      <c r="D14" s="15">
        <v>-83.926000000000002</v>
      </c>
      <c r="E14" s="16"/>
    </row>
    <row r="15" spans="1:5" x14ac:dyDescent="0.2">
      <c r="A15" s="3" t="s">
        <v>17</v>
      </c>
      <c r="B15" s="3" t="s">
        <v>321</v>
      </c>
      <c r="C15" s="15">
        <v>41.598199999999999</v>
      </c>
      <c r="D15" s="15">
        <v>-84.614699999999999</v>
      </c>
      <c r="E15" s="16"/>
    </row>
    <row r="16" spans="1:5" x14ac:dyDescent="0.2">
      <c r="A16" s="3" t="s">
        <v>18</v>
      </c>
      <c r="B16" s="3" t="s">
        <v>322</v>
      </c>
      <c r="C16" s="15">
        <v>41.390999999999998</v>
      </c>
      <c r="D16" s="15">
        <v>-84.143299999999996</v>
      </c>
      <c r="E16" s="16"/>
    </row>
    <row r="17" spans="1:5" x14ac:dyDescent="0.2">
      <c r="A17" s="3" t="s">
        <v>19</v>
      </c>
      <c r="B17" s="3" t="s">
        <v>323</v>
      </c>
      <c r="C17" s="15">
        <v>41.665599999999998</v>
      </c>
      <c r="D17" s="15">
        <v>-84.536299999999997</v>
      </c>
      <c r="E17" s="16"/>
    </row>
    <row r="18" spans="1:5" x14ac:dyDescent="0.2">
      <c r="A18" s="3" t="s">
        <v>20</v>
      </c>
      <c r="B18" s="3" t="s">
        <v>324</v>
      </c>
      <c r="C18" s="15">
        <v>41.294600000000003</v>
      </c>
      <c r="D18" s="15">
        <v>-84.541700000000006</v>
      </c>
      <c r="E18" s="16"/>
    </row>
    <row r="19" spans="1:5" x14ac:dyDescent="0.2">
      <c r="A19" s="3" t="s">
        <v>21</v>
      </c>
      <c r="B19" s="3" t="s">
        <v>325</v>
      </c>
      <c r="C19" s="15">
        <v>41.4861</v>
      </c>
      <c r="D19" s="15">
        <v>-84.408900000000003</v>
      </c>
      <c r="E19" s="16"/>
    </row>
    <row r="20" spans="1:5" x14ac:dyDescent="0.2">
      <c r="A20" s="3" t="s">
        <v>22</v>
      </c>
      <c r="B20" s="3" t="s">
        <v>326</v>
      </c>
      <c r="C20" s="15">
        <v>41.575600000000001</v>
      </c>
      <c r="D20" s="15">
        <v>-84.442099999999996</v>
      </c>
      <c r="E20" s="16"/>
    </row>
    <row r="21" spans="1:5" x14ac:dyDescent="0.2">
      <c r="A21" s="3" t="s">
        <v>23</v>
      </c>
      <c r="B21" s="3" t="s">
        <v>327</v>
      </c>
      <c r="C21" s="15">
        <v>41.114800000000002</v>
      </c>
      <c r="D21" s="15">
        <v>-84.235799999999998</v>
      </c>
      <c r="E21" s="16"/>
    </row>
    <row r="22" spans="1:5" x14ac:dyDescent="0.2">
      <c r="A22" s="3" t="s">
        <v>24</v>
      </c>
      <c r="B22" s="3" t="s">
        <v>328</v>
      </c>
      <c r="C22" s="15">
        <v>41.710099999999997</v>
      </c>
      <c r="D22" s="15">
        <v>-85.972899999999996</v>
      </c>
      <c r="E22" s="16"/>
    </row>
    <row r="23" spans="1:5" x14ac:dyDescent="0.2">
      <c r="A23" s="3" t="s">
        <v>25</v>
      </c>
      <c r="B23" s="3" t="s">
        <v>328</v>
      </c>
      <c r="C23" s="15">
        <v>41.646900000000002</v>
      </c>
      <c r="D23" s="15">
        <v>-85.972800000000007</v>
      </c>
      <c r="E23" s="16"/>
    </row>
    <row r="24" spans="1:5" x14ac:dyDescent="0.2">
      <c r="A24" s="3" t="s">
        <v>26</v>
      </c>
      <c r="B24" s="3" t="s">
        <v>329</v>
      </c>
      <c r="C24" s="15">
        <v>41.742699999999999</v>
      </c>
      <c r="D24" s="15">
        <v>-86.141099999999994</v>
      </c>
      <c r="E24" s="16"/>
    </row>
    <row r="25" spans="1:5" x14ac:dyDescent="0.2">
      <c r="A25" s="3" t="s">
        <v>27</v>
      </c>
      <c r="B25" s="3" t="s">
        <v>330</v>
      </c>
      <c r="C25" s="15">
        <v>41.675400000000003</v>
      </c>
      <c r="D25" s="15">
        <v>-85.711399999999998</v>
      </c>
      <c r="E25" s="16"/>
    </row>
    <row r="26" spans="1:5" x14ac:dyDescent="0.2">
      <c r="A26" s="3" t="s">
        <v>28</v>
      </c>
      <c r="B26" s="3" t="s">
        <v>331</v>
      </c>
      <c r="C26" s="15">
        <v>41.449300000000001</v>
      </c>
      <c r="D26" s="15">
        <v>-85.994500000000002</v>
      </c>
      <c r="E26" s="16"/>
    </row>
    <row r="27" spans="1:5" x14ac:dyDescent="0.2">
      <c r="A27" s="3" t="s">
        <v>29</v>
      </c>
      <c r="B27" s="3" t="s">
        <v>332</v>
      </c>
      <c r="C27" s="15">
        <v>41.563400000000001</v>
      </c>
      <c r="D27" s="15">
        <v>-85.531700000000001</v>
      </c>
      <c r="E27" s="16"/>
    </row>
    <row r="28" spans="1:5" x14ac:dyDescent="0.2">
      <c r="A28" s="3" t="s">
        <v>30</v>
      </c>
      <c r="B28" s="3" t="s">
        <v>333</v>
      </c>
      <c r="C28" s="15">
        <v>41.284199999999998</v>
      </c>
      <c r="D28" s="15">
        <v>-85.854699999999994</v>
      </c>
      <c r="E28" s="16"/>
    </row>
    <row r="29" spans="1:5" x14ac:dyDescent="0.2">
      <c r="A29" s="3" t="s">
        <v>31</v>
      </c>
      <c r="B29" s="3" t="s">
        <v>334</v>
      </c>
      <c r="C29" s="15">
        <v>41.656300000000002</v>
      </c>
      <c r="D29" s="15">
        <v>-85.019800000000004</v>
      </c>
      <c r="E29" s="16"/>
    </row>
    <row r="30" spans="1:5" x14ac:dyDescent="0.2">
      <c r="A30" s="3" t="s">
        <v>32</v>
      </c>
      <c r="B30" s="3" t="s">
        <v>335</v>
      </c>
      <c r="C30" s="15">
        <v>41.359000000000002</v>
      </c>
      <c r="D30" s="15">
        <v>-85.046800000000005</v>
      </c>
      <c r="E30" s="16"/>
    </row>
    <row r="31" spans="1:5" x14ac:dyDescent="0.2">
      <c r="A31" s="3" t="s">
        <v>33</v>
      </c>
      <c r="B31" s="3" t="s">
        <v>336</v>
      </c>
      <c r="C31" s="15">
        <v>41.428699999999999</v>
      </c>
      <c r="D31" s="15">
        <v>-84.878699999999995</v>
      </c>
      <c r="E31" s="16"/>
    </row>
    <row r="32" spans="1:5" x14ac:dyDescent="0.2">
      <c r="A32" s="3" t="s">
        <v>34</v>
      </c>
      <c r="B32" s="3" t="s">
        <v>337</v>
      </c>
      <c r="C32" s="15">
        <v>41.228999999999999</v>
      </c>
      <c r="D32" s="15">
        <v>-85.324399999999997</v>
      </c>
      <c r="E32" s="16"/>
    </row>
    <row r="33" spans="1:5" x14ac:dyDescent="0.2">
      <c r="A33" s="3" t="s">
        <v>35</v>
      </c>
      <c r="B33" s="3" t="s">
        <v>338</v>
      </c>
      <c r="C33" s="15">
        <v>41.7331</v>
      </c>
      <c r="D33" s="15">
        <v>-84.9452</v>
      </c>
      <c r="E33" s="16"/>
    </row>
    <row r="34" spans="1:5" x14ac:dyDescent="0.2">
      <c r="A34" s="3" t="s">
        <v>36</v>
      </c>
      <c r="B34" s="3" t="s">
        <v>339</v>
      </c>
      <c r="C34" s="15">
        <v>41.210799999999999</v>
      </c>
      <c r="D34" s="15">
        <v>-84.940600000000003</v>
      </c>
      <c r="E34" s="16"/>
    </row>
    <row r="35" spans="1:5" x14ac:dyDescent="0.2">
      <c r="A35" s="3" t="s">
        <v>37</v>
      </c>
      <c r="B35" s="3" t="s">
        <v>340</v>
      </c>
      <c r="C35" s="15">
        <v>41.228499999999997</v>
      </c>
      <c r="D35" s="15">
        <v>-84.8386</v>
      </c>
      <c r="E35" s="16"/>
    </row>
    <row r="36" spans="1:5" x14ac:dyDescent="0.2">
      <c r="A36" s="3" t="s">
        <v>38</v>
      </c>
      <c r="B36" s="3" t="s">
        <v>341</v>
      </c>
      <c r="C36" s="15">
        <v>41.7286</v>
      </c>
      <c r="D36" s="15">
        <v>-85.472700000000003</v>
      </c>
      <c r="E36" s="16"/>
    </row>
    <row r="37" spans="1:5" x14ac:dyDescent="0.2">
      <c r="A37" s="3" t="s">
        <v>39</v>
      </c>
      <c r="B37" s="3" t="s">
        <v>342</v>
      </c>
      <c r="C37" s="15">
        <v>41.239100000000001</v>
      </c>
      <c r="D37" s="15">
        <v>-85.167699999999996</v>
      </c>
      <c r="E37" s="16"/>
    </row>
    <row r="38" spans="1:5" x14ac:dyDescent="0.2">
      <c r="A38" s="3" t="s">
        <v>40</v>
      </c>
      <c r="B38" s="3" t="s">
        <v>343</v>
      </c>
      <c r="C38" s="15">
        <v>41.069899999999997</v>
      </c>
      <c r="D38" s="15">
        <v>-85.011700000000005</v>
      </c>
      <c r="E38" s="16"/>
    </row>
    <row r="39" spans="1:5" x14ac:dyDescent="0.2">
      <c r="A39" s="3" t="s">
        <v>41</v>
      </c>
      <c r="B39" s="3" t="s">
        <v>344</v>
      </c>
      <c r="C39" s="15">
        <v>41.730899999999998</v>
      </c>
      <c r="D39" s="15">
        <v>-85.146500000000003</v>
      </c>
      <c r="E39" s="16"/>
    </row>
    <row r="40" spans="1:5" x14ac:dyDescent="0.2">
      <c r="A40" s="3" t="s">
        <v>42</v>
      </c>
      <c r="B40" s="3" t="s">
        <v>345</v>
      </c>
      <c r="C40" s="15">
        <v>41.072600000000001</v>
      </c>
      <c r="D40" s="15">
        <v>-85.6143</v>
      </c>
      <c r="E40" s="16"/>
    </row>
    <row r="41" spans="1:5" x14ac:dyDescent="0.2">
      <c r="A41" s="3" t="s">
        <v>43</v>
      </c>
      <c r="B41" s="3" t="s">
        <v>346</v>
      </c>
      <c r="C41" s="15">
        <v>41.557000000000002</v>
      </c>
      <c r="D41" s="15">
        <v>-85.314999999999998</v>
      </c>
      <c r="E41" s="16"/>
    </row>
    <row r="42" spans="1:5" x14ac:dyDescent="0.2">
      <c r="A42" s="3" t="s">
        <v>44</v>
      </c>
      <c r="B42" s="3" t="s">
        <v>347</v>
      </c>
      <c r="C42" s="15">
        <v>41.070700000000002</v>
      </c>
      <c r="D42" s="15">
        <v>-85.154300000000006</v>
      </c>
      <c r="E42" s="16"/>
    </row>
    <row r="43" spans="1:5" x14ac:dyDescent="0.2">
      <c r="A43" s="3" t="s">
        <v>45</v>
      </c>
      <c r="B43" s="3" t="s">
        <v>347</v>
      </c>
      <c r="C43" s="15">
        <v>41.069499999999998</v>
      </c>
      <c r="D43" s="15">
        <v>-85.107399999999998</v>
      </c>
      <c r="E43" s="16"/>
    </row>
    <row r="44" spans="1:5" x14ac:dyDescent="0.2">
      <c r="A44" s="3" t="s">
        <v>46</v>
      </c>
      <c r="B44" s="3" t="s">
        <v>347</v>
      </c>
      <c r="C44" s="15">
        <v>41.050800000000002</v>
      </c>
      <c r="D44" s="15">
        <v>-85.256</v>
      </c>
      <c r="E44" s="16"/>
    </row>
    <row r="45" spans="1:5" x14ac:dyDescent="0.2">
      <c r="A45" s="3" t="s">
        <v>47</v>
      </c>
      <c r="B45" s="3" t="s">
        <v>347</v>
      </c>
      <c r="C45" s="15">
        <v>41.097700000000003</v>
      </c>
      <c r="D45" s="15">
        <v>-85.118899999999996</v>
      </c>
      <c r="E45" s="16"/>
    </row>
    <row r="46" spans="1:5" x14ac:dyDescent="0.2">
      <c r="A46" s="3" t="s">
        <v>48</v>
      </c>
      <c r="B46" s="3" t="s">
        <v>347</v>
      </c>
      <c r="C46" s="15">
        <v>41.093899999999998</v>
      </c>
      <c r="D46" s="15">
        <v>-85.162099999999995</v>
      </c>
      <c r="E46" s="16"/>
    </row>
    <row r="47" spans="1:5" x14ac:dyDescent="0.2">
      <c r="A47" s="3" t="s">
        <v>49</v>
      </c>
      <c r="B47" s="3" t="s">
        <v>347</v>
      </c>
      <c r="C47" s="15">
        <v>41.025399999999998</v>
      </c>
      <c r="D47" s="15">
        <v>-85.183400000000006</v>
      </c>
      <c r="E47" s="16"/>
    </row>
    <row r="48" spans="1:5" x14ac:dyDescent="0.2">
      <c r="A48" s="3" t="s">
        <v>50</v>
      </c>
      <c r="B48" s="3" t="s">
        <v>347</v>
      </c>
      <c r="C48" s="15">
        <v>41.146500000000003</v>
      </c>
      <c r="D48" s="15">
        <v>-85.123199999999997</v>
      </c>
      <c r="E48" s="16"/>
    </row>
    <row r="49" spans="1:5" x14ac:dyDescent="0.2">
      <c r="A49" s="3" t="s">
        <v>51</v>
      </c>
      <c r="B49" s="3" t="s">
        <v>348</v>
      </c>
      <c r="C49" s="15">
        <v>41.0655</v>
      </c>
      <c r="D49" s="15">
        <v>-86.230999999999995</v>
      </c>
      <c r="E49" s="16"/>
    </row>
    <row r="50" spans="1:5" x14ac:dyDescent="0.2">
      <c r="A50" s="3" t="s">
        <v>52</v>
      </c>
      <c r="B50" s="3" t="s">
        <v>349</v>
      </c>
      <c r="C50" s="15">
        <v>43.0869</v>
      </c>
      <c r="D50" s="15">
        <v>-82.500200000000007</v>
      </c>
      <c r="E50" s="16"/>
    </row>
    <row r="51" spans="1:5" x14ac:dyDescent="0.2">
      <c r="A51" s="3" t="s">
        <v>53</v>
      </c>
      <c r="B51" s="3" t="s">
        <v>350</v>
      </c>
      <c r="C51" s="15">
        <v>42.232799999999997</v>
      </c>
      <c r="D51" s="15">
        <v>-83.701499999999996</v>
      </c>
      <c r="E51" s="16"/>
    </row>
    <row r="52" spans="1:5" x14ac:dyDescent="0.2">
      <c r="A52" s="3" t="s">
        <v>54</v>
      </c>
      <c r="B52" s="3" t="s">
        <v>351</v>
      </c>
      <c r="C52" s="15">
        <v>42.3583</v>
      </c>
      <c r="D52" s="15">
        <v>-83.9</v>
      </c>
      <c r="E52" s="16"/>
    </row>
    <row r="53" spans="1:5" x14ac:dyDescent="0.2">
      <c r="A53" s="3" t="s">
        <v>55</v>
      </c>
      <c r="B53" s="3" t="s">
        <v>352</v>
      </c>
      <c r="C53" s="15">
        <v>42.155500000000004</v>
      </c>
      <c r="D53" s="15">
        <v>-84.033199999999994</v>
      </c>
      <c r="E53" s="16"/>
    </row>
    <row r="54" spans="1:5" x14ac:dyDescent="0.2">
      <c r="A54" s="3" t="s">
        <v>56</v>
      </c>
      <c r="B54" s="3" t="s">
        <v>353</v>
      </c>
      <c r="C54" s="15">
        <v>42.222299999999997</v>
      </c>
      <c r="D54" s="15">
        <v>-83.396600000000007</v>
      </c>
      <c r="E54" s="16"/>
    </row>
    <row r="55" spans="1:5" x14ac:dyDescent="0.2">
      <c r="A55" s="3" t="s">
        <v>57</v>
      </c>
      <c r="B55" s="3" t="s">
        <v>354</v>
      </c>
      <c r="C55" s="15">
        <v>42.289000000000001</v>
      </c>
      <c r="D55" s="15">
        <v>-83.368600000000001</v>
      </c>
      <c r="E55" s="16"/>
    </row>
    <row r="56" spans="1:5" x14ac:dyDescent="0.2">
      <c r="A56" s="3" t="s">
        <v>58</v>
      </c>
      <c r="B56" s="3" t="s">
        <v>355</v>
      </c>
      <c r="C56" s="15">
        <v>42.426400000000001</v>
      </c>
      <c r="D56" s="15">
        <v>-83.301699999999997</v>
      </c>
      <c r="E56" s="16"/>
    </row>
    <row r="57" spans="1:5" x14ac:dyDescent="0.2">
      <c r="A57" s="3" t="s">
        <v>59</v>
      </c>
      <c r="B57" s="3" t="s">
        <v>356</v>
      </c>
      <c r="C57" s="15">
        <v>42.575800000000001</v>
      </c>
      <c r="D57" s="15">
        <v>-83.592399999999998</v>
      </c>
      <c r="E57" s="16"/>
    </row>
    <row r="58" spans="1:5" x14ac:dyDescent="0.2">
      <c r="A58" s="3" t="s">
        <v>60</v>
      </c>
      <c r="B58" s="3" t="s">
        <v>357</v>
      </c>
      <c r="C58" s="15">
        <v>43.243499999999997</v>
      </c>
      <c r="D58" s="15">
        <v>-82.530100000000004</v>
      </c>
      <c r="E58" s="16"/>
    </row>
    <row r="59" spans="1:5" x14ac:dyDescent="0.2">
      <c r="A59" s="3" t="s">
        <v>61</v>
      </c>
      <c r="B59" s="3" t="s">
        <v>358</v>
      </c>
      <c r="C59" s="15">
        <v>41.9255</v>
      </c>
      <c r="D59" s="15">
        <v>-85.005700000000004</v>
      </c>
      <c r="E59" s="16"/>
    </row>
    <row r="60" spans="1:5" x14ac:dyDescent="0.2">
      <c r="A60" s="3" t="s">
        <v>62</v>
      </c>
      <c r="B60" s="3" t="s">
        <v>359</v>
      </c>
      <c r="C60" s="15">
        <v>42.345300000000002</v>
      </c>
      <c r="D60" s="15">
        <v>-85.217799999999997</v>
      </c>
      <c r="E60" s="16"/>
    </row>
    <row r="61" spans="1:5" x14ac:dyDescent="0.2">
      <c r="A61" s="3" t="s">
        <v>63</v>
      </c>
      <c r="B61" s="3" t="s">
        <v>360</v>
      </c>
      <c r="C61" s="15">
        <v>42.154499999999999</v>
      </c>
      <c r="D61" s="15">
        <v>-85.828999999999994</v>
      </c>
      <c r="E61" s="16"/>
    </row>
    <row r="62" spans="1:5" x14ac:dyDescent="0.2">
      <c r="A62" s="3" t="s">
        <v>64</v>
      </c>
      <c r="B62" s="3" t="s">
        <v>361</v>
      </c>
      <c r="C62" s="15">
        <v>42.271999999999998</v>
      </c>
      <c r="D62" s="15">
        <v>-84.958299999999994</v>
      </c>
      <c r="E62" s="16"/>
    </row>
    <row r="63" spans="1:5" x14ac:dyDescent="0.2">
      <c r="A63" s="3" t="s">
        <v>65</v>
      </c>
      <c r="B63" s="3" t="s">
        <v>362</v>
      </c>
      <c r="C63" s="15">
        <v>41.944200000000002</v>
      </c>
      <c r="D63" s="15">
        <v>-84.883899999999997</v>
      </c>
      <c r="E63" s="16"/>
    </row>
    <row r="64" spans="1:5" x14ac:dyDescent="0.2">
      <c r="A64" s="3" t="s">
        <v>66</v>
      </c>
      <c r="B64" s="3" t="s">
        <v>363</v>
      </c>
      <c r="C64" s="15">
        <v>42.4041</v>
      </c>
      <c r="D64" s="15">
        <v>-86.254199999999997</v>
      </c>
      <c r="E64" s="16"/>
    </row>
    <row r="65" spans="1:5" x14ac:dyDescent="0.2">
      <c r="A65" s="3" t="s">
        <v>67</v>
      </c>
      <c r="B65" s="3" t="s">
        <v>364</v>
      </c>
      <c r="C65" s="15">
        <v>41.948</v>
      </c>
      <c r="D65" s="15">
        <v>-86.353999999999999</v>
      </c>
      <c r="E65" s="16"/>
    </row>
    <row r="66" spans="1:5" x14ac:dyDescent="0.2">
      <c r="A66" s="3" t="s">
        <v>68</v>
      </c>
      <c r="B66" s="3" t="s">
        <v>365</v>
      </c>
      <c r="C66" s="15">
        <v>42.263399999999997</v>
      </c>
      <c r="D66" s="15">
        <v>-84.408299999999997</v>
      </c>
      <c r="E66" s="16"/>
    </row>
    <row r="67" spans="1:5" x14ac:dyDescent="0.2">
      <c r="A67" s="3" t="s">
        <v>69</v>
      </c>
      <c r="B67" s="3" t="s">
        <v>366</v>
      </c>
      <c r="C67" s="15">
        <v>41.900500000000001</v>
      </c>
      <c r="D67" s="15">
        <v>-84.044600000000003</v>
      </c>
      <c r="E67" s="16"/>
    </row>
    <row r="68" spans="1:5" x14ac:dyDescent="0.2">
      <c r="A68" s="3" t="s">
        <v>70</v>
      </c>
      <c r="B68" s="3" t="s">
        <v>367</v>
      </c>
      <c r="C68" s="15">
        <v>42.104399999999998</v>
      </c>
      <c r="D68" s="15">
        <v>-84.241399999999999</v>
      </c>
      <c r="E68" s="16"/>
    </row>
    <row r="69" spans="1:5" x14ac:dyDescent="0.2">
      <c r="A69" s="3" t="s">
        <v>71</v>
      </c>
      <c r="B69" s="3" t="s">
        <v>368</v>
      </c>
      <c r="C69" s="15">
        <v>41.7361</v>
      </c>
      <c r="D69" s="15">
        <v>-84.724500000000006</v>
      </c>
      <c r="E69" s="16"/>
    </row>
    <row r="70" spans="1:5" x14ac:dyDescent="0.2">
      <c r="A70" s="3" t="s">
        <v>72</v>
      </c>
      <c r="B70" s="3" t="s">
        <v>369</v>
      </c>
      <c r="C70" s="15">
        <v>42.060400000000001</v>
      </c>
      <c r="D70" s="15">
        <v>-84.325400000000002</v>
      </c>
      <c r="E70" s="16"/>
    </row>
    <row r="71" spans="1:5" x14ac:dyDescent="0.2">
      <c r="A71" s="3" t="s">
        <v>73</v>
      </c>
      <c r="B71" s="3" t="s">
        <v>370</v>
      </c>
      <c r="C71" s="15">
        <v>41.923999999999999</v>
      </c>
      <c r="D71" s="15">
        <v>-84.620800000000003</v>
      </c>
      <c r="E71" s="16"/>
    </row>
    <row r="72" spans="1:5" x14ac:dyDescent="0.2">
      <c r="A72" s="3" t="s">
        <v>74</v>
      </c>
      <c r="B72" s="3" t="s">
        <v>371</v>
      </c>
      <c r="C72" s="15">
        <v>41.8581</v>
      </c>
      <c r="D72" s="15">
        <v>-84.337999999999994</v>
      </c>
      <c r="E72" s="16"/>
    </row>
    <row r="73" spans="1:5" x14ac:dyDescent="0.2">
      <c r="A73" s="3" t="s">
        <v>75</v>
      </c>
      <c r="B73" s="3" t="s">
        <v>372</v>
      </c>
      <c r="C73" s="15">
        <v>41.979799999999997</v>
      </c>
      <c r="D73" s="15">
        <v>-84.645099999999999</v>
      </c>
      <c r="E73" s="16"/>
    </row>
    <row r="74" spans="1:5" x14ac:dyDescent="0.2">
      <c r="A74" s="3" t="s">
        <v>76</v>
      </c>
      <c r="B74" s="3" t="s">
        <v>373</v>
      </c>
      <c r="C74" s="15">
        <v>41.7928</v>
      </c>
      <c r="D74" s="15">
        <v>-84.849599999999995</v>
      </c>
      <c r="E74" s="16"/>
    </row>
    <row r="75" spans="1:5" x14ac:dyDescent="0.2">
      <c r="A75" s="3" t="s">
        <v>77</v>
      </c>
      <c r="B75" s="3" t="s">
        <v>374</v>
      </c>
      <c r="C75" s="15">
        <v>41.738599999999998</v>
      </c>
      <c r="D75" s="15">
        <v>-84.219200000000001</v>
      </c>
      <c r="E75" s="16"/>
    </row>
    <row r="76" spans="1:5" x14ac:dyDescent="0.2">
      <c r="A76" s="3" t="s">
        <v>78</v>
      </c>
      <c r="B76" s="3" t="s">
        <v>375</v>
      </c>
      <c r="C76" s="15">
        <v>41.844200000000001</v>
      </c>
      <c r="D76" s="15">
        <v>-84.764799999999994</v>
      </c>
      <c r="E76" s="16"/>
    </row>
    <row r="77" spans="1:5" x14ac:dyDescent="0.2">
      <c r="A77" s="3" t="s">
        <v>79</v>
      </c>
      <c r="B77" s="3" t="s">
        <v>376</v>
      </c>
      <c r="C77" s="15">
        <v>41.738599999999998</v>
      </c>
      <c r="D77" s="15">
        <v>-84.449600000000004</v>
      </c>
      <c r="E77" s="16"/>
    </row>
    <row r="78" spans="1:5" x14ac:dyDescent="0.2">
      <c r="A78" s="3" t="s">
        <v>80</v>
      </c>
      <c r="B78" s="3" t="s">
        <v>377</v>
      </c>
      <c r="C78" s="15">
        <v>42.893900000000002</v>
      </c>
      <c r="D78" s="15">
        <v>-85.761899999999997</v>
      </c>
      <c r="E78" s="16"/>
    </row>
    <row r="79" spans="1:5" x14ac:dyDescent="0.2">
      <c r="A79" s="3" t="s">
        <v>81</v>
      </c>
      <c r="B79" s="3" t="s">
        <v>378</v>
      </c>
      <c r="C79" s="15">
        <v>42.910400000000003</v>
      </c>
      <c r="D79" s="15">
        <v>-85.827600000000004</v>
      </c>
      <c r="E79" s="16"/>
    </row>
    <row r="80" spans="1:5" x14ac:dyDescent="0.2">
      <c r="A80" s="3" t="s">
        <v>82</v>
      </c>
      <c r="B80" s="17" t="s">
        <v>379</v>
      </c>
      <c r="C80" s="18" t="s">
        <v>380</v>
      </c>
      <c r="D80" s="18" t="s">
        <v>380</v>
      </c>
      <c r="E80" s="19" t="s">
        <v>381</v>
      </c>
    </row>
    <row r="81" spans="1:5" x14ac:dyDescent="0.2">
      <c r="A81" s="3" t="s">
        <v>83</v>
      </c>
      <c r="B81" s="3" t="s">
        <v>382</v>
      </c>
      <c r="C81" s="15">
        <v>41.154899999999998</v>
      </c>
      <c r="D81" s="15">
        <v>-96.137600000000006</v>
      </c>
      <c r="E81" s="16"/>
    </row>
    <row r="83" spans="1:5" x14ac:dyDescent="0.2">
      <c r="A83" s="1" t="s">
        <v>383</v>
      </c>
      <c r="B83" s="1"/>
      <c r="C83" s="1"/>
      <c r="D83" s="1"/>
      <c r="E83" s="1"/>
    </row>
  </sheetData>
  <autoFilter ref="A1:E81" xr:uid="{00000000-0009-0000-0000-000005000000}"/>
  <mergeCells count="1">
    <mergeCell ref="A83:E8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Product Summary</vt:lpstr>
      <vt:lpstr>ZIP Summary</vt:lpstr>
      <vt:lpstr>Customer Summary</vt:lpstr>
      <vt:lpstr>Distance Band Summary</vt:lpstr>
      <vt:lpstr>Consolidated by ZIP</vt:lpstr>
      <vt:lpstr>Raw Data</vt:lpstr>
      <vt:lpstr>ZIP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Liv Arkema</cp:lastModifiedBy>
  <cp:revision>0</cp:revision>
  <dcterms:created xsi:type="dcterms:W3CDTF">2026-08-19T19:52:37Z</dcterms:created>
  <dcterms:modified xsi:type="dcterms:W3CDTF">2026-08-24T19:17:14Z</dcterms:modified>
  <dc:language>en-US</dc:language>
</cp:coreProperties>
</file>