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Calibri"/>
    </font>
    <font>
      <name val="Calibri"/>
      <b val="1"/>
    </font>
    <font>
      <name val="Calibri"/>
      <i val="1"/>
      <sz val="9"/>
    </font>
  </fonts>
  <fills count="2">
    <fill>
      <patternFill/>
    </fill>
    <fill>
      <patternFill patternType="gray125"/>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3" fontId="2" fillId="0" borderId="0" pivotButton="0" quotePrefix="0" xfId="0"/>
    <xf numFmtId="0" fontId="3" fillId="0" borderId="0" pivotButton="0" quotePrefix="0" xfId="0"/>
    <xf numFmtId="3" fontId="3"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16" customWidth="1" min="1" max="1"/>
    <col width="25" customWidth="1" min="2" max="2"/>
    <col width="23" customWidth="1" min="3" max="3"/>
    <col width="24" customWidth="1" min="4" max="4"/>
    <col width="26" customWidth="1" min="5" max="5"/>
    <col width="14" customWidth="1" min="6" max="6"/>
    <col width="27" customWidth="1" min="7" max="7"/>
    <col width="14" customWidth="1" min="8" max="8"/>
    <col width="14" customWidth="1" min="9" max="9"/>
  </cols>
  <sheetData>
    <row r="1">
      <c r="A1" s="1" t="inlineStr">
        <is>
          <t>Distance Range</t>
        </is>
      </c>
      <c r="B1" s="1" t="inlineStr">
        <is>
          <t>Convenience Store / Gas</t>
        </is>
      </c>
      <c r="C1" s="1" t="inlineStr">
        <is>
          <t>Supermarket / Grocery</t>
        </is>
      </c>
      <c r="D1" s="1" t="inlineStr">
        <is>
          <t>School / Institutional</t>
        </is>
      </c>
      <c r="E1" s="1" t="inlineStr">
        <is>
          <t>Ice Cream / Dessert Shop</t>
        </is>
      </c>
      <c r="F1" s="1" t="inlineStr">
        <is>
          <t>Coffee Shop</t>
        </is>
      </c>
      <c r="G1" s="1" t="inlineStr">
        <is>
          <t>Restaurant / Food Service</t>
        </is>
      </c>
      <c r="H1" s="1" t="inlineStr">
        <is>
          <t>Other</t>
        </is>
      </c>
      <c r="I1" s="1" t="inlineStr">
        <is>
          <t>Total Cases</t>
        </is>
      </c>
    </row>
    <row r="2">
      <c r="A2" s="2" t="inlineStr">
        <is>
          <t>0-24 mi</t>
        </is>
      </c>
      <c r="B2" s="3" t="n">
        <v>29468</v>
      </c>
      <c r="C2" s="3" t="n">
        <v>5922</v>
      </c>
      <c r="D2" s="3" t="n">
        <v>5716</v>
      </c>
      <c r="E2" s="3" t="n">
        <v>1882</v>
      </c>
      <c r="F2" s="3" t="n">
        <v>686</v>
      </c>
      <c r="G2" s="3" t="n">
        <v>0</v>
      </c>
      <c r="H2" s="3" t="n">
        <v>12105</v>
      </c>
      <c r="I2" s="3" t="n">
        <v>55779</v>
      </c>
    </row>
    <row r="3">
      <c r="A3" s="2" t="inlineStr">
        <is>
          <t>25-49 mi</t>
        </is>
      </c>
      <c r="B3" s="3" t="n">
        <v>45600</v>
      </c>
      <c r="C3" s="3" t="n">
        <v>14669</v>
      </c>
      <c r="D3" s="3" t="n">
        <v>6234</v>
      </c>
      <c r="E3" s="3" t="n">
        <v>4083</v>
      </c>
      <c r="F3" s="3" t="n">
        <v>1438</v>
      </c>
      <c r="G3" s="3" t="n">
        <v>128</v>
      </c>
      <c r="H3" s="3" t="n">
        <v>6629</v>
      </c>
      <c r="I3" s="3" t="n">
        <v>78781</v>
      </c>
    </row>
    <row r="4">
      <c r="A4" s="2" t="inlineStr">
        <is>
          <t>50-99 mi</t>
        </is>
      </c>
      <c r="B4" s="3" t="n">
        <v>91741</v>
      </c>
      <c r="C4" s="3" t="n">
        <v>28032</v>
      </c>
      <c r="D4" s="3" t="n">
        <v>17100</v>
      </c>
      <c r="E4" s="3" t="n">
        <v>18208</v>
      </c>
      <c r="F4" s="3" t="n">
        <v>4116</v>
      </c>
      <c r="G4" s="3" t="n">
        <v>958</v>
      </c>
      <c r="H4" s="3" t="n">
        <v>141190</v>
      </c>
      <c r="I4" s="3" t="n">
        <v>301345</v>
      </c>
    </row>
    <row r="5">
      <c r="A5" s="2" t="inlineStr">
        <is>
          <t>100-199 mi</t>
        </is>
      </c>
      <c r="B5" s="3" t="n">
        <v>59412</v>
      </c>
      <c r="C5" s="3" t="n">
        <v>13583</v>
      </c>
      <c r="D5" s="3" t="n">
        <v>18783</v>
      </c>
      <c r="E5" s="3" t="n">
        <v>24398</v>
      </c>
      <c r="F5" s="3" t="n">
        <v>9642</v>
      </c>
      <c r="G5" s="3" t="n">
        <v>2922</v>
      </c>
      <c r="H5" s="3" t="n">
        <v>19813</v>
      </c>
      <c r="I5" s="3" t="n">
        <v>148553</v>
      </c>
    </row>
    <row r="6">
      <c r="A6" s="2" t="inlineStr">
        <is>
          <t>200-499 mi</t>
        </is>
      </c>
      <c r="B6" s="3" t="n">
        <v>0</v>
      </c>
      <c r="C6" s="3" t="n">
        <v>0</v>
      </c>
      <c r="D6" s="3" t="n">
        <v>0</v>
      </c>
      <c r="E6" s="3" t="n">
        <v>4261</v>
      </c>
      <c r="F6" s="3" t="n">
        <v>0</v>
      </c>
      <c r="G6" s="3" t="n">
        <v>0</v>
      </c>
      <c r="H6" s="3" t="n">
        <v>90326</v>
      </c>
      <c r="I6" s="3" t="n">
        <v>94587</v>
      </c>
    </row>
    <row r="7">
      <c r="A7" s="4" t="inlineStr">
        <is>
          <t>Total</t>
        </is>
      </c>
      <c r="B7" s="5">
        <f>SUM(B2:B6)</f>
        <v/>
      </c>
      <c r="C7" s="5">
        <f>SUM(C2:C6)</f>
        <v/>
      </c>
      <c r="D7" s="5">
        <f>SUM(D2:D6)</f>
        <v/>
      </c>
      <c r="E7" s="5">
        <f>SUM(E2:E6)</f>
        <v/>
      </c>
      <c r="F7" s="5">
        <f>SUM(F2:F6)</f>
        <v/>
      </c>
      <c r="G7" s="5">
        <f>SUM(G2:G6)</f>
        <v/>
      </c>
      <c r="H7" s="5">
        <f>SUM(H2:H6)</f>
        <v/>
      </c>
      <c r="I7" s="5">
        <f>SUM(I2:I6)</f>
        <v/>
      </c>
    </row>
    <row r="9" ht="75" customHeight="1">
      <c r="A9" s="6" t="inlineStr">
        <is>
          <t>Source: Cedar Crest Weekly Sales Database - April2025-March2026.xlsx, 'Summary - All Weeks' tab, customers with Weeks Ordered &gt;= 3, TotalCases = SUM of 'Total Cases' across all weeks in the file (Apr 2025-Mar 2026). Revenue is not tracked in this data table, so case volume is shown instead. Customer type is inferred from customer name (keyword match) since the source data has no explicit type/channel field — treat as directional, not exact. 'Other' rolls up Farm/Agriculture, Church/Community Org, Campground/Recreation, Distributor/Wholesale, and unclassified names; it includes 2 large distributor accounts (United Natural Foods) that account for the bulk of its case volume. 21 eligible customers with no mapped ZIP/distance are excluded from this table.</t>
        </is>
      </c>
    </row>
  </sheetData>
  <mergeCells count="1">
    <mergeCell ref="A9:I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2026-08-07T20:36:42Z</dcterms:created>
  <dcterms:modified xmlns:dcterms="http://purl.org/dc/terms/" xmlns:xsi="http://www.w3.org/2001/XMLSchema-instance" xsi:type="dcterms:W3CDTF">2026-08-07T20:36:42Z</dcterms:modified>
</cp:coreProperties>
</file>