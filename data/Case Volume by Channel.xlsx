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</font>
    <font>
      <name val="Calibri"/>
      <b val="1"/>
    </font>
    <font>
      <name val="Calibri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Channel</t>
        </is>
      </c>
      <c r="B1" s="1" t="inlineStr">
        <is>
          <t>Total Cases</t>
        </is>
      </c>
    </row>
    <row r="2">
      <c r="A2" s="2" t="inlineStr">
        <is>
          <t>Other</t>
        </is>
      </c>
      <c r="B2" s="3" t="n">
        <v>270063</v>
      </c>
    </row>
    <row r="3">
      <c r="A3" s="2" t="inlineStr">
        <is>
          <t>Convenience Store / Gas</t>
        </is>
      </c>
      <c r="B3" s="3" t="n">
        <v>226221</v>
      </c>
    </row>
    <row r="4">
      <c r="A4" s="2" t="inlineStr">
        <is>
          <t>Supermarket / Grocery</t>
        </is>
      </c>
      <c r="B4" s="3" t="n">
        <v>62206</v>
      </c>
    </row>
    <row r="5">
      <c r="A5" s="2" t="inlineStr">
        <is>
          <t>Ice Cream / Dessert Shop</t>
        </is>
      </c>
      <c r="B5" s="3" t="n">
        <v>52832</v>
      </c>
    </row>
    <row r="6">
      <c r="A6" s="2" t="inlineStr">
        <is>
          <t>School / Institutional</t>
        </is>
      </c>
      <c r="B6" s="3" t="n">
        <v>47833</v>
      </c>
    </row>
    <row r="7">
      <c r="A7" s="2" t="inlineStr">
        <is>
          <t>Coffee Shop</t>
        </is>
      </c>
      <c r="B7" s="3" t="n">
        <v>15882</v>
      </c>
    </row>
    <row r="8">
      <c r="A8" s="2" t="inlineStr">
        <is>
          <t>Restaurant / Food Service</t>
        </is>
      </c>
      <c r="B8" s="3" t="n">
        <v>4008</v>
      </c>
    </row>
    <row r="9">
      <c r="A9" s="4" t="inlineStr">
        <is>
          <t>Total</t>
        </is>
      </c>
      <c r="B9" s="5">
        <f>SUM(B2:B8)</f>
        <v/>
      </c>
    </row>
    <row r="11" ht="75" customHeight="1">
      <c r="A11" s="6" t="inlineStr">
        <is>
          <t>Source: Cedar Crest Weekly Sales Database - April2025-March2026.xlsx, 'Summary - All Weeks' tab, customers with Weeks Ordered &gt;= 3 (1,523 of 1,730). TotalCases = SUM of 'Total Cases' across all weeks, Apr 2025-Mar 2026. Same name-based categories as 'Customer Cases by Distance' (directional, not an exact type field). Unlike that scatter chart, totals here are NOT outlier-adjusted: 'Other' includes 3 United Natural Foods distributor accounts totaling 209,328 cases (119,928 + 54,864 + 34,536), which were excluded only from the per-customer scatter for chart readability.</t>
        </is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2026-08-07T21:11:42Z</dcterms:created>
  <dcterms:modified xmlns:dcterms="http://purl.org/dc/terms/" xmlns:xsi="http://www.w3.org/2001/XMLSchema-instance" xsi:type="dcterms:W3CDTF">2026-08-07T21:11:42Z</dcterms:modified>
</cp:coreProperties>
</file>