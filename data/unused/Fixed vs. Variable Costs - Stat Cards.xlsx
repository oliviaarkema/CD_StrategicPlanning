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4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Sub-label</t>
        </is>
      </c>
      <c r="C1" s="1" t="inlineStr">
        <is>
          <t>TTM Jul 2026</t>
        </is>
      </c>
      <c r="D1" s="1" t="inlineStr">
        <is>
          <t>TTM Jul 2025</t>
        </is>
      </c>
      <c r="E1" s="1" t="inlineStr">
        <is>
          <t>TTM Jul 2026 (gal)</t>
        </is>
      </c>
      <c r="F1" s="1" t="inlineStr">
        <is>
          <t>TTM Jul 2025 (gal)</t>
        </is>
      </c>
    </row>
    <row r="2">
      <c r="A2" t="inlineStr">
        <is>
          <t>Total Fixed Costs</t>
        </is>
      </c>
      <c r="B2" t="inlineStr">
        <is>
          <t>% of total</t>
        </is>
      </c>
    </row>
    <row r="3">
      <c r="A3" t="inlineStr">
        <is>
          <t>Total Variable Costs</t>
        </is>
      </c>
      <c r="B3" t="inlineStr">
        <is>
          <t>% of total</t>
        </is>
      </c>
    </row>
    <row r="4">
      <c r="A4" t="inlineStr">
        <is>
          <t>Fixed Cost / cwt</t>
        </is>
      </c>
      <c r="B4" t="inlineStr">
        <is>
          <t>at current production</t>
        </is>
      </c>
      <c r="E4">
        <f>C4/11.63</f>
        <v/>
      </c>
      <c r="F4">
        <f>D4/11.63</f>
        <v/>
      </c>
    </row>
    <row r="5">
      <c r="A5" t="inlineStr">
        <is>
          <t>Break-even</t>
        </is>
      </c>
      <c r="B5" t="inlineStr">
        <is>
          <t>cwt, vs. current production</t>
        </is>
      </c>
      <c r="E5">
        <f>C5*11.63</f>
        <v/>
      </c>
      <c r="F5">
        <f>D5*11.63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