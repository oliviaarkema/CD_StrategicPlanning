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/>
  <mc:AlternateContent xmlns:mc="http://schemas.openxmlformats.org/markup-compatibility/2006">
    <mc:Choice Requires="x15">
      <x15ac:absPath xmlns:x15ac="http://schemas.microsoft.com/office/spreadsheetml/2010/11/ac" url="/Users/oliviaarkema/Documents/Strategic Planning/CD_StrategicPlanning/data/"/>
    </mc:Choice>
  </mc:AlternateContent>
  <xr:revisionPtr revIDLastSave="0" documentId="13_ncr:1_{78C05C6C-6583-8747-ACB2-ACCB1E04CBAF}" xr6:coauthVersionLast="47" xr6:coauthVersionMax="47" xr10:uidLastSave="{00000000-0000-0000-0000-000000000000}"/>
  <bookViews>
    <workbookView xWindow="0" yWindow="760" windowWidth="30240" windowHeight="17760" xr2:uid="{00000000-000D-0000-FFFF-FFFF00000000}"/>
  </bookViews>
  <sheets>
    <sheet name="Data" sheetId="1" r:id="rId1"/>
    <sheet name="adj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F5" i="1" s="1"/>
  <c r="E6" i="1"/>
  <c r="F6" i="1" s="1"/>
  <c r="E7" i="1"/>
  <c r="F7" i="1" s="1"/>
  <c r="E8" i="1"/>
  <c r="F8" i="1" s="1"/>
  <c r="E9" i="1"/>
  <c r="F9" i="1" s="1"/>
  <c r="E10" i="1"/>
  <c r="F10" i="1" s="1"/>
  <c r="E11" i="1"/>
  <c r="F11" i="1" s="1"/>
  <c r="E12" i="1"/>
  <c r="F12" i="1" s="1"/>
  <c r="E13" i="1"/>
  <c r="E14" i="1"/>
  <c r="E15" i="1"/>
  <c r="E16" i="1"/>
  <c r="E17" i="1"/>
  <c r="E18" i="1"/>
  <c r="E19" i="1"/>
  <c r="E2" i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" i="2"/>
  <c r="F2" i="1"/>
  <c r="E26" i="1"/>
  <c r="F26" i="1" s="1"/>
  <c r="F3" i="1"/>
  <c r="F4" i="1"/>
  <c r="F13" i="1"/>
  <c r="F14" i="1"/>
  <c r="F15" i="1"/>
  <c r="F16" i="1"/>
  <c r="F17" i="1"/>
  <c r="F18" i="1"/>
  <c r="F19" i="1"/>
  <c r="E20" i="1"/>
  <c r="F20" i="1" s="1"/>
  <c r="E21" i="1"/>
  <c r="F21" i="1" s="1"/>
  <c r="E22" i="1"/>
  <c r="F22" i="1" s="1"/>
  <c r="E23" i="1"/>
  <c r="F23" i="1" s="1"/>
  <c r="E24" i="1"/>
  <c r="F24" i="1" s="1"/>
  <c r="E25" i="1"/>
  <c r="F25" i="1" s="1"/>
</calcChain>
</file>

<file path=xl/sharedStrings.xml><?xml version="1.0" encoding="utf-8"?>
<sst xmlns="http://schemas.openxmlformats.org/spreadsheetml/2006/main" count="10" uniqueCount="7">
  <si>
    <t>Month</t>
  </si>
  <si>
    <t>Revenue $</t>
  </si>
  <si>
    <t>Operating Costs $ (COGS + Expenses)</t>
  </si>
  <si>
    <t>COGS</t>
  </si>
  <si>
    <t>Expenses</t>
  </si>
  <si>
    <t>Net Ordinary Income (Not Including Other Income &amp; Expenses)</t>
  </si>
  <si>
    <t>ADJ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</si>
</sst>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17" fontId="0" fillId="0" borderId="0" xfId="0" applyNumberFormat="1"/>
    <xf numFmtId="164" fontId="0" fillId="0" borderId="0" xfId="1" applyNumberFormat="1" applyFont="1"/>
    <xf numFmtId="164" fontId="0" fillId="0" borderId="0" xfId="0" applyNumberFormat="1"/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"/>
  <sheetViews>
    <sheetView tabSelected="1" zoomScale="190" zoomScaleNormal="190" workbookViewId="0">
      <pane ySplit="1" topLeftCell="A2" activePane="bottomLeft" state="frozen"/>
      <selection pane="bottomLeft" activeCell="G9" sqref="G9"/>
    </sheetView>
  </sheetViews>
  <sheetFormatPr baseColWidth="10" defaultColWidth="8.83203125" defaultRowHeight="15" x14ac:dyDescent="0.2"/>
  <cols>
    <col min="1" max="1" width="10" customWidth="1"/>
    <col min="2" max="4" width="17" customWidth="1"/>
    <col min="5" max="5" width="24" customWidth="1"/>
    <col min="6" max="6" width="13.6640625" bestFit="1" customWidth="1"/>
  </cols>
  <sheetData>
    <row r="1" spans="1:6" x14ac:dyDescent="0.2">
      <c r="A1" s="1" t="s">
        <v>0</v>
      </c>
      <c r="B1" s="1" t="s">
        <v>1</v>
      </c>
      <c r="C1" s="1" t="s">
        <v>3</v>
      </c>
      <c r="D1" s="1" t="s">
        <v>4</v>
      </c>
      <c r="E1" s="1" t="s">
        <v>2</v>
      </c>
      <c r="F1" s="1" t="s">
        <v>5</v>
      </c>
    </row>
    <row r="2" spans="1:6" x14ac:dyDescent="0.2">
      <c r="A2" s="2">
        <v>45474</v>
      </c>
      <c r="B2" s="3">
        <v>1607862</v>
      </c>
      <c r="C2" s="3">
        <v>741576</v>
      </c>
      <c r="D2" s="3">
        <v>1373637</v>
      </c>
      <c r="E2" s="3">
        <f>D2</f>
        <v>1373637</v>
      </c>
      <c r="F2" s="3">
        <f>B2-E2</f>
        <v>234225</v>
      </c>
    </row>
    <row r="3" spans="1:6" x14ac:dyDescent="0.2">
      <c r="A3" s="2">
        <v>45505</v>
      </c>
      <c r="B3" s="3">
        <v>1606221</v>
      </c>
      <c r="C3" s="3">
        <v>693389</v>
      </c>
      <c r="D3" s="3">
        <v>1620287</v>
      </c>
      <c r="E3" s="3">
        <f t="shared" ref="E3:E19" si="0">D3</f>
        <v>1620287</v>
      </c>
      <c r="F3" s="3">
        <f t="shared" ref="F3:F26" si="1">B3-E3</f>
        <v>-14066</v>
      </c>
    </row>
    <row r="4" spans="1:6" x14ac:dyDescent="0.2">
      <c r="A4" s="2">
        <v>45536</v>
      </c>
      <c r="B4" s="3">
        <v>1395122</v>
      </c>
      <c r="C4" s="3">
        <v>660255</v>
      </c>
      <c r="D4" s="3">
        <v>1448248</v>
      </c>
      <c r="E4" s="3">
        <f t="shared" si="0"/>
        <v>1448248</v>
      </c>
      <c r="F4" s="3">
        <f t="shared" si="1"/>
        <v>-53126</v>
      </c>
    </row>
    <row r="5" spans="1:6" x14ac:dyDescent="0.2">
      <c r="A5" s="2">
        <v>45566</v>
      </c>
      <c r="B5" s="3">
        <v>1555498</v>
      </c>
      <c r="C5" s="3">
        <v>669932</v>
      </c>
      <c r="D5" s="3">
        <v>1369023</v>
      </c>
      <c r="E5" s="3">
        <f t="shared" si="0"/>
        <v>1369023</v>
      </c>
      <c r="F5" s="3">
        <f t="shared" si="1"/>
        <v>186475</v>
      </c>
    </row>
    <row r="6" spans="1:6" x14ac:dyDescent="0.2">
      <c r="A6" s="2">
        <v>45597</v>
      </c>
      <c r="B6" s="3">
        <v>1505900</v>
      </c>
      <c r="C6" s="3">
        <v>632241</v>
      </c>
      <c r="D6" s="3">
        <v>1460891</v>
      </c>
      <c r="E6" s="3">
        <f t="shared" si="0"/>
        <v>1460891</v>
      </c>
      <c r="F6" s="3">
        <f t="shared" si="1"/>
        <v>45009</v>
      </c>
    </row>
    <row r="7" spans="1:6" x14ac:dyDescent="0.2">
      <c r="A7" s="2">
        <v>45627</v>
      </c>
      <c r="B7" s="3">
        <v>1443558</v>
      </c>
      <c r="C7" s="3">
        <v>643073</v>
      </c>
      <c r="D7" s="3">
        <v>1500957</v>
      </c>
      <c r="E7" s="3">
        <f t="shared" si="0"/>
        <v>1500957</v>
      </c>
      <c r="F7" s="3">
        <f t="shared" si="1"/>
        <v>-57399</v>
      </c>
    </row>
    <row r="8" spans="1:6" x14ac:dyDescent="0.2">
      <c r="A8" s="2">
        <v>45658</v>
      </c>
      <c r="B8" s="3">
        <v>1412950</v>
      </c>
      <c r="C8" s="3">
        <v>666557</v>
      </c>
      <c r="D8" s="3">
        <v>1533414</v>
      </c>
      <c r="E8" s="3">
        <f t="shared" si="0"/>
        <v>1533414</v>
      </c>
      <c r="F8" s="3">
        <f t="shared" si="1"/>
        <v>-120464</v>
      </c>
    </row>
    <row r="9" spans="1:6" x14ac:dyDescent="0.2">
      <c r="A9" s="2">
        <v>45689</v>
      </c>
      <c r="B9" s="3">
        <v>1243821</v>
      </c>
      <c r="C9" s="3">
        <v>528932</v>
      </c>
      <c r="D9" s="3">
        <v>1279876</v>
      </c>
      <c r="E9" s="3">
        <f t="shared" si="0"/>
        <v>1279876</v>
      </c>
      <c r="F9" s="3">
        <f t="shared" si="1"/>
        <v>-36055</v>
      </c>
    </row>
    <row r="10" spans="1:6" x14ac:dyDescent="0.2">
      <c r="A10" s="2">
        <v>45717</v>
      </c>
      <c r="B10" s="3">
        <v>1480489</v>
      </c>
      <c r="C10" s="3">
        <v>606579</v>
      </c>
      <c r="D10" s="3">
        <v>1406315</v>
      </c>
      <c r="E10" s="3">
        <f t="shared" si="0"/>
        <v>1406315</v>
      </c>
      <c r="F10" s="3">
        <f t="shared" si="1"/>
        <v>74174</v>
      </c>
    </row>
    <row r="11" spans="1:6" x14ac:dyDescent="0.2">
      <c r="A11" s="2">
        <v>45748</v>
      </c>
      <c r="B11" s="3">
        <v>1583975</v>
      </c>
      <c r="C11" s="3">
        <v>600333</v>
      </c>
      <c r="D11" s="3">
        <v>1578487</v>
      </c>
      <c r="E11" s="3">
        <f t="shared" si="0"/>
        <v>1578487</v>
      </c>
      <c r="F11" s="3">
        <f t="shared" si="1"/>
        <v>5488</v>
      </c>
    </row>
    <row r="12" spans="1:6" x14ac:dyDescent="0.2">
      <c r="A12" s="2">
        <v>45778</v>
      </c>
      <c r="B12" s="3">
        <v>1629215</v>
      </c>
      <c r="C12" s="3">
        <v>648707</v>
      </c>
      <c r="D12" s="3">
        <v>1562355</v>
      </c>
      <c r="E12" s="3">
        <f t="shared" si="0"/>
        <v>1562355</v>
      </c>
      <c r="F12" s="3">
        <f t="shared" si="1"/>
        <v>66860</v>
      </c>
    </row>
    <row r="13" spans="1:6" x14ac:dyDescent="0.2">
      <c r="A13" s="2">
        <v>45809</v>
      </c>
      <c r="B13" s="3">
        <v>1788412</v>
      </c>
      <c r="C13" s="3">
        <v>734939</v>
      </c>
      <c r="D13" s="3">
        <v>1696517</v>
      </c>
      <c r="E13" s="3">
        <f t="shared" si="0"/>
        <v>1696517</v>
      </c>
      <c r="F13" s="3">
        <f t="shared" si="1"/>
        <v>91895</v>
      </c>
    </row>
    <row r="14" spans="1:6" x14ac:dyDescent="0.2">
      <c r="A14" s="2">
        <v>45839</v>
      </c>
      <c r="B14" s="3">
        <v>1894218</v>
      </c>
      <c r="C14" s="3">
        <v>690795</v>
      </c>
      <c r="D14" s="3">
        <v>1894587</v>
      </c>
      <c r="E14" s="3">
        <f t="shared" si="0"/>
        <v>1894587</v>
      </c>
      <c r="F14" s="3">
        <f t="shared" si="1"/>
        <v>-369</v>
      </c>
    </row>
    <row r="15" spans="1:6" x14ac:dyDescent="0.2">
      <c r="A15" s="2">
        <v>45870</v>
      </c>
      <c r="B15" s="3">
        <v>1718749</v>
      </c>
      <c r="C15" s="3">
        <v>747931</v>
      </c>
      <c r="D15" s="3">
        <v>1555538</v>
      </c>
      <c r="E15" s="3">
        <f t="shared" si="0"/>
        <v>1555538</v>
      </c>
      <c r="F15" s="3">
        <f t="shared" si="1"/>
        <v>163211</v>
      </c>
    </row>
    <row r="16" spans="1:6" x14ac:dyDescent="0.2">
      <c r="A16" s="2">
        <v>45901</v>
      </c>
      <c r="B16" s="3">
        <v>1558587</v>
      </c>
      <c r="C16" s="3">
        <v>686269</v>
      </c>
      <c r="D16" s="3">
        <v>1617567</v>
      </c>
      <c r="E16" s="3">
        <f t="shared" si="0"/>
        <v>1617567</v>
      </c>
      <c r="F16" s="3">
        <f t="shared" si="1"/>
        <v>-58980</v>
      </c>
    </row>
    <row r="17" spans="1:6" x14ac:dyDescent="0.2">
      <c r="A17" s="2">
        <v>45931</v>
      </c>
      <c r="B17" s="3">
        <v>1718959</v>
      </c>
      <c r="C17" s="3">
        <v>699111</v>
      </c>
      <c r="D17" s="3">
        <v>1910607</v>
      </c>
      <c r="E17" s="3">
        <f t="shared" si="0"/>
        <v>1910607</v>
      </c>
      <c r="F17" s="3">
        <f t="shared" si="1"/>
        <v>-191648</v>
      </c>
    </row>
    <row r="18" spans="1:6" x14ac:dyDescent="0.2">
      <c r="A18" s="2">
        <v>45962</v>
      </c>
      <c r="B18" s="3">
        <v>1371575</v>
      </c>
      <c r="C18" s="3">
        <v>600645</v>
      </c>
      <c r="D18" s="3">
        <v>1487729</v>
      </c>
      <c r="E18" s="3">
        <f t="shared" si="0"/>
        <v>1487729</v>
      </c>
      <c r="F18" s="3">
        <f t="shared" si="1"/>
        <v>-116154</v>
      </c>
    </row>
    <row r="19" spans="1:6" x14ac:dyDescent="0.2">
      <c r="A19" s="2">
        <v>45992</v>
      </c>
      <c r="B19" s="3">
        <v>1739788</v>
      </c>
      <c r="C19" s="3">
        <v>672021</v>
      </c>
      <c r="D19" s="3">
        <v>1544402</v>
      </c>
      <c r="E19" s="3">
        <f t="shared" si="0"/>
        <v>1544402</v>
      </c>
      <c r="F19" s="3">
        <f t="shared" si="1"/>
        <v>195386</v>
      </c>
    </row>
    <row r="20" spans="1:6" x14ac:dyDescent="0.2">
      <c r="A20" s="2">
        <v>46023</v>
      </c>
      <c r="B20" s="3">
        <v>1686045</v>
      </c>
      <c r="C20" s="3">
        <v>7549</v>
      </c>
      <c r="D20" s="3">
        <v>1601282</v>
      </c>
      <c r="E20" s="3">
        <f t="shared" ref="E3:E26" si="2">C20+D20</f>
        <v>1608831</v>
      </c>
      <c r="F20" s="3">
        <f t="shared" si="1"/>
        <v>77214</v>
      </c>
    </row>
    <row r="21" spans="1:6" x14ac:dyDescent="0.2">
      <c r="A21" s="2">
        <v>46054</v>
      </c>
      <c r="B21" s="3">
        <v>1646609</v>
      </c>
      <c r="C21" s="3">
        <v>16213</v>
      </c>
      <c r="D21" s="3">
        <v>1568310</v>
      </c>
      <c r="E21" s="3">
        <f t="shared" si="2"/>
        <v>1584523</v>
      </c>
      <c r="F21" s="3">
        <f t="shared" si="1"/>
        <v>62086</v>
      </c>
    </row>
    <row r="22" spans="1:6" x14ac:dyDescent="0.2">
      <c r="A22" s="2">
        <v>46082</v>
      </c>
      <c r="B22" s="3">
        <v>1861769</v>
      </c>
      <c r="C22" s="3">
        <v>22825</v>
      </c>
      <c r="D22" s="3">
        <v>1711521</v>
      </c>
      <c r="E22" s="3">
        <f t="shared" si="2"/>
        <v>1734346</v>
      </c>
      <c r="F22" s="3">
        <f t="shared" si="1"/>
        <v>127423</v>
      </c>
    </row>
    <row r="23" spans="1:6" x14ac:dyDescent="0.2">
      <c r="A23" s="2">
        <v>46113</v>
      </c>
      <c r="B23" s="3">
        <v>2062624</v>
      </c>
      <c r="C23" s="3">
        <v>51423</v>
      </c>
      <c r="D23" s="3">
        <v>1920333</v>
      </c>
      <c r="E23" s="3">
        <f t="shared" si="2"/>
        <v>1971756</v>
      </c>
      <c r="F23" s="3">
        <f t="shared" si="1"/>
        <v>90868</v>
      </c>
    </row>
    <row r="24" spans="1:6" x14ac:dyDescent="0.2">
      <c r="A24" s="2">
        <v>46143</v>
      </c>
      <c r="B24" s="3">
        <v>2028185</v>
      </c>
      <c r="C24" s="3">
        <v>67926</v>
      </c>
      <c r="D24" s="3">
        <v>1762572</v>
      </c>
      <c r="E24" s="3">
        <f t="shared" si="2"/>
        <v>1830498</v>
      </c>
      <c r="F24" s="3">
        <f t="shared" si="1"/>
        <v>197687</v>
      </c>
    </row>
    <row r="25" spans="1:6" x14ac:dyDescent="0.2">
      <c r="A25" s="2">
        <v>46174</v>
      </c>
      <c r="B25" s="3">
        <v>2099555</v>
      </c>
      <c r="C25" s="3">
        <v>79119</v>
      </c>
      <c r="D25" s="3">
        <v>1812796</v>
      </c>
      <c r="E25" s="3">
        <f t="shared" si="2"/>
        <v>1891915</v>
      </c>
      <c r="F25" s="3">
        <f t="shared" si="1"/>
        <v>207640</v>
      </c>
    </row>
    <row r="26" spans="1:6" x14ac:dyDescent="0.2">
      <c r="A26" s="2">
        <v>46204</v>
      </c>
      <c r="B26" s="3">
        <v>2443965</v>
      </c>
      <c r="C26" s="3">
        <v>73004</v>
      </c>
      <c r="D26" s="3">
        <v>1708237</v>
      </c>
      <c r="E26" s="3">
        <f t="shared" si="2"/>
        <v>1781241</v>
      </c>
      <c r="F26" s="3">
        <f t="shared" si="1"/>
        <v>662724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8A040-9CF5-5C41-87AE-A21F32AFB144}">
  <dimension ref="A1:D19"/>
  <sheetViews>
    <sheetView workbookViewId="0">
      <selection activeCell="D2" sqref="D2:D19"/>
    </sheetView>
  </sheetViews>
  <sheetFormatPr baseColWidth="10" defaultRowHeight="15" x14ac:dyDescent="0.2"/>
  <cols>
    <col min="4" max="4" width="11.1640625" bestFit="1" customWidth="1"/>
  </cols>
  <sheetData>
    <row r="1" spans="1:4" x14ac:dyDescent="0.2">
      <c r="A1" s="1" t="s">
        <v>0</v>
      </c>
      <c r="B1" s="1" t="s">
        <v>1</v>
      </c>
      <c r="C1" s="1" t="s">
        <v>3</v>
      </c>
      <c r="D1" s="1" t="s">
        <v>6</v>
      </c>
    </row>
    <row r="2" spans="1:4" x14ac:dyDescent="0.2">
      <c r="A2" s="2">
        <v>45474</v>
      </c>
      <c r="B2" s="3">
        <v>2349438</v>
      </c>
      <c r="C2" s="3">
        <v>741576</v>
      </c>
      <c r="D2" s="4">
        <f>B2-C2</f>
        <v>1607862</v>
      </c>
    </row>
    <row r="3" spans="1:4" x14ac:dyDescent="0.2">
      <c r="A3" s="2">
        <v>45505</v>
      </c>
      <c r="B3" s="3">
        <v>2299610</v>
      </c>
      <c r="C3" s="3">
        <v>693389</v>
      </c>
      <c r="D3" s="4">
        <f t="shared" ref="D3:D19" si="0">B3-C3</f>
        <v>1606221</v>
      </c>
    </row>
    <row r="4" spans="1:4" x14ac:dyDescent="0.2">
      <c r="A4" s="2">
        <v>45536</v>
      </c>
      <c r="B4" s="3">
        <v>2055377</v>
      </c>
      <c r="C4" s="3">
        <v>660255</v>
      </c>
      <c r="D4" s="4">
        <f t="shared" si="0"/>
        <v>1395122</v>
      </c>
    </row>
    <row r="5" spans="1:4" x14ac:dyDescent="0.2">
      <c r="A5" s="2">
        <v>45566</v>
      </c>
      <c r="B5" s="3">
        <v>2225430</v>
      </c>
      <c r="C5" s="3">
        <v>669932</v>
      </c>
      <c r="D5" s="4">
        <f t="shared" si="0"/>
        <v>1555498</v>
      </c>
    </row>
    <row r="6" spans="1:4" x14ac:dyDescent="0.2">
      <c r="A6" s="2">
        <v>45597</v>
      </c>
      <c r="B6" s="3">
        <v>2138141</v>
      </c>
      <c r="C6" s="3">
        <v>632241</v>
      </c>
      <c r="D6" s="4">
        <f t="shared" si="0"/>
        <v>1505900</v>
      </c>
    </row>
    <row r="7" spans="1:4" x14ac:dyDescent="0.2">
      <c r="A7" s="2">
        <v>45627</v>
      </c>
      <c r="B7" s="3">
        <v>2086631</v>
      </c>
      <c r="C7" s="3">
        <v>643073</v>
      </c>
      <c r="D7" s="4">
        <f t="shared" si="0"/>
        <v>1443558</v>
      </c>
    </row>
    <row r="8" spans="1:4" x14ac:dyDescent="0.2">
      <c r="A8" s="2">
        <v>45658</v>
      </c>
      <c r="B8" s="3">
        <v>2079507</v>
      </c>
      <c r="C8" s="3">
        <v>666557</v>
      </c>
      <c r="D8" s="4">
        <f t="shared" si="0"/>
        <v>1412950</v>
      </c>
    </row>
    <row r="9" spans="1:4" x14ac:dyDescent="0.2">
      <c r="A9" s="2">
        <v>45689</v>
      </c>
      <c r="B9" s="3">
        <v>1772753</v>
      </c>
      <c r="C9" s="3">
        <v>528932</v>
      </c>
      <c r="D9" s="4">
        <f t="shared" si="0"/>
        <v>1243821</v>
      </c>
    </row>
    <row r="10" spans="1:4" x14ac:dyDescent="0.2">
      <c r="A10" s="2">
        <v>45717</v>
      </c>
      <c r="B10" s="3">
        <v>2087068</v>
      </c>
      <c r="C10" s="3">
        <v>606579</v>
      </c>
      <c r="D10" s="4">
        <f t="shared" si="0"/>
        <v>1480489</v>
      </c>
    </row>
    <row r="11" spans="1:4" x14ac:dyDescent="0.2">
      <c r="A11" s="2">
        <v>45748</v>
      </c>
      <c r="B11" s="3">
        <v>2184308</v>
      </c>
      <c r="C11" s="3">
        <v>600333</v>
      </c>
      <c r="D11" s="4">
        <f t="shared" si="0"/>
        <v>1583975</v>
      </c>
    </row>
    <row r="12" spans="1:4" x14ac:dyDescent="0.2">
      <c r="A12" s="2">
        <v>45778</v>
      </c>
      <c r="B12" s="3">
        <v>2277922</v>
      </c>
      <c r="C12" s="3">
        <v>648707</v>
      </c>
      <c r="D12" s="4">
        <f t="shared" si="0"/>
        <v>1629215</v>
      </c>
    </row>
    <row r="13" spans="1:4" x14ac:dyDescent="0.2">
      <c r="A13" s="2">
        <v>45809</v>
      </c>
      <c r="B13" s="3">
        <v>2523351</v>
      </c>
      <c r="C13" s="3">
        <v>734939</v>
      </c>
      <c r="D13" s="4">
        <f t="shared" si="0"/>
        <v>1788412</v>
      </c>
    </row>
    <row r="14" spans="1:4" x14ac:dyDescent="0.2">
      <c r="A14" s="2">
        <v>45839</v>
      </c>
      <c r="B14" s="3">
        <v>2585013</v>
      </c>
      <c r="C14" s="3">
        <v>690795</v>
      </c>
      <c r="D14" s="4">
        <f t="shared" si="0"/>
        <v>1894218</v>
      </c>
    </row>
    <row r="15" spans="1:4" x14ac:dyDescent="0.2">
      <c r="A15" s="2">
        <v>45870</v>
      </c>
      <c r="B15" s="3">
        <v>2466680</v>
      </c>
      <c r="C15" s="3">
        <v>747931</v>
      </c>
      <c r="D15" s="4">
        <f t="shared" si="0"/>
        <v>1718749</v>
      </c>
    </row>
    <row r="16" spans="1:4" x14ac:dyDescent="0.2">
      <c r="A16" s="2">
        <v>45901</v>
      </c>
      <c r="B16" s="3">
        <v>2244856</v>
      </c>
      <c r="C16" s="3">
        <v>686269</v>
      </c>
      <c r="D16" s="4">
        <f t="shared" si="0"/>
        <v>1558587</v>
      </c>
    </row>
    <row r="17" spans="1:4" x14ac:dyDescent="0.2">
      <c r="A17" s="2">
        <v>45931</v>
      </c>
      <c r="B17" s="3">
        <v>2418070</v>
      </c>
      <c r="C17" s="3">
        <v>699111</v>
      </c>
      <c r="D17" s="4">
        <f t="shared" si="0"/>
        <v>1718959</v>
      </c>
    </row>
    <row r="18" spans="1:4" x14ac:dyDescent="0.2">
      <c r="A18" s="2">
        <v>45962</v>
      </c>
      <c r="B18" s="3">
        <v>1972220</v>
      </c>
      <c r="C18" s="3">
        <v>600645</v>
      </c>
      <c r="D18" s="4">
        <f t="shared" si="0"/>
        <v>1371575</v>
      </c>
    </row>
    <row r="19" spans="1:4" x14ac:dyDescent="0.2">
      <c r="A19" s="2">
        <v>45992</v>
      </c>
      <c r="B19" s="3">
        <v>2411809</v>
      </c>
      <c r="C19" s="3">
        <v>672021</v>
      </c>
      <c r="D19" s="4">
        <f t="shared" si="0"/>
        <v>1739788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adj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Liv Arkema</cp:lastModifiedBy>
  <dcterms:created xsi:type="dcterms:W3CDTF">2026-07-31T20:43:20Z</dcterms:created>
  <dcterms:modified xsi:type="dcterms:W3CDTF">2026-08-12T16:50:22Z</dcterms:modified>
</cp:coreProperties>
</file>